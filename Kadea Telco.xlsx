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hris\OneDrive\Documents\Formation KADEA\Projet\"/>
    </mc:Choice>
  </mc:AlternateContent>
  <xr:revisionPtr revIDLastSave="0" documentId="13_ncr:1_{4899FA60-5665-4557-BF6A-9BE3DE34424A}" xr6:coauthVersionLast="47" xr6:coauthVersionMax="47" xr10:uidLastSave="{00000000-0000-0000-0000-000000000000}"/>
  <bookViews>
    <workbookView xWindow="-120" yWindow="-120" windowWidth="20730" windowHeight="11160" activeTab="1" xr2:uid="{1CEE9DD8-BEBB-449E-BDCA-B148135AF786}"/>
  </bookViews>
  <sheets>
    <sheet name="Logs bruts" sheetId="1" r:id="rId1"/>
    <sheet name="Churn" sheetId="29" r:id="rId2"/>
    <sheet name="Maintenance" sheetId="28" r:id="rId3"/>
    <sheet name="TCD" sheetId="31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E2" i="1"/>
  <c r="F2" i="1"/>
  <c r="G2" i="1"/>
  <c r="C3" i="1"/>
  <c r="E3" i="1"/>
  <c r="F3" i="1"/>
  <c r="G3" i="1"/>
  <c r="C4" i="1"/>
  <c r="E4" i="1"/>
  <c r="F4" i="1"/>
  <c r="G4" i="1"/>
  <c r="C5" i="1"/>
  <c r="E5" i="1"/>
  <c r="F5" i="1"/>
  <c r="G5" i="1"/>
  <c r="C6" i="1"/>
  <c r="E6" i="1"/>
  <c r="F6" i="1"/>
  <c r="G6" i="1"/>
  <c r="C7" i="1"/>
  <c r="E7" i="1"/>
  <c r="F7" i="1"/>
  <c r="G7" i="1"/>
  <c r="C8" i="1"/>
  <c r="E8" i="1"/>
  <c r="F8" i="1"/>
  <c r="G8" i="1"/>
  <c r="C9" i="1"/>
  <c r="E9" i="1"/>
  <c r="F9" i="1"/>
  <c r="G9" i="1"/>
  <c r="C10" i="1"/>
  <c r="E10" i="1"/>
  <c r="F10" i="1"/>
  <c r="G10" i="1"/>
  <c r="C11" i="1"/>
  <c r="E11" i="1"/>
  <c r="F11" i="1"/>
  <c r="G11" i="1"/>
  <c r="C12" i="1"/>
  <c r="E12" i="1"/>
  <c r="F12" i="1"/>
  <c r="G12" i="1"/>
  <c r="C13" i="1"/>
  <c r="E13" i="1"/>
  <c r="F13" i="1"/>
  <c r="G13" i="1"/>
  <c r="C14" i="1"/>
  <c r="E14" i="1"/>
  <c r="F14" i="1"/>
  <c r="G14" i="1"/>
  <c r="C15" i="1"/>
  <c r="E15" i="1"/>
  <c r="F15" i="1"/>
  <c r="G15" i="1"/>
  <c r="C16" i="1"/>
  <c r="E16" i="1"/>
  <c r="F16" i="1"/>
  <c r="G16" i="1"/>
  <c r="C17" i="1"/>
  <c r="E17" i="1"/>
  <c r="F17" i="1"/>
  <c r="G17" i="1"/>
  <c r="C18" i="1"/>
  <c r="E18" i="1"/>
  <c r="F18" i="1"/>
  <c r="G18" i="1"/>
  <c r="C19" i="1"/>
  <c r="E19" i="1"/>
  <c r="F19" i="1"/>
  <c r="G19" i="1"/>
  <c r="C20" i="1"/>
  <c r="E20" i="1"/>
  <c r="F20" i="1"/>
  <c r="G20" i="1"/>
  <c r="C21" i="1"/>
  <c r="E21" i="1"/>
  <c r="F21" i="1"/>
  <c r="G21" i="1"/>
  <c r="C22" i="1"/>
  <c r="E22" i="1"/>
  <c r="F22" i="1"/>
  <c r="G22" i="1"/>
  <c r="C23" i="1"/>
  <c r="E23" i="1"/>
  <c r="F23" i="1"/>
  <c r="G23" i="1"/>
  <c r="C24" i="1"/>
  <c r="E24" i="1"/>
  <c r="F24" i="1"/>
  <c r="G24" i="1"/>
  <c r="C25" i="1"/>
  <c r="E25" i="1"/>
  <c r="F25" i="1"/>
  <c r="G25" i="1"/>
  <c r="C26" i="1"/>
  <c r="E26" i="1"/>
  <c r="F26" i="1"/>
  <c r="G26" i="1"/>
  <c r="C27" i="1"/>
  <c r="E27" i="1"/>
  <c r="F27" i="1"/>
  <c r="G27" i="1"/>
  <c r="C28" i="1"/>
  <c r="E28" i="1"/>
  <c r="F28" i="1"/>
  <c r="G28" i="1"/>
  <c r="C29" i="1"/>
  <c r="E29" i="1"/>
  <c r="F29" i="1"/>
  <c r="G29" i="1"/>
  <c r="C30" i="1"/>
  <c r="E30" i="1"/>
  <c r="F30" i="1"/>
  <c r="G30" i="1"/>
  <c r="C31" i="1"/>
  <c r="E31" i="1"/>
  <c r="F31" i="1"/>
  <c r="G31" i="1"/>
  <c r="C32" i="1"/>
  <c r="E32" i="1"/>
  <c r="F32" i="1"/>
  <c r="G32" i="1"/>
  <c r="C33" i="1"/>
  <c r="E33" i="1"/>
  <c r="F33" i="1"/>
  <c r="G33" i="1"/>
  <c r="C34" i="1"/>
  <c r="E34" i="1"/>
  <c r="F34" i="1"/>
  <c r="G34" i="1"/>
  <c r="C35" i="1"/>
  <c r="E35" i="1"/>
  <c r="F35" i="1"/>
  <c r="G35" i="1"/>
  <c r="C36" i="1"/>
  <c r="E36" i="1"/>
  <c r="F36" i="1"/>
  <c r="G36" i="1"/>
  <c r="C37" i="1"/>
  <c r="E37" i="1"/>
  <c r="F37" i="1"/>
  <c r="G37" i="1"/>
  <c r="C38" i="1"/>
  <c r="E38" i="1"/>
  <c r="F38" i="1"/>
  <c r="G38" i="1"/>
  <c r="C39" i="1"/>
  <c r="E39" i="1"/>
  <c r="F39" i="1"/>
  <c r="G39" i="1"/>
  <c r="C40" i="1"/>
  <c r="E40" i="1"/>
  <c r="F40" i="1"/>
  <c r="G40" i="1"/>
  <c r="C41" i="1"/>
  <c r="E41" i="1"/>
  <c r="F41" i="1"/>
  <c r="G41" i="1"/>
  <c r="C42" i="1"/>
  <c r="E42" i="1"/>
  <c r="F42" i="1"/>
  <c r="G42" i="1"/>
  <c r="C43" i="1"/>
  <c r="E43" i="1"/>
  <c r="F43" i="1"/>
  <c r="G43" i="1"/>
  <c r="C44" i="1"/>
  <c r="E44" i="1"/>
  <c r="F44" i="1"/>
  <c r="G44" i="1"/>
  <c r="C45" i="1"/>
  <c r="E45" i="1"/>
  <c r="F45" i="1"/>
  <c r="G45" i="1"/>
  <c r="C46" i="1"/>
  <c r="E46" i="1"/>
  <c r="F46" i="1"/>
  <c r="G46" i="1"/>
  <c r="C47" i="1"/>
  <c r="E47" i="1"/>
  <c r="F47" i="1"/>
  <c r="G47" i="1"/>
  <c r="C48" i="1"/>
  <c r="E48" i="1"/>
  <c r="F48" i="1"/>
  <c r="G48" i="1"/>
  <c r="C49" i="1"/>
  <c r="E49" i="1"/>
  <c r="F49" i="1"/>
  <c r="G49" i="1"/>
  <c r="C50" i="1"/>
  <c r="E50" i="1"/>
  <c r="F50" i="1"/>
  <c r="G50" i="1"/>
  <c r="C51" i="1"/>
  <c r="E51" i="1"/>
  <c r="F51" i="1"/>
  <c r="G51" i="1"/>
  <c r="C52" i="1"/>
  <c r="E52" i="1"/>
  <c r="F52" i="1"/>
  <c r="G52" i="1"/>
  <c r="C53" i="1"/>
  <c r="E53" i="1"/>
  <c r="F53" i="1"/>
  <c r="G53" i="1"/>
  <c r="C54" i="1"/>
  <c r="E54" i="1"/>
  <c r="F54" i="1"/>
  <c r="G54" i="1"/>
  <c r="C55" i="1"/>
  <c r="E55" i="1"/>
  <c r="F55" i="1"/>
  <c r="G55" i="1"/>
  <c r="C56" i="1"/>
  <c r="E56" i="1"/>
  <c r="F56" i="1"/>
  <c r="G56" i="1"/>
  <c r="C57" i="1"/>
  <c r="E57" i="1"/>
  <c r="F57" i="1"/>
  <c r="G57" i="1"/>
  <c r="C58" i="1"/>
  <c r="E58" i="1"/>
  <c r="F58" i="1"/>
  <c r="G58" i="1"/>
  <c r="C59" i="1"/>
  <c r="E59" i="1"/>
  <c r="F59" i="1"/>
  <c r="G59" i="1"/>
  <c r="C60" i="1"/>
  <c r="E60" i="1"/>
  <c r="F60" i="1"/>
  <c r="G60" i="1"/>
  <c r="C61" i="1"/>
  <c r="E61" i="1"/>
  <c r="F61" i="1"/>
  <c r="G61" i="1"/>
  <c r="C62" i="1"/>
  <c r="E62" i="1"/>
  <c r="F62" i="1"/>
  <c r="G62" i="1"/>
  <c r="C63" i="1"/>
  <c r="E63" i="1"/>
  <c r="F63" i="1"/>
  <c r="G63" i="1"/>
  <c r="C64" i="1"/>
  <c r="E64" i="1"/>
  <c r="F64" i="1"/>
  <c r="G64" i="1"/>
  <c r="C65" i="1"/>
  <c r="E65" i="1"/>
  <c r="F65" i="1"/>
  <c r="G65" i="1"/>
  <c r="C66" i="1"/>
  <c r="E66" i="1"/>
  <c r="F66" i="1"/>
  <c r="G66" i="1"/>
  <c r="C67" i="1"/>
  <c r="E67" i="1"/>
  <c r="F67" i="1"/>
  <c r="G67" i="1"/>
  <c r="C68" i="1"/>
  <c r="E68" i="1"/>
  <c r="F68" i="1"/>
  <c r="G68" i="1"/>
  <c r="C69" i="1"/>
  <c r="E69" i="1"/>
  <c r="F69" i="1"/>
  <c r="G69" i="1"/>
  <c r="C70" i="1"/>
  <c r="E70" i="1"/>
  <c r="F70" i="1"/>
  <c r="G70" i="1"/>
  <c r="C71" i="1"/>
  <c r="E71" i="1"/>
  <c r="F71" i="1"/>
  <c r="G71" i="1"/>
  <c r="C72" i="1"/>
  <c r="E72" i="1"/>
  <c r="F72" i="1"/>
  <c r="G72" i="1"/>
  <c r="C73" i="1"/>
  <c r="E73" i="1"/>
  <c r="F73" i="1"/>
  <c r="G73" i="1"/>
  <c r="C74" i="1"/>
  <c r="E74" i="1"/>
  <c r="F74" i="1"/>
  <c r="G74" i="1"/>
  <c r="C75" i="1"/>
  <c r="E75" i="1"/>
  <c r="F75" i="1"/>
  <c r="G75" i="1"/>
  <c r="C76" i="1"/>
  <c r="E76" i="1"/>
  <c r="F76" i="1"/>
  <c r="G76" i="1"/>
  <c r="C77" i="1"/>
  <c r="E77" i="1"/>
  <c r="F77" i="1"/>
  <c r="G77" i="1"/>
  <c r="C78" i="1"/>
  <c r="E78" i="1"/>
  <c r="F78" i="1"/>
  <c r="G78" i="1"/>
  <c r="C79" i="1"/>
  <c r="E79" i="1"/>
  <c r="F79" i="1"/>
  <c r="G79" i="1"/>
  <c r="C80" i="1"/>
  <c r="E80" i="1"/>
  <c r="F80" i="1"/>
  <c r="G80" i="1"/>
  <c r="C81" i="1"/>
  <c r="E81" i="1"/>
  <c r="F81" i="1"/>
  <c r="G81" i="1"/>
  <c r="C82" i="1"/>
  <c r="E82" i="1"/>
  <c r="F82" i="1"/>
  <c r="G82" i="1"/>
  <c r="C83" i="1"/>
  <c r="E83" i="1"/>
  <c r="F83" i="1"/>
  <c r="G83" i="1"/>
  <c r="C84" i="1"/>
  <c r="E84" i="1"/>
  <c r="F84" i="1"/>
  <c r="G84" i="1"/>
  <c r="C85" i="1"/>
  <c r="E85" i="1"/>
  <c r="F85" i="1"/>
  <c r="G85" i="1"/>
  <c r="C86" i="1"/>
  <c r="E86" i="1"/>
  <c r="F86" i="1"/>
  <c r="G86" i="1"/>
  <c r="C87" i="1"/>
  <c r="E87" i="1"/>
  <c r="F87" i="1"/>
  <c r="G87" i="1"/>
  <c r="C88" i="1"/>
  <c r="E88" i="1"/>
  <c r="F88" i="1"/>
  <c r="G88" i="1"/>
  <c r="C89" i="1"/>
  <c r="E89" i="1"/>
  <c r="F89" i="1"/>
  <c r="G89" i="1"/>
  <c r="C90" i="1"/>
  <c r="E90" i="1"/>
  <c r="F90" i="1"/>
  <c r="G90" i="1"/>
  <c r="C91" i="1"/>
  <c r="E91" i="1"/>
  <c r="F91" i="1"/>
  <c r="G91" i="1"/>
  <c r="C92" i="1"/>
  <c r="E92" i="1"/>
  <c r="F92" i="1"/>
  <c r="G92" i="1"/>
  <c r="C93" i="1"/>
  <c r="E93" i="1"/>
  <c r="F93" i="1"/>
  <c r="G93" i="1"/>
  <c r="C94" i="1"/>
  <c r="E94" i="1"/>
  <c r="F94" i="1"/>
  <c r="G94" i="1"/>
  <c r="C95" i="1"/>
  <c r="E95" i="1"/>
  <c r="F95" i="1"/>
  <c r="G95" i="1"/>
  <c r="C96" i="1"/>
  <c r="E96" i="1"/>
  <c r="F96" i="1"/>
  <c r="G96" i="1"/>
  <c r="C97" i="1"/>
  <c r="E97" i="1"/>
  <c r="F97" i="1"/>
  <c r="G97" i="1"/>
  <c r="C98" i="1"/>
  <c r="E98" i="1"/>
  <c r="F98" i="1"/>
  <c r="G98" i="1"/>
  <c r="C99" i="1"/>
  <c r="E99" i="1"/>
  <c r="F99" i="1"/>
  <c r="G99" i="1"/>
  <c r="C100" i="1"/>
  <c r="E100" i="1"/>
  <c r="F100" i="1"/>
  <c r="G100" i="1"/>
  <c r="C101" i="1"/>
  <c r="E101" i="1"/>
  <c r="F101" i="1"/>
  <c r="G101" i="1"/>
  <c r="C102" i="1"/>
  <c r="E102" i="1"/>
  <c r="F102" i="1"/>
  <c r="G102" i="1"/>
  <c r="C103" i="1"/>
  <c r="E103" i="1"/>
  <c r="F103" i="1"/>
  <c r="G103" i="1"/>
  <c r="C104" i="1"/>
  <c r="E104" i="1"/>
  <c r="F104" i="1"/>
  <c r="G104" i="1"/>
  <c r="C105" i="1"/>
  <c r="E105" i="1"/>
  <c r="F105" i="1"/>
  <c r="G105" i="1"/>
  <c r="C106" i="1"/>
  <c r="E106" i="1"/>
  <c r="F106" i="1"/>
  <c r="G106" i="1"/>
  <c r="C107" i="1"/>
  <c r="E107" i="1"/>
  <c r="F107" i="1"/>
  <c r="G107" i="1"/>
  <c r="C108" i="1"/>
  <c r="E108" i="1"/>
  <c r="F108" i="1"/>
  <c r="G108" i="1"/>
  <c r="C109" i="1"/>
  <c r="E109" i="1"/>
  <c r="F109" i="1"/>
  <c r="G109" i="1"/>
  <c r="C110" i="1"/>
  <c r="E110" i="1"/>
  <c r="F110" i="1"/>
  <c r="G110" i="1"/>
  <c r="C111" i="1"/>
  <c r="E111" i="1"/>
  <c r="F111" i="1"/>
  <c r="G111" i="1"/>
  <c r="C112" i="1"/>
  <c r="E112" i="1"/>
  <c r="F112" i="1"/>
  <c r="G112" i="1"/>
  <c r="C113" i="1"/>
  <c r="E113" i="1"/>
  <c r="F113" i="1"/>
  <c r="G113" i="1"/>
  <c r="C114" i="1"/>
  <c r="E114" i="1"/>
  <c r="F114" i="1"/>
  <c r="G114" i="1"/>
  <c r="C115" i="1"/>
  <c r="E115" i="1"/>
  <c r="F115" i="1"/>
  <c r="G115" i="1"/>
  <c r="C116" i="1"/>
  <c r="E116" i="1"/>
  <c r="F116" i="1"/>
  <c r="G116" i="1"/>
  <c r="C117" i="1"/>
  <c r="E117" i="1"/>
  <c r="F117" i="1"/>
  <c r="G117" i="1"/>
  <c r="C118" i="1"/>
  <c r="E118" i="1"/>
  <c r="F118" i="1"/>
  <c r="G118" i="1"/>
  <c r="C119" i="1"/>
  <c r="E119" i="1"/>
  <c r="F119" i="1"/>
  <c r="G119" i="1"/>
  <c r="C120" i="1"/>
  <c r="E120" i="1"/>
  <c r="F120" i="1"/>
  <c r="G120" i="1"/>
  <c r="C121" i="1"/>
  <c r="E121" i="1"/>
  <c r="F121" i="1"/>
  <c r="G121" i="1"/>
  <c r="C122" i="1"/>
  <c r="E122" i="1"/>
  <c r="F122" i="1"/>
  <c r="G122" i="1"/>
  <c r="C123" i="1"/>
  <c r="E123" i="1"/>
  <c r="F123" i="1"/>
  <c r="G123" i="1"/>
  <c r="C124" i="1"/>
  <c r="E124" i="1"/>
  <c r="F124" i="1"/>
  <c r="G124" i="1"/>
  <c r="C125" i="1"/>
  <c r="E125" i="1"/>
  <c r="F125" i="1"/>
  <c r="G125" i="1"/>
  <c r="C126" i="1"/>
  <c r="E126" i="1"/>
  <c r="F126" i="1"/>
  <c r="G126" i="1"/>
  <c r="C127" i="1"/>
  <c r="E127" i="1"/>
  <c r="F127" i="1"/>
  <c r="G127" i="1"/>
  <c r="C128" i="1"/>
  <c r="E128" i="1"/>
  <c r="F128" i="1"/>
  <c r="G128" i="1"/>
  <c r="C129" i="1"/>
  <c r="E129" i="1"/>
  <c r="F129" i="1"/>
  <c r="G129" i="1"/>
  <c r="C130" i="1"/>
  <c r="E130" i="1"/>
  <c r="F130" i="1"/>
  <c r="G130" i="1"/>
  <c r="C131" i="1"/>
  <c r="E131" i="1"/>
  <c r="F131" i="1"/>
  <c r="G131" i="1"/>
  <c r="C132" i="1"/>
  <c r="E132" i="1"/>
  <c r="F132" i="1"/>
  <c r="G132" i="1"/>
  <c r="C133" i="1"/>
  <c r="E133" i="1"/>
  <c r="F133" i="1"/>
  <c r="G133" i="1"/>
  <c r="C134" i="1"/>
  <c r="E134" i="1"/>
  <c r="F134" i="1"/>
  <c r="G134" i="1"/>
  <c r="C135" i="1"/>
  <c r="E135" i="1"/>
  <c r="F135" i="1"/>
  <c r="G135" i="1"/>
  <c r="C136" i="1"/>
  <c r="E136" i="1"/>
  <c r="F136" i="1"/>
  <c r="G136" i="1"/>
  <c r="C137" i="1"/>
  <c r="E137" i="1"/>
  <c r="F137" i="1"/>
  <c r="G137" i="1"/>
  <c r="C138" i="1"/>
  <c r="E138" i="1"/>
  <c r="F138" i="1"/>
  <c r="G138" i="1"/>
  <c r="C139" i="1"/>
  <c r="E139" i="1"/>
  <c r="F139" i="1"/>
  <c r="G139" i="1"/>
  <c r="C140" i="1"/>
  <c r="E140" i="1"/>
  <c r="F140" i="1"/>
  <c r="G140" i="1"/>
  <c r="C141" i="1"/>
  <c r="E141" i="1"/>
  <c r="F141" i="1"/>
  <c r="G141" i="1"/>
  <c r="C142" i="1"/>
  <c r="E142" i="1"/>
  <c r="F142" i="1"/>
  <c r="G142" i="1"/>
  <c r="C143" i="1"/>
  <c r="E143" i="1"/>
  <c r="F143" i="1"/>
  <c r="G143" i="1"/>
  <c r="C144" i="1"/>
  <c r="E144" i="1"/>
  <c r="F144" i="1"/>
  <c r="G144" i="1"/>
  <c r="C145" i="1"/>
  <c r="E145" i="1"/>
  <c r="F145" i="1"/>
  <c r="G145" i="1"/>
  <c r="C146" i="1"/>
  <c r="E146" i="1"/>
  <c r="F146" i="1"/>
  <c r="G146" i="1"/>
  <c r="C147" i="1"/>
  <c r="E147" i="1"/>
  <c r="F147" i="1"/>
  <c r="G147" i="1"/>
  <c r="C148" i="1"/>
  <c r="E148" i="1"/>
  <c r="F148" i="1"/>
  <c r="G148" i="1"/>
  <c r="C149" i="1"/>
  <c r="E149" i="1"/>
  <c r="F149" i="1"/>
  <c r="G149" i="1"/>
  <c r="C150" i="1"/>
  <c r="E150" i="1"/>
  <c r="F150" i="1"/>
  <c r="G150" i="1"/>
  <c r="C151" i="1"/>
  <c r="E151" i="1"/>
  <c r="F151" i="1"/>
  <c r="G151" i="1"/>
  <c r="C152" i="1"/>
  <c r="E152" i="1"/>
  <c r="F152" i="1"/>
  <c r="G152" i="1"/>
  <c r="C153" i="1"/>
  <c r="E153" i="1"/>
  <c r="F153" i="1"/>
  <c r="G153" i="1"/>
  <c r="C154" i="1"/>
  <c r="E154" i="1"/>
  <c r="F154" i="1"/>
  <c r="G154" i="1"/>
  <c r="C155" i="1"/>
  <c r="E155" i="1"/>
  <c r="F155" i="1"/>
  <c r="G155" i="1"/>
  <c r="C156" i="1"/>
  <c r="E156" i="1"/>
  <c r="F156" i="1"/>
  <c r="G156" i="1"/>
  <c r="C157" i="1"/>
  <c r="E157" i="1"/>
  <c r="F157" i="1"/>
  <c r="G157" i="1"/>
  <c r="C158" i="1"/>
  <c r="E158" i="1"/>
  <c r="F158" i="1"/>
  <c r="G158" i="1"/>
  <c r="C159" i="1"/>
  <c r="E159" i="1"/>
  <c r="F159" i="1"/>
  <c r="G159" i="1"/>
  <c r="C160" i="1"/>
  <c r="E160" i="1"/>
  <c r="F160" i="1"/>
  <c r="G160" i="1"/>
  <c r="C161" i="1"/>
  <c r="E161" i="1"/>
  <c r="F161" i="1"/>
  <c r="G161" i="1"/>
  <c r="C162" i="1"/>
  <c r="E162" i="1"/>
  <c r="F162" i="1"/>
  <c r="G162" i="1"/>
  <c r="C163" i="1"/>
  <c r="E163" i="1"/>
  <c r="F163" i="1"/>
  <c r="G163" i="1"/>
  <c r="C164" i="1"/>
  <c r="E164" i="1"/>
  <c r="F164" i="1"/>
  <c r="G164" i="1"/>
  <c r="C165" i="1"/>
  <c r="E165" i="1"/>
  <c r="F165" i="1"/>
  <c r="G165" i="1"/>
  <c r="C166" i="1"/>
  <c r="E166" i="1"/>
  <c r="F166" i="1"/>
  <c r="G166" i="1"/>
  <c r="C167" i="1"/>
  <c r="E167" i="1"/>
  <c r="F167" i="1"/>
  <c r="G167" i="1"/>
  <c r="C168" i="1"/>
  <c r="E168" i="1"/>
  <c r="F168" i="1"/>
  <c r="G168" i="1"/>
  <c r="C169" i="1"/>
  <c r="E169" i="1"/>
  <c r="F169" i="1"/>
  <c r="G169" i="1"/>
  <c r="C170" i="1"/>
  <c r="E170" i="1"/>
  <c r="F170" i="1"/>
  <c r="G170" i="1"/>
  <c r="C171" i="1"/>
  <c r="E171" i="1"/>
  <c r="F171" i="1"/>
  <c r="G171" i="1"/>
  <c r="C172" i="1"/>
  <c r="E172" i="1"/>
  <c r="F172" i="1"/>
  <c r="G172" i="1"/>
  <c r="C173" i="1"/>
  <c r="E173" i="1"/>
  <c r="F173" i="1"/>
  <c r="G173" i="1"/>
  <c r="C174" i="1"/>
  <c r="E174" i="1"/>
  <c r="F174" i="1"/>
  <c r="G174" i="1"/>
  <c r="C175" i="1"/>
  <c r="E175" i="1"/>
  <c r="F175" i="1"/>
  <c r="G175" i="1"/>
  <c r="C176" i="1"/>
  <c r="E176" i="1"/>
  <c r="F176" i="1"/>
  <c r="G176" i="1"/>
  <c r="C177" i="1"/>
  <c r="E177" i="1"/>
  <c r="F177" i="1"/>
  <c r="G177" i="1"/>
  <c r="C178" i="1"/>
  <c r="E178" i="1"/>
  <c r="F178" i="1"/>
  <c r="G178" i="1"/>
  <c r="C179" i="1"/>
  <c r="E179" i="1"/>
  <c r="F179" i="1"/>
  <c r="G179" i="1"/>
  <c r="C180" i="1"/>
  <c r="E180" i="1"/>
  <c r="F180" i="1"/>
  <c r="G180" i="1"/>
  <c r="C181" i="1"/>
  <c r="E181" i="1"/>
  <c r="F181" i="1"/>
  <c r="G181" i="1"/>
  <c r="C182" i="1"/>
  <c r="E182" i="1"/>
  <c r="F182" i="1"/>
  <c r="G182" i="1"/>
  <c r="C183" i="1"/>
  <c r="E183" i="1"/>
  <c r="F183" i="1"/>
  <c r="G183" i="1"/>
  <c r="C184" i="1"/>
  <c r="E184" i="1"/>
  <c r="F184" i="1"/>
  <c r="G184" i="1"/>
  <c r="C185" i="1"/>
  <c r="E185" i="1"/>
  <c r="F185" i="1"/>
  <c r="G185" i="1"/>
  <c r="C186" i="1"/>
  <c r="E186" i="1"/>
  <c r="F186" i="1"/>
  <c r="G186" i="1"/>
  <c r="C187" i="1"/>
  <c r="E187" i="1"/>
  <c r="F187" i="1"/>
  <c r="G187" i="1"/>
  <c r="C188" i="1"/>
  <c r="E188" i="1"/>
  <c r="F188" i="1"/>
  <c r="G188" i="1"/>
  <c r="C189" i="1"/>
  <c r="E189" i="1"/>
  <c r="F189" i="1"/>
  <c r="G189" i="1"/>
  <c r="C190" i="1"/>
  <c r="E190" i="1"/>
  <c r="F190" i="1"/>
  <c r="G190" i="1"/>
  <c r="C191" i="1"/>
  <c r="E191" i="1"/>
  <c r="F191" i="1"/>
  <c r="G191" i="1"/>
  <c r="C192" i="1"/>
  <c r="E192" i="1"/>
  <c r="F192" i="1"/>
  <c r="G192" i="1"/>
  <c r="C193" i="1"/>
  <c r="E193" i="1"/>
  <c r="F193" i="1"/>
  <c r="G193" i="1"/>
  <c r="C194" i="1"/>
  <c r="E194" i="1"/>
  <c r="F194" i="1"/>
  <c r="G194" i="1"/>
  <c r="C195" i="1"/>
  <c r="E195" i="1"/>
  <c r="F195" i="1"/>
  <c r="G195" i="1"/>
  <c r="C196" i="1"/>
  <c r="E196" i="1"/>
  <c r="F196" i="1"/>
  <c r="G196" i="1"/>
  <c r="C197" i="1"/>
  <c r="E197" i="1"/>
  <c r="F197" i="1"/>
  <c r="G197" i="1"/>
  <c r="C198" i="1"/>
  <c r="E198" i="1"/>
  <c r="F198" i="1"/>
  <c r="G198" i="1"/>
  <c r="C199" i="1"/>
  <c r="E199" i="1"/>
  <c r="F199" i="1"/>
  <c r="G199" i="1"/>
  <c r="C200" i="1"/>
  <c r="E200" i="1"/>
  <c r="F200" i="1"/>
  <c r="G200" i="1"/>
  <c r="C201" i="1"/>
  <c r="E201" i="1"/>
  <c r="F201" i="1"/>
  <c r="G201" i="1"/>
  <c r="C202" i="1"/>
  <c r="E202" i="1"/>
  <c r="F202" i="1"/>
  <c r="G202" i="1"/>
  <c r="C203" i="1"/>
  <c r="E203" i="1"/>
  <c r="F203" i="1"/>
  <c r="G203" i="1"/>
  <c r="C204" i="1"/>
  <c r="E204" i="1"/>
  <c r="F204" i="1"/>
  <c r="G204" i="1"/>
  <c r="C205" i="1"/>
  <c r="E205" i="1"/>
  <c r="F205" i="1"/>
  <c r="G205" i="1"/>
  <c r="C206" i="1"/>
  <c r="E206" i="1"/>
  <c r="F206" i="1"/>
  <c r="G206" i="1"/>
  <c r="C207" i="1"/>
  <c r="E207" i="1"/>
  <c r="F207" i="1"/>
  <c r="G207" i="1"/>
  <c r="C208" i="1"/>
  <c r="E208" i="1"/>
  <c r="F208" i="1"/>
  <c r="G208" i="1"/>
  <c r="C209" i="1"/>
  <c r="E209" i="1"/>
  <c r="F209" i="1"/>
  <c r="G209" i="1"/>
  <c r="C210" i="1"/>
  <c r="E210" i="1"/>
  <c r="F210" i="1"/>
  <c r="G210" i="1"/>
  <c r="C211" i="1"/>
  <c r="E211" i="1"/>
  <c r="F211" i="1"/>
  <c r="G211" i="1"/>
  <c r="C212" i="1"/>
  <c r="E212" i="1"/>
  <c r="F212" i="1"/>
  <c r="G212" i="1"/>
  <c r="C213" i="1"/>
  <c r="E213" i="1"/>
  <c r="F213" i="1"/>
  <c r="G213" i="1"/>
  <c r="C214" i="1"/>
  <c r="E214" i="1"/>
  <c r="F214" i="1"/>
  <c r="G214" i="1"/>
  <c r="C215" i="1"/>
  <c r="E215" i="1"/>
  <c r="F215" i="1"/>
  <c r="G215" i="1"/>
  <c r="C216" i="1"/>
  <c r="E216" i="1"/>
  <c r="F216" i="1"/>
  <c r="G216" i="1"/>
  <c r="C217" i="1"/>
  <c r="E217" i="1"/>
  <c r="F217" i="1"/>
  <c r="G217" i="1"/>
  <c r="C218" i="1"/>
  <c r="E218" i="1"/>
  <c r="F218" i="1"/>
  <c r="G218" i="1"/>
  <c r="C219" i="1"/>
  <c r="E219" i="1"/>
  <c r="F219" i="1"/>
  <c r="G219" i="1"/>
  <c r="C220" i="1"/>
  <c r="E220" i="1"/>
  <c r="F220" i="1"/>
  <c r="G220" i="1"/>
  <c r="C221" i="1"/>
  <c r="E221" i="1"/>
  <c r="F221" i="1"/>
  <c r="G221" i="1"/>
  <c r="C222" i="1"/>
  <c r="E222" i="1"/>
  <c r="F222" i="1"/>
  <c r="G222" i="1"/>
  <c r="C223" i="1"/>
  <c r="E223" i="1"/>
  <c r="F223" i="1"/>
  <c r="G223" i="1"/>
  <c r="C224" i="1"/>
  <c r="E224" i="1"/>
  <c r="F224" i="1"/>
  <c r="G224" i="1"/>
  <c r="C225" i="1"/>
  <c r="E225" i="1"/>
  <c r="F225" i="1"/>
  <c r="G225" i="1"/>
  <c r="C226" i="1"/>
  <c r="E226" i="1"/>
  <c r="F226" i="1"/>
  <c r="G226" i="1"/>
  <c r="C227" i="1"/>
  <c r="E227" i="1"/>
  <c r="F227" i="1"/>
  <c r="G227" i="1"/>
  <c r="C228" i="1"/>
  <c r="E228" i="1"/>
  <c r="F228" i="1"/>
  <c r="G228" i="1"/>
  <c r="C229" i="1"/>
  <c r="E229" i="1"/>
  <c r="F229" i="1"/>
  <c r="G229" i="1"/>
  <c r="C230" i="1"/>
  <c r="E230" i="1"/>
  <c r="F230" i="1"/>
  <c r="G230" i="1"/>
  <c r="C231" i="1"/>
  <c r="E231" i="1"/>
  <c r="F231" i="1"/>
  <c r="G231" i="1"/>
  <c r="C232" i="1"/>
  <c r="E232" i="1"/>
  <c r="F232" i="1"/>
  <c r="G232" i="1"/>
  <c r="C233" i="1"/>
  <c r="E233" i="1"/>
  <c r="F233" i="1"/>
  <c r="G233" i="1"/>
  <c r="C234" i="1"/>
  <c r="E234" i="1"/>
  <c r="F234" i="1"/>
  <c r="G234" i="1"/>
  <c r="C235" i="1"/>
  <c r="E235" i="1"/>
  <c r="F235" i="1"/>
  <c r="G235" i="1"/>
  <c r="C236" i="1"/>
  <c r="E236" i="1"/>
  <c r="F236" i="1"/>
  <c r="G236" i="1"/>
  <c r="C237" i="1"/>
  <c r="E237" i="1"/>
  <c r="F237" i="1"/>
  <c r="G237" i="1"/>
  <c r="C238" i="1"/>
  <c r="E238" i="1"/>
  <c r="F238" i="1"/>
  <c r="G238" i="1"/>
  <c r="C239" i="1"/>
  <c r="E239" i="1"/>
  <c r="F239" i="1"/>
  <c r="G239" i="1"/>
  <c r="C240" i="1"/>
  <c r="E240" i="1"/>
  <c r="F240" i="1"/>
  <c r="G240" i="1"/>
  <c r="C241" i="1"/>
  <c r="E241" i="1"/>
  <c r="F241" i="1"/>
  <c r="G241" i="1"/>
  <c r="C242" i="1"/>
  <c r="E242" i="1"/>
  <c r="F242" i="1"/>
  <c r="G242" i="1"/>
  <c r="C243" i="1"/>
  <c r="E243" i="1"/>
  <c r="F243" i="1"/>
  <c r="G243" i="1"/>
  <c r="C244" i="1"/>
  <c r="E244" i="1"/>
  <c r="F244" i="1"/>
  <c r="G244" i="1"/>
  <c r="C245" i="1"/>
  <c r="E245" i="1"/>
  <c r="F245" i="1"/>
  <c r="G245" i="1"/>
  <c r="C246" i="1"/>
  <c r="E246" i="1"/>
  <c r="F246" i="1"/>
  <c r="G246" i="1"/>
  <c r="C247" i="1"/>
  <c r="E247" i="1"/>
  <c r="F247" i="1"/>
  <c r="G247" i="1"/>
  <c r="C248" i="1"/>
  <c r="E248" i="1"/>
  <c r="F248" i="1"/>
  <c r="G248" i="1"/>
  <c r="C249" i="1"/>
  <c r="E249" i="1"/>
  <c r="F249" i="1"/>
  <c r="G249" i="1"/>
  <c r="C250" i="1"/>
  <c r="E250" i="1"/>
  <c r="F250" i="1"/>
  <c r="G250" i="1"/>
  <c r="C251" i="1"/>
  <c r="E251" i="1"/>
  <c r="F251" i="1"/>
  <c r="G251" i="1"/>
  <c r="C252" i="1"/>
  <c r="E252" i="1"/>
  <c r="F252" i="1"/>
  <c r="G252" i="1"/>
  <c r="C253" i="1"/>
  <c r="E253" i="1"/>
  <c r="F253" i="1"/>
  <c r="G253" i="1"/>
  <c r="C254" i="1"/>
  <c r="E254" i="1"/>
  <c r="F254" i="1"/>
  <c r="G254" i="1"/>
  <c r="C255" i="1"/>
  <c r="E255" i="1"/>
  <c r="F255" i="1"/>
  <c r="G255" i="1"/>
  <c r="C256" i="1"/>
  <c r="E256" i="1"/>
  <c r="F256" i="1"/>
  <c r="G256" i="1"/>
  <c r="C257" i="1"/>
  <c r="E257" i="1"/>
  <c r="F257" i="1"/>
  <c r="G257" i="1"/>
  <c r="C258" i="1"/>
  <c r="E258" i="1"/>
  <c r="F258" i="1"/>
  <c r="G258" i="1"/>
  <c r="C259" i="1"/>
  <c r="E259" i="1"/>
  <c r="F259" i="1"/>
  <c r="G259" i="1"/>
  <c r="C260" i="1"/>
  <c r="E260" i="1"/>
  <c r="F260" i="1"/>
  <c r="G260" i="1"/>
  <c r="C261" i="1"/>
  <c r="E261" i="1"/>
  <c r="F261" i="1"/>
  <c r="G261" i="1"/>
  <c r="C262" i="1"/>
  <c r="E262" i="1"/>
  <c r="F262" i="1"/>
  <c r="G262" i="1"/>
  <c r="C263" i="1"/>
  <c r="E263" i="1"/>
  <c r="F263" i="1"/>
  <c r="G263" i="1"/>
  <c r="C264" i="1"/>
  <c r="E264" i="1"/>
  <c r="F264" i="1"/>
  <c r="G264" i="1"/>
  <c r="C265" i="1"/>
  <c r="E265" i="1"/>
  <c r="F265" i="1"/>
  <c r="G265" i="1"/>
  <c r="C266" i="1"/>
  <c r="E266" i="1"/>
  <c r="F266" i="1"/>
  <c r="G266" i="1"/>
  <c r="C267" i="1"/>
  <c r="E267" i="1"/>
  <c r="F267" i="1"/>
  <c r="G267" i="1"/>
  <c r="C268" i="1"/>
  <c r="E268" i="1"/>
  <c r="F268" i="1"/>
  <c r="G268" i="1"/>
  <c r="C269" i="1"/>
  <c r="E269" i="1"/>
  <c r="F269" i="1"/>
  <c r="G269" i="1"/>
  <c r="C270" i="1"/>
  <c r="E270" i="1"/>
  <c r="F270" i="1"/>
  <c r="G270" i="1"/>
  <c r="C271" i="1"/>
  <c r="E271" i="1"/>
  <c r="F271" i="1"/>
  <c r="G271" i="1"/>
  <c r="C272" i="1"/>
  <c r="E272" i="1"/>
  <c r="F272" i="1"/>
  <c r="G272" i="1"/>
  <c r="C273" i="1"/>
  <c r="E273" i="1"/>
  <c r="F273" i="1"/>
  <c r="G273" i="1"/>
  <c r="C274" i="1"/>
  <c r="E274" i="1"/>
  <c r="F274" i="1"/>
  <c r="G274" i="1"/>
  <c r="C275" i="1"/>
  <c r="E275" i="1"/>
  <c r="F275" i="1"/>
  <c r="G275" i="1"/>
  <c r="C276" i="1"/>
  <c r="E276" i="1"/>
  <c r="F276" i="1"/>
  <c r="G276" i="1"/>
  <c r="C277" i="1"/>
  <c r="E277" i="1"/>
  <c r="F277" i="1"/>
  <c r="G277" i="1"/>
  <c r="C278" i="1"/>
  <c r="E278" i="1"/>
  <c r="F278" i="1"/>
  <c r="G278" i="1"/>
  <c r="C279" i="1"/>
  <c r="E279" i="1"/>
  <c r="F279" i="1"/>
  <c r="G279" i="1"/>
  <c r="C280" i="1"/>
  <c r="E280" i="1"/>
  <c r="F280" i="1"/>
  <c r="G280" i="1"/>
  <c r="C281" i="1"/>
  <c r="E281" i="1"/>
  <c r="F281" i="1"/>
  <c r="G281" i="1"/>
  <c r="C282" i="1"/>
  <c r="E282" i="1"/>
  <c r="F282" i="1"/>
  <c r="G282" i="1"/>
  <c r="C283" i="1"/>
  <c r="E283" i="1"/>
  <c r="F283" i="1"/>
  <c r="G283" i="1"/>
  <c r="C284" i="1"/>
  <c r="E284" i="1"/>
  <c r="F284" i="1"/>
  <c r="G284" i="1"/>
  <c r="C285" i="1"/>
  <c r="E285" i="1"/>
  <c r="F285" i="1"/>
  <c r="G285" i="1"/>
  <c r="C286" i="1"/>
  <c r="E286" i="1"/>
  <c r="F286" i="1"/>
  <c r="G286" i="1"/>
  <c r="C287" i="1"/>
  <c r="E287" i="1"/>
  <c r="F287" i="1"/>
  <c r="G287" i="1"/>
  <c r="C288" i="1"/>
  <c r="E288" i="1"/>
  <c r="F288" i="1"/>
  <c r="G288" i="1"/>
  <c r="C289" i="1"/>
  <c r="E289" i="1"/>
  <c r="F289" i="1"/>
  <c r="G289" i="1"/>
  <c r="C290" i="1"/>
  <c r="E290" i="1"/>
  <c r="F290" i="1"/>
  <c r="G290" i="1"/>
  <c r="C291" i="1"/>
  <c r="E291" i="1"/>
  <c r="F291" i="1"/>
  <c r="G291" i="1"/>
  <c r="C292" i="1"/>
  <c r="E292" i="1"/>
  <c r="F292" i="1"/>
  <c r="G292" i="1"/>
  <c r="C293" i="1"/>
  <c r="E293" i="1"/>
  <c r="F293" i="1"/>
  <c r="G293" i="1"/>
  <c r="C294" i="1"/>
  <c r="E294" i="1"/>
  <c r="F294" i="1"/>
  <c r="G294" i="1"/>
  <c r="C295" i="1"/>
  <c r="E295" i="1"/>
  <c r="F295" i="1"/>
  <c r="G295" i="1"/>
  <c r="C296" i="1"/>
  <c r="E296" i="1"/>
  <c r="F296" i="1"/>
  <c r="G296" i="1"/>
  <c r="C297" i="1"/>
  <c r="E297" i="1"/>
  <c r="F297" i="1"/>
  <c r="G297" i="1"/>
  <c r="C298" i="1"/>
  <c r="E298" i="1"/>
  <c r="F298" i="1"/>
  <c r="G298" i="1"/>
  <c r="C299" i="1"/>
  <c r="E299" i="1"/>
  <c r="F299" i="1"/>
  <c r="G299" i="1"/>
  <c r="C300" i="1"/>
  <c r="E300" i="1"/>
  <c r="F300" i="1"/>
  <c r="G300" i="1"/>
  <c r="C301" i="1"/>
  <c r="E301" i="1"/>
  <c r="F301" i="1"/>
  <c r="G301" i="1"/>
  <c r="C302" i="1"/>
  <c r="E302" i="1"/>
  <c r="F302" i="1"/>
  <c r="G302" i="1"/>
  <c r="C303" i="1"/>
  <c r="E303" i="1"/>
  <c r="F303" i="1"/>
  <c r="G303" i="1"/>
  <c r="C304" i="1"/>
  <c r="E304" i="1"/>
  <c r="F304" i="1"/>
  <c r="G304" i="1"/>
  <c r="C305" i="1"/>
  <c r="E305" i="1"/>
  <c r="F305" i="1"/>
  <c r="G305" i="1"/>
  <c r="C306" i="1"/>
  <c r="E306" i="1"/>
  <c r="F306" i="1"/>
  <c r="G306" i="1"/>
  <c r="C307" i="1"/>
  <c r="E307" i="1"/>
  <c r="F307" i="1"/>
  <c r="G307" i="1"/>
  <c r="C308" i="1"/>
  <c r="E308" i="1"/>
  <c r="F308" i="1"/>
  <c r="G308" i="1"/>
  <c r="C309" i="1"/>
  <c r="E309" i="1"/>
  <c r="F309" i="1"/>
  <c r="G309" i="1"/>
  <c r="C310" i="1"/>
  <c r="E310" i="1"/>
  <c r="F310" i="1"/>
  <c r="G310" i="1"/>
  <c r="C311" i="1"/>
  <c r="E311" i="1"/>
  <c r="F311" i="1"/>
  <c r="G311" i="1"/>
  <c r="C312" i="1"/>
  <c r="E312" i="1"/>
  <c r="F312" i="1"/>
  <c r="G312" i="1"/>
  <c r="C313" i="1"/>
  <c r="E313" i="1"/>
  <c r="F313" i="1"/>
  <c r="G313" i="1"/>
  <c r="C314" i="1"/>
  <c r="E314" i="1"/>
  <c r="F314" i="1"/>
  <c r="G314" i="1"/>
  <c r="C315" i="1"/>
  <c r="E315" i="1"/>
  <c r="F315" i="1"/>
  <c r="G315" i="1"/>
  <c r="C316" i="1"/>
  <c r="E316" i="1"/>
  <c r="F316" i="1"/>
  <c r="G316" i="1"/>
  <c r="C317" i="1"/>
  <c r="E317" i="1"/>
  <c r="F317" i="1"/>
  <c r="G317" i="1"/>
  <c r="C318" i="1"/>
  <c r="E318" i="1"/>
  <c r="F318" i="1"/>
  <c r="G318" i="1"/>
  <c r="C319" i="1"/>
  <c r="E319" i="1"/>
  <c r="F319" i="1"/>
  <c r="G319" i="1"/>
  <c r="C320" i="1"/>
  <c r="E320" i="1"/>
  <c r="F320" i="1"/>
  <c r="G320" i="1"/>
  <c r="C321" i="1"/>
  <c r="E321" i="1"/>
  <c r="F321" i="1"/>
  <c r="G321" i="1"/>
  <c r="C322" i="1"/>
  <c r="E322" i="1"/>
  <c r="F322" i="1"/>
  <c r="G322" i="1"/>
  <c r="C323" i="1"/>
  <c r="E323" i="1"/>
  <c r="F323" i="1"/>
  <c r="G323" i="1"/>
  <c r="C324" i="1"/>
  <c r="E324" i="1"/>
  <c r="F324" i="1"/>
  <c r="G324" i="1"/>
  <c r="C325" i="1"/>
  <c r="E325" i="1"/>
  <c r="F325" i="1"/>
  <c r="G325" i="1"/>
  <c r="C326" i="1"/>
  <c r="E326" i="1"/>
  <c r="F326" i="1"/>
  <c r="G326" i="1"/>
  <c r="C327" i="1"/>
  <c r="E327" i="1"/>
  <c r="F327" i="1"/>
  <c r="G327" i="1"/>
  <c r="C328" i="1"/>
  <c r="E328" i="1"/>
  <c r="F328" i="1"/>
  <c r="G328" i="1"/>
  <c r="C329" i="1"/>
  <c r="E329" i="1"/>
  <c r="F329" i="1"/>
  <c r="G329" i="1"/>
  <c r="C330" i="1"/>
  <c r="E330" i="1"/>
  <c r="F330" i="1"/>
  <c r="G330" i="1"/>
  <c r="C331" i="1"/>
  <c r="E331" i="1"/>
  <c r="F331" i="1"/>
  <c r="G331" i="1"/>
  <c r="C332" i="1"/>
  <c r="E332" i="1"/>
  <c r="F332" i="1"/>
  <c r="G332" i="1"/>
  <c r="C333" i="1"/>
  <c r="E333" i="1"/>
  <c r="F333" i="1"/>
  <c r="G333" i="1"/>
  <c r="C334" i="1"/>
  <c r="E334" i="1"/>
  <c r="F334" i="1"/>
  <c r="G334" i="1"/>
  <c r="C335" i="1"/>
  <c r="E335" i="1"/>
  <c r="F335" i="1"/>
  <c r="G335" i="1"/>
  <c r="C336" i="1"/>
  <c r="E336" i="1"/>
  <c r="F336" i="1"/>
  <c r="G336" i="1"/>
  <c r="C337" i="1"/>
  <c r="E337" i="1"/>
  <c r="F337" i="1"/>
  <c r="G337" i="1"/>
  <c r="C338" i="1"/>
  <c r="E338" i="1"/>
  <c r="F338" i="1"/>
  <c r="G338" i="1"/>
  <c r="C339" i="1"/>
  <c r="E339" i="1"/>
  <c r="F339" i="1"/>
  <c r="G339" i="1"/>
  <c r="C340" i="1"/>
  <c r="E340" i="1"/>
  <c r="F340" i="1"/>
  <c r="G340" i="1"/>
  <c r="C341" i="1"/>
  <c r="E341" i="1"/>
  <c r="F341" i="1"/>
  <c r="G341" i="1"/>
  <c r="C342" i="1"/>
  <c r="E342" i="1"/>
  <c r="F342" i="1"/>
  <c r="G342" i="1"/>
  <c r="C343" i="1"/>
  <c r="E343" i="1"/>
  <c r="F343" i="1"/>
  <c r="G343" i="1"/>
  <c r="C344" i="1"/>
  <c r="E344" i="1"/>
  <c r="F344" i="1"/>
  <c r="G344" i="1"/>
  <c r="C345" i="1"/>
  <c r="E345" i="1"/>
  <c r="F345" i="1"/>
  <c r="G345" i="1"/>
  <c r="C346" i="1"/>
  <c r="E346" i="1"/>
  <c r="F346" i="1"/>
  <c r="G346" i="1"/>
  <c r="C347" i="1"/>
  <c r="E347" i="1"/>
  <c r="F347" i="1"/>
  <c r="G347" i="1"/>
  <c r="C348" i="1"/>
  <c r="E348" i="1"/>
  <c r="F348" i="1"/>
  <c r="G348" i="1"/>
  <c r="C349" i="1"/>
  <c r="E349" i="1"/>
  <c r="F349" i="1"/>
  <c r="G349" i="1"/>
  <c r="C350" i="1"/>
  <c r="E350" i="1"/>
  <c r="F350" i="1"/>
  <c r="G350" i="1"/>
  <c r="C351" i="1"/>
  <c r="E351" i="1"/>
  <c r="F351" i="1"/>
  <c r="G351" i="1"/>
  <c r="C352" i="1"/>
  <c r="E352" i="1"/>
  <c r="F352" i="1"/>
  <c r="G352" i="1"/>
  <c r="C353" i="1"/>
  <c r="E353" i="1"/>
  <c r="F353" i="1"/>
  <c r="G353" i="1"/>
  <c r="C354" i="1"/>
  <c r="E354" i="1"/>
  <c r="F354" i="1"/>
  <c r="G354" i="1"/>
  <c r="C355" i="1"/>
  <c r="E355" i="1"/>
  <c r="F355" i="1"/>
  <c r="G355" i="1"/>
  <c r="C356" i="1"/>
  <c r="E356" i="1"/>
  <c r="F356" i="1"/>
  <c r="G356" i="1"/>
  <c r="C357" i="1"/>
  <c r="E357" i="1"/>
  <c r="F357" i="1"/>
  <c r="G357" i="1"/>
  <c r="C358" i="1"/>
  <c r="E358" i="1"/>
  <c r="F358" i="1"/>
  <c r="G358" i="1"/>
  <c r="C359" i="1"/>
  <c r="E359" i="1"/>
  <c r="F359" i="1"/>
  <c r="G359" i="1"/>
  <c r="C360" i="1"/>
  <c r="E360" i="1"/>
  <c r="F360" i="1"/>
  <c r="G360" i="1"/>
  <c r="C361" i="1"/>
  <c r="E361" i="1"/>
  <c r="F361" i="1"/>
  <c r="G361" i="1"/>
  <c r="C362" i="1"/>
  <c r="E362" i="1"/>
  <c r="F362" i="1"/>
  <c r="G362" i="1"/>
  <c r="C363" i="1"/>
  <c r="E363" i="1"/>
  <c r="F363" i="1"/>
  <c r="G363" i="1"/>
  <c r="C364" i="1"/>
  <c r="E364" i="1"/>
  <c r="F364" i="1"/>
  <c r="G364" i="1"/>
  <c r="C365" i="1"/>
  <c r="E365" i="1"/>
  <c r="F365" i="1"/>
  <c r="G365" i="1"/>
  <c r="C366" i="1"/>
  <c r="E366" i="1"/>
  <c r="F366" i="1"/>
  <c r="G366" i="1"/>
  <c r="C367" i="1"/>
  <c r="E367" i="1"/>
  <c r="F367" i="1"/>
  <c r="G367" i="1"/>
  <c r="C368" i="1"/>
  <c r="E368" i="1"/>
  <c r="F368" i="1"/>
  <c r="G368" i="1"/>
  <c r="C369" i="1"/>
  <c r="E369" i="1"/>
  <c r="F369" i="1"/>
  <c r="G369" i="1"/>
  <c r="C370" i="1"/>
  <c r="E370" i="1"/>
  <c r="F370" i="1"/>
  <c r="G370" i="1"/>
  <c r="C371" i="1"/>
  <c r="E371" i="1"/>
  <c r="F371" i="1"/>
  <c r="G371" i="1"/>
  <c r="C372" i="1"/>
  <c r="E372" i="1"/>
  <c r="F372" i="1"/>
  <c r="G372" i="1"/>
  <c r="C373" i="1"/>
  <c r="E373" i="1"/>
  <c r="F373" i="1"/>
  <c r="G373" i="1"/>
  <c r="C374" i="1"/>
  <c r="E374" i="1"/>
  <c r="F374" i="1"/>
  <c r="G374" i="1"/>
  <c r="C375" i="1"/>
  <c r="E375" i="1"/>
  <c r="F375" i="1"/>
  <c r="G375" i="1"/>
  <c r="C376" i="1"/>
  <c r="E376" i="1"/>
  <c r="F376" i="1"/>
  <c r="G376" i="1"/>
  <c r="C377" i="1"/>
  <c r="E377" i="1"/>
  <c r="F377" i="1"/>
  <c r="G377" i="1"/>
  <c r="C378" i="1"/>
  <c r="E378" i="1"/>
  <c r="F378" i="1"/>
  <c r="G378" i="1"/>
  <c r="C379" i="1"/>
  <c r="E379" i="1"/>
  <c r="F379" i="1"/>
  <c r="G379" i="1"/>
  <c r="C380" i="1"/>
  <c r="E380" i="1"/>
  <c r="F380" i="1"/>
  <c r="G380" i="1"/>
  <c r="C381" i="1"/>
  <c r="E381" i="1"/>
  <c r="F381" i="1"/>
  <c r="G381" i="1"/>
  <c r="C382" i="1"/>
  <c r="E382" i="1"/>
  <c r="F382" i="1"/>
  <c r="G382" i="1"/>
  <c r="C383" i="1"/>
  <c r="E383" i="1"/>
  <c r="F383" i="1"/>
  <c r="G383" i="1"/>
  <c r="C384" i="1"/>
  <c r="E384" i="1"/>
  <c r="F384" i="1"/>
  <c r="G384" i="1"/>
  <c r="C385" i="1"/>
  <c r="E385" i="1"/>
  <c r="F385" i="1"/>
  <c r="G385" i="1"/>
  <c r="C386" i="1"/>
  <c r="E386" i="1"/>
  <c r="F386" i="1"/>
  <c r="G386" i="1"/>
  <c r="C387" i="1"/>
  <c r="E387" i="1"/>
  <c r="F387" i="1"/>
  <c r="G387" i="1"/>
  <c r="C388" i="1"/>
  <c r="E388" i="1"/>
  <c r="F388" i="1"/>
  <c r="G388" i="1"/>
  <c r="C389" i="1"/>
  <c r="E389" i="1"/>
  <c r="F389" i="1"/>
  <c r="G389" i="1"/>
  <c r="C390" i="1"/>
  <c r="E390" i="1"/>
  <c r="F390" i="1"/>
  <c r="G390" i="1"/>
  <c r="C391" i="1"/>
  <c r="E391" i="1"/>
  <c r="F391" i="1"/>
  <c r="G391" i="1"/>
  <c r="C392" i="1"/>
  <c r="E392" i="1"/>
  <c r="F392" i="1"/>
  <c r="G392" i="1"/>
  <c r="C393" i="1"/>
  <c r="E393" i="1"/>
  <c r="F393" i="1"/>
  <c r="G393" i="1"/>
  <c r="C394" i="1"/>
  <c r="E394" i="1"/>
  <c r="F394" i="1"/>
  <c r="G394" i="1"/>
  <c r="C395" i="1"/>
  <c r="E395" i="1"/>
  <c r="F395" i="1"/>
  <c r="G395" i="1"/>
  <c r="C396" i="1"/>
  <c r="E396" i="1"/>
  <c r="F396" i="1"/>
  <c r="G396" i="1"/>
  <c r="C397" i="1"/>
  <c r="E397" i="1"/>
  <c r="F397" i="1"/>
  <c r="G397" i="1"/>
  <c r="C398" i="1"/>
  <c r="E398" i="1"/>
  <c r="F398" i="1"/>
  <c r="G398" i="1"/>
  <c r="C399" i="1"/>
  <c r="E399" i="1"/>
  <c r="F399" i="1"/>
  <c r="G399" i="1"/>
  <c r="C400" i="1"/>
  <c r="E400" i="1"/>
  <c r="F400" i="1"/>
  <c r="G400" i="1"/>
  <c r="C401" i="1"/>
  <c r="E401" i="1"/>
  <c r="F401" i="1"/>
  <c r="G401" i="1"/>
  <c r="C402" i="1"/>
  <c r="E402" i="1"/>
  <c r="F402" i="1"/>
  <c r="G402" i="1"/>
  <c r="C403" i="1"/>
  <c r="E403" i="1"/>
  <c r="F403" i="1"/>
  <c r="G403" i="1"/>
  <c r="C404" i="1"/>
  <c r="E404" i="1"/>
  <c r="F404" i="1"/>
  <c r="G404" i="1"/>
  <c r="C405" i="1"/>
  <c r="E405" i="1"/>
  <c r="F405" i="1"/>
  <c r="G405" i="1"/>
  <c r="C406" i="1"/>
  <c r="E406" i="1"/>
  <c r="F406" i="1"/>
  <c r="G406" i="1"/>
  <c r="C407" i="1"/>
  <c r="E407" i="1"/>
  <c r="F407" i="1"/>
  <c r="G407" i="1"/>
  <c r="C408" i="1"/>
  <c r="E408" i="1"/>
  <c r="F408" i="1"/>
  <c r="G408" i="1"/>
  <c r="C409" i="1"/>
  <c r="E409" i="1"/>
  <c r="F409" i="1"/>
  <c r="G409" i="1"/>
  <c r="C410" i="1"/>
  <c r="E410" i="1"/>
  <c r="F410" i="1"/>
  <c r="G410" i="1"/>
  <c r="C411" i="1"/>
  <c r="E411" i="1"/>
  <c r="F411" i="1"/>
  <c r="G411" i="1"/>
  <c r="C412" i="1"/>
  <c r="E412" i="1"/>
  <c r="F412" i="1"/>
  <c r="G412" i="1"/>
  <c r="C413" i="1"/>
  <c r="E413" i="1"/>
  <c r="F413" i="1"/>
  <c r="G413" i="1"/>
  <c r="C414" i="1"/>
  <c r="E414" i="1"/>
  <c r="F414" i="1"/>
  <c r="G414" i="1"/>
  <c r="C415" i="1"/>
  <c r="E415" i="1"/>
  <c r="F415" i="1"/>
  <c r="G415" i="1"/>
  <c r="C416" i="1"/>
  <c r="E416" i="1"/>
  <c r="F416" i="1"/>
  <c r="G416" i="1"/>
  <c r="C417" i="1"/>
  <c r="E417" i="1"/>
  <c r="F417" i="1"/>
  <c r="G417" i="1"/>
  <c r="C418" i="1"/>
  <c r="E418" i="1"/>
  <c r="F418" i="1"/>
  <c r="G418" i="1"/>
  <c r="C419" i="1"/>
  <c r="E419" i="1"/>
  <c r="F419" i="1"/>
  <c r="G419" i="1"/>
  <c r="C420" i="1"/>
  <c r="E420" i="1"/>
  <c r="F420" i="1"/>
  <c r="G420" i="1"/>
  <c r="C421" i="1"/>
  <c r="E421" i="1"/>
  <c r="F421" i="1"/>
  <c r="G421" i="1"/>
  <c r="C422" i="1"/>
  <c r="E422" i="1"/>
  <c r="F422" i="1"/>
  <c r="G422" i="1"/>
  <c r="C423" i="1"/>
  <c r="E423" i="1"/>
  <c r="F423" i="1"/>
  <c r="G423" i="1"/>
  <c r="C424" i="1"/>
  <c r="E424" i="1"/>
  <c r="F424" i="1"/>
  <c r="G424" i="1"/>
  <c r="C425" i="1"/>
  <c r="E425" i="1"/>
  <c r="F425" i="1"/>
  <c r="G425" i="1"/>
  <c r="C426" i="1"/>
  <c r="E426" i="1"/>
  <c r="F426" i="1"/>
  <c r="G426" i="1"/>
  <c r="C427" i="1"/>
  <c r="E427" i="1"/>
  <c r="F427" i="1"/>
  <c r="G427" i="1"/>
  <c r="C428" i="1"/>
  <c r="E428" i="1"/>
  <c r="F428" i="1"/>
  <c r="G428" i="1"/>
  <c r="C429" i="1"/>
  <c r="E429" i="1"/>
  <c r="F429" i="1"/>
  <c r="G429" i="1"/>
  <c r="C430" i="1"/>
  <c r="E430" i="1"/>
  <c r="F430" i="1"/>
  <c r="G430" i="1"/>
  <c r="C431" i="1"/>
  <c r="E431" i="1"/>
  <c r="F431" i="1"/>
  <c r="G431" i="1"/>
  <c r="C432" i="1"/>
  <c r="E432" i="1"/>
  <c r="F432" i="1"/>
  <c r="G432" i="1"/>
  <c r="C433" i="1"/>
  <c r="E433" i="1"/>
  <c r="F433" i="1"/>
  <c r="G433" i="1"/>
  <c r="C434" i="1"/>
  <c r="E434" i="1"/>
  <c r="F434" i="1"/>
  <c r="G434" i="1"/>
  <c r="C435" i="1"/>
  <c r="E435" i="1"/>
  <c r="F435" i="1"/>
  <c r="G435" i="1"/>
  <c r="C436" i="1"/>
  <c r="E436" i="1"/>
  <c r="F436" i="1"/>
  <c r="G436" i="1"/>
  <c r="C437" i="1"/>
  <c r="E437" i="1"/>
  <c r="F437" i="1"/>
  <c r="G437" i="1"/>
  <c r="C438" i="1"/>
  <c r="E438" i="1"/>
  <c r="F438" i="1"/>
  <c r="G438" i="1"/>
  <c r="C439" i="1"/>
  <c r="E439" i="1"/>
  <c r="F439" i="1"/>
  <c r="G439" i="1"/>
  <c r="C440" i="1"/>
  <c r="E440" i="1"/>
  <c r="F440" i="1"/>
  <c r="G440" i="1"/>
  <c r="C441" i="1"/>
  <c r="E441" i="1"/>
  <c r="F441" i="1"/>
  <c r="G441" i="1"/>
  <c r="C442" i="1"/>
  <c r="E442" i="1"/>
  <c r="F442" i="1"/>
  <c r="G442" i="1"/>
  <c r="C443" i="1"/>
  <c r="E443" i="1"/>
  <c r="F443" i="1"/>
  <c r="G443" i="1"/>
  <c r="C444" i="1"/>
  <c r="E444" i="1"/>
  <c r="F444" i="1"/>
  <c r="G444" i="1"/>
  <c r="C445" i="1"/>
  <c r="E445" i="1"/>
  <c r="F445" i="1"/>
  <c r="G445" i="1"/>
  <c r="C446" i="1"/>
  <c r="E446" i="1"/>
  <c r="F446" i="1"/>
  <c r="G446" i="1"/>
  <c r="C447" i="1"/>
  <c r="E447" i="1"/>
  <c r="F447" i="1"/>
  <c r="G447" i="1"/>
  <c r="C448" i="1"/>
  <c r="E448" i="1"/>
  <c r="F448" i="1"/>
  <c r="G448" i="1"/>
  <c r="C449" i="1"/>
  <c r="E449" i="1"/>
  <c r="F449" i="1"/>
  <c r="G449" i="1"/>
  <c r="C450" i="1"/>
  <c r="E450" i="1"/>
  <c r="F450" i="1"/>
  <c r="G450" i="1"/>
  <c r="C451" i="1"/>
  <c r="E451" i="1"/>
  <c r="F451" i="1"/>
  <c r="G451" i="1"/>
  <c r="C452" i="1"/>
  <c r="E452" i="1"/>
  <c r="F452" i="1"/>
  <c r="G452" i="1"/>
  <c r="C453" i="1"/>
  <c r="E453" i="1"/>
  <c r="F453" i="1"/>
  <c r="G453" i="1"/>
  <c r="C454" i="1"/>
  <c r="E454" i="1"/>
  <c r="F454" i="1"/>
  <c r="G454" i="1"/>
  <c r="C455" i="1"/>
  <c r="E455" i="1"/>
  <c r="F455" i="1"/>
  <c r="G455" i="1"/>
  <c r="C456" i="1"/>
  <c r="E456" i="1"/>
  <c r="F456" i="1"/>
  <c r="G456" i="1"/>
  <c r="C457" i="1"/>
  <c r="E457" i="1"/>
  <c r="F457" i="1"/>
  <c r="G457" i="1"/>
  <c r="C458" i="1"/>
  <c r="E458" i="1"/>
  <c r="F458" i="1"/>
  <c r="G458" i="1"/>
  <c r="C459" i="1"/>
  <c r="E459" i="1"/>
  <c r="F459" i="1"/>
  <c r="G459" i="1"/>
  <c r="C460" i="1"/>
  <c r="E460" i="1"/>
  <c r="F460" i="1"/>
  <c r="G460" i="1"/>
  <c r="C461" i="1"/>
  <c r="E461" i="1"/>
  <c r="F461" i="1"/>
  <c r="G461" i="1"/>
  <c r="C462" i="1"/>
  <c r="E462" i="1"/>
  <c r="F462" i="1"/>
  <c r="G462" i="1"/>
  <c r="C463" i="1"/>
  <c r="E463" i="1"/>
  <c r="F463" i="1"/>
  <c r="G463" i="1"/>
  <c r="C464" i="1"/>
  <c r="E464" i="1"/>
  <c r="F464" i="1"/>
  <c r="G464" i="1"/>
  <c r="C465" i="1"/>
  <c r="E465" i="1"/>
  <c r="F465" i="1"/>
  <c r="G465" i="1"/>
  <c r="C466" i="1"/>
  <c r="E466" i="1"/>
  <c r="F466" i="1"/>
  <c r="G466" i="1"/>
  <c r="C467" i="1"/>
  <c r="E467" i="1"/>
  <c r="F467" i="1"/>
  <c r="G467" i="1"/>
  <c r="C468" i="1"/>
  <c r="E468" i="1"/>
  <c r="F468" i="1"/>
  <c r="G468" i="1"/>
  <c r="C469" i="1"/>
  <c r="E469" i="1"/>
  <c r="F469" i="1"/>
  <c r="G469" i="1"/>
  <c r="C470" i="1"/>
  <c r="E470" i="1"/>
  <c r="F470" i="1"/>
  <c r="G470" i="1"/>
  <c r="C471" i="1"/>
  <c r="E471" i="1"/>
  <c r="F471" i="1"/>
  <c r="G471" i="1"/>
  <c r="C472" i="1"/>
  <c r="E472" i="1"/>
  <c r="F472" i="1"/>
  <c r="G472" i="1"/>
  <c r="C473" i="1"/>
  <c r="E473" i="1"/>
  <c r="F473" i="1"/>
  <c r="G473" i="1"/>
  <c r="C474" i="1"/>
  <c r="E474" i="1"/>
  <c r="F474" i="1"/>
  <c r="G474" i="1"/>
  <c r="C475" i="1"/>
  <c r="E475" i="1"/>
  <c r="F475" i="1"/>
  <c r="G475" i="1"/>
  <c r="C476" i="1"/>
  <c r="E476" i="1"/>
  <c r="F476" i="1"/>
  <c r="G476" i="1"/>
  <c r="C477" i="1"/>
  <c r="E477" i="1"/>
  <c r="F477" i="1"/>
  <c r="G477" i="1"/>
  <c r="C478" i="1"/>
  <c r="E478" i="1"/>
  <c r="F478" i="1"/>
  <c r="G478" i="1"/>
  <c r="C479" i="1"/>
  <c r="E479" i="1"/>
  <c r="F479" i="1"/>
  <c r="G479" i="1"/>
  <c r="C480" i="1"/>
  <c r="E480" i="1"/>
  <c r="F480" i="1"/>
  <c r="G480" i="1"/>
  <c r="C481" i="1"/>
  <c r="E481" i="1"/>
  <c r="F481" i="1"/>
  <c r="G481" i="1"/>
  <c r="C482" i="1"/>
  <c r="E482" i="1"/>
  <c r="F482" i="1"/>
  <c r="G482" i="1"/>
  <c r="C483" i="1"/>
  <c r="E483" i="1"/>
  <c r="F483" i="1"/>
  <c r="G483" i="1"/>
  <c r="C484" i="1"/>
  <c r="E484" i="1"/>
  <c r="F484" i="1"/>
  <c r="G484" i="1"/>
  <c r="C485" i="1"/>
  <c r="E485" i="1"/>
  <c r="F485" i="1"/>
  <c r="G485" i="1"/>
  <c r="C486" i="1"/>
  <c r="E486" i="1"/>
  <c r="F486" i="1"/>
  <c r="G486" i="1"/>
  <c r="C487" i="1"/>
  <c r="E487" i="1"/>
  <c r="F487" i="1"/>
  <c r="G487" i="1"/>
  <c r="C488" i="1"/>
  <c r="E488" i="1"/>
  <c r="F488" i="1"/>
  <c r="G488" i="1"/>
  <c r="C489" i="1"/>
  <c r="E489" i="1"/>
  <c r="F489" i="1"/>
  <c r="G489" i="1"/>
  <c r="C490" i="1"/>
  <c r="E490" i="1"/>
  <c r="F490" i="1"/>
  <c r="G490" i="1"/>
  <c r="C491" i="1"/>
  <c r="E491" i="1"/>
  <c r="F491" i="1"/>
  <c r="G491" i="1"/>
  <c r="C492" i="1"/>
  <c r="E492" i="1"/>
  <c r="F492" i="1"/>
  <c r="G492" i="1"/>
  <c r="C493" i="1"/>
  <c r="E493" i="1"/>
  <c r="F493" i="1"/>
  <c r="G493" i="1"/>
  <c r="C494" i="1"/>
  <c r="E494" i="1"/>
  <c r="F494" i="1"/>
  <c r="G494" i="1"/>
  <c r="C495" i="1"/>
  <c r="E495" i="1"/>
  <c r="F495" i="1"/>
  <c r="G495" i="1"/>
  <c r="C496" i="1"/>
  <c r="E496" i="1"/>
  <c r="F496" i="1"/>
  <c r="G496" i="1"/>
  <c r="C497" i="1"/>
  <c r="E497" i="1"/>
  <c r="F497" i="1"/>
  <c r="G497" i="1"/>
  <c r="C498" i="1"/>
  <c r="E498" i="1"/>
  <c r="F498" i="1"/>
  <c r="G498" i="1"/>
  <c r="C499" i="1"/>
  <c r="E499" i="1"/>
  <c r="F499" i="1"/>
  <c r="G499" i="1"/>
  <c r="C500" i="1"/>
  <c r="E500" i="1"/>
  <c r="F500" i="1"/>
  <c r="G500" i="1"/>
  <c r="C501" i="1"/>
  <c r="E501" i="1"/>
  <c r="F501" i="1"/>
  <c r="G501" i="1"/>
  <c r="C502" i="1"/>
  <c r="E502" i="1"/>
  <c r="F502" i="1"/>
  <c r="G502" i="1"/>
  <c r="C503" i="1"/>
  <c r="E503" i="1"/>
  <c r="F503" i="1"/>
  <c r="G503" i="1"/>
  <c r="C504" i="1"/>
  <c r="E504" i="1"/>
  <c r="F504" i="1"/>
  <c r="G504" i="1"/>
  <c r="C505" i="1"/>
  <c r="E505" i="1"/>
  <c r="F505" i="1"/>
  <c r="G505" i="1"/>
  <c r="C506" i="1"/>
  <c r="E506" i="1"/>
  <c r="F506" i="1"/>
  <c r="G506" i="1"/>
  <c r="C507" i="1"/>
  <c r="E507" i="1"/>
  <c r="F507" i="1"/>
  <c r="G507" i="1"/>
  <c r="C508" i="1"/>
  <c r="E508" i="1"/>
  <c r="F508" i="1"/>
  <c r="G508" i="1"/>
  <c r="C509" i="1"/>
  <c r="E509" i="1"/>
  <c r="F509" i="1"/>
  <c r="G509" i="1"/>
  <c r="C510" i="1"/>
  <c r="E510" i="1"/>
  <c r="F510" i="1"/>
  <c r="G510" i="1"/>
  <c r="C511" i="1"/>
  <c r="E511" i="1"/>
  <c r="F511" i="1"/>
  <c r="G511" i="1"/>
  <c r="C512" i="1"/>
  <c r="E512" i="1"/>
  <c r="F512" i="1"/>
  <c r="G512" i="1"/>
  <c r="C513" i="1"/>
  <c r="E513" i="1"/>
  <c r="F513" i="1"/>
  <c r="G513" i="1"/>
  <c r="C514" i="1"/>
  <c r="E514" i="1"/>
  <c r="F514" i="1"/>
  <c r="G514" i="1"/>
  <c r="C515" i="1"/>
  <c r="E515" i="1"/>
  <c r="F515" i="1"/>
  <c r="G515" i="1"/>
  <c r="C516" i="1"/>
  <c r="E516" i="1"/>
  <c r="F516" i="1"/>
  <c r="G516" i="1"/>
  <c r="C517" i="1"/>
  <c r="E517" i="1"/>
  <c r="F517" i="1"/>
  <c r="G517" i="1"/>
  <c r="C518" i="1"/>
  <c r="E518" i="1"/>
  <c r="F518" i="1"/>
  <c r="G518" i="1"/>
  <c r="C519" i="1"/>
  <c r="E519" i="1"/>
  <c r="F519" i="1"/>
  <c r="G519" i="1"/>
  <c r="C520" i="1"/>
  <c r="E520" i="1"/>
  <c r="F520" i="1"/>
  <c r="G520" i="1"/>
  <c r="C521" i="1"/>
  <c r="E521" i="1"/>
  <c r="F521" i="1"/>
  <c r="G521" i="1"/>
  <c r="C522" i="1"/>
  <c r="E522" i="1"/>
  <c r="F522" i="1"/>
  <c r="G522" i="1"/>
  <c r="C523" i="1"/>
  <c r="E523" i="1"/>
  <c r="F523" i="1"/>
  <c r="G523" i="1"/>
  <c r="C524" i="1"/>
  <c r="E524" i="1"/>
  <c r="F524" i="1"/>
  <c r="G524" i="1"/>
  <c r="C525" i="1"/>
  <c r="E525" i="1"/>
  <c r="F525" i="1"/>
  <c r="G525" i="1"/>
  <c r="C526" i="1"/>
  <c r="E526" i="1"/>
  <c r="F526" i="1"/>
  <c r="G526" i="1"/>
  <c r="C527" i="1"/>
  <c r="E527" i="1"/>
  <c r="F527" i="1"/>
  <c r="G527" i="1"/>
  <c r="C528" i="1"/>
  <c r="E528" i="1"/>
  <c r="F528" i="1"/>
  <c r="G528" i="1"/>
  <c r="C529" i="1"/>
  <c r="E529" i="1"/>
  <c r="F529" i="1"/>
  <c r="G529" i="1"/>
  <c r="C530" i="1"/>
  <c r="E530" i="1"/>
  <c r="F530" i="1"/>
  <c r="G530" i="1"/>
  <c r="C531" i="1"/>
  <c r="E531" i="1"/>
  <c r="F531" i="1"/>
  <c r="G531" i="1"/>
  <c r="C532" i="1"/>
  <c r="E532" i="1"/>
  <c r="F532" i="1"/>
  <c r="G532" i="1"/>
  <c r="C533" i="1"/>
  <c r="E533" i="1"/>
  <c r="F533" i="1"/>
  <c r="G533" i="1"/>
  <c r="C534" i="1"/>
  <c r="E534" i="1"/>
  <c r="F534" i="1"/>
  <c r="G534" i="1"/>
  <c r="C535" i="1"/>
  <c r="E535" i="1"/>
  <c r="F535" i="1"/>
  <c r="G535" i="1"/>
  <c r="C536" i="1"/>
  <c r="E536" i="1"/>
  <c r="F536" i="1"/>
  <c r="G536" i="1"/>
  <c r="C537" i="1"/>
  <c r="E537" i="1"/>
  <c r="F537" i="1"/>
  <c r="G537" i="1"/>
  <c r="C538" i="1"/>
  <c r="E538" i="1"/>
  <c r="F538" i="1"/>
  <c r="G538" i="1"/>
  <c r="C539" i="1"/>
  <c r="E539" i="1"/>
  <c r="F539" i="1"/>
  <c r="G539" i="1"/>
  <c r="C540" i="1"/>
  <c r="E540" i="1"/>
  <c r="F540" i="1"/>
  <c r="G540" i="1"/>
  <c r="C541" i="1"/>
  <c r="E541" i="1"/>
  <c r="F541" i="1"/>
  <c r="G541" i="1"/>
  <c r="C542" i="1"/>
  <c r="E542" i="1"/>
  <c r="F542" i="1"/>
  <c r="G542" i="1"/>
  <c r="C543" i="1"/>
  <c r="E543" i="1"/>
  <c r="F543" i="1"/>
  <c r="G543" i="1"/>
  <c r="C544" i="1"/>
  <c r="E544" i="1"/>
  <c r="F544" i="1"/>
  <c r="G544" i="1"/>
  <c r="C545" i="1"/>
  <c r="E545" i="1"/>
  <c r="F545" i="1"/>
  <c r="G545" i="1"/>
  <c r="C546" i="1"/>
  <c r="E546" i="1"/>
  <c r="F546" i="1"/>
  <c r="G546" i="1"/>
  <c r="C547" i="1"/>
  <c r="E547" i="1"/>
  <c r="F547" i="1"/>
  <c r="G547" i="1"/>
  <c r="C548" i="1"/>
  <c r="E548" i="1"/>
  <c r="F548" i="1"/>
  <c r="G548" i="1"/>
  <c r="C549" i="1"/>
  <c r="E549" i="1"/>
  <c r="F549" i="1"/>
  <c r="G549" i="1"/>
  <c r="C550" i="1"/>
  <c r="E550" i="1"/>
  <c r="F550" i="1"/>
  <c r="G550" i="1"/>
  <c r="C551" i="1"/>
  <c r="E551" i="1"/>
  <c r="F551" i="1"/>
  <c r="G551" i="1"/>
  <c r="C552" i="1"/>
  <c r="E552" i="1"/>
  <c r="F552" i="1"/>
  <c r="G552" i="1"/>
  <c r="C553" i="1"/>
  <c r="E553" i="1"/>
  <c r="F553" i="1"/>
  <c r="G553" i="1"/>
  <c r="C554" i="1"/>
  <c r="E554" i="1"/>
  <c r="F554" i="1"/>
  <c r="G554" i="1"/>
  <c r="C555" i="1"/>
  <c r="E555" i="1"/>
  <c r="F555" i="1"/>
  <c r="G555" i="1"/>
  <c r="C556" i="1"/>
  <c r="E556" i="1"/>
  <c r="F556" i="1"/>
  <c r="G556" i="1"/>
  <c r="C557" i="1"/>
  <c r="E557" i="1"/>
  <c r="F557" i="1"/>
  <c r="G557" i="1"/>
  <c r="C558" i="1"/>
  <c r="E558" i="1"/>
  <c r="F558" i="1"/>
  <c r="G558" i="1"/>
  <c r="C559" i="1"/>
  <c r="E559" i="1"/>
  <c r="F559" i="1"/>
  <c r="G559" i="1"/>
  <c r="C560" i="1"/>
  <c r="E560" i="1"/>
  <c r="F560" i="1"/>
  <c r="G560" i="1"/>
  <c r="C561" i="1"/>
  <c r="E561" i="1"/>
  <c r="F561" i="1"/>
  <c r="G561" i="1"/>
  <c r="C562" i="1"/>
  <c r="E562" i="1"/>
  <c r="F562" i="1"/>
  <c r="G562" i="1"/>
  <c r="C563" i="1"/>
  <c r="E563" i="1"/>
  <c r="F563" i="1"/>
  <c r="G563" i="1"/>
  <c r="C564" i="1"/>
  <c r="E564" i="1"/>
  <c r="F564" i="1"/>
  <c r="G564" i="1"/>
  <c r="C565" i="1"/>
  <c r="E565" i="1"/>
  <c r="F565" i="1"/>
  <c r="G565" i="1"/>
  <c r="C566" i="1"/>
  <c r="E566" i="1"/>
  <c r="F566" i="1"/>
  <c r="G566" i="1"/>
  <c r="C567" i="1"/>
  <c r="E567" i="1"/>
  <c r="F567" i="1"/>
  <c r="G567" i="1"/>
  <c r="C568" i="1"/>
  <c r="E568" i="1"/>
  <c r="F568" i="1"/>
  <c r="G568" i="1"/>
  <c r="C569" i="1"/>
  <c r="E569" i="1"/>
  <c r="F569" i="1"/>
  <c r="G569" i="1"/>
  <c r="C570" i="1"/>
  <c r="E570" i="1"/>
  <c r="F570" i="1"/>
  <c r="G570" i="1"/>
  <c r="C571" i="1"/>
  <c r="E571" i="1"/>
  <c r="F571" i="1"/>
  <c r="G571" i="1"/>
  <c r="C572" i="1"/>
  <c r="E572" i="1"/>
  <c r="F572" i="1"/>
  <c r="G572" i="1"/>
  <c r="C573" i="1"/>
  <c r="E573" i="1"/>
  <c r="F573" i="1"/>
  <c r="G573" i="1"/>
  <c r="C574" i="1"/>
  <c r="E574" i="1"/>
  <c r="F574" i="1"/>
  <c r="G574" i="1"/>
  <c r="C575" i="1"/>
  <c r="E575" i="1"/>
  <c r="F575" i="1"/>
  <c r="G575" i="1"/>
  <c r="C576" i="1"/>
  <c r="E576" i="1"/>
  <c r="F576" i="1"/>
  <c r="G576" i="1"/>
  <c r="C577" i="1"/>
  <c r="E577" i="1"/>
  <c r="F577" i="1"/>
  <c r="G577" i="1"/>
  <c r="C578" i="1"/>
  <c r="E578" i="1"/>
  <c r="F578" i="1"/>
  <c r="G578" i="1"/>
  <c r="C579" i="1"/>
  <c r="E579" i="1"/>
  <c r="F579" i="1"/>
  <c r="G579" i="1"/>
  <c r="C580" i="1"/>
  <c r="E580" i="1"/>
  <c r="F580" i="1"/>
  <c r="G580" i="1"/>
  <c r="C581" i="1"/>
  <c r="E581" i="1"/>
  <c r="F581" i="1"/>
  <c r="G581" i="1"/>
  <c r="C582" i="1"/>
  <c r="E582" i="1"/>
  <c r="F582" i="1"/>
  <c r="G582" i="1"/>
  <c r="C583" i="1"/>
  <c r="E583" i="1"/>
  <c r="F583" i="1"/>
  <c r="G583" i="1"/>
  <c r="C584" i="1"/>
  <c r="E584" i="1"/>
  <c r="F584" i="1"/>
  <c r="G584" i="1"/>
  <c r="C585" i="1"/>
  <c r="E585" i="1"/>
  <c r="F585" i="1"/>
  <c r="G585" i="1"/>
  <c r="C586" i="1"/>
  <c r="E586" i="1"/>
  <c r="F586" i="1"/>
  <c r="G586" i="1"/>
  <c r="C587" i="1"/>
  <c r="E587" i="1"/>
  <c r="F587" i="1"/>
  <c r="G587" i="1"/>
  <c r="C588" i="1"/>
  <c r="E588" i="1"/>
  <c r="F588" i="1"/>
  <c r="G588" i="1"/>
  <c r="C589" i="1"/>
  <c r="E589" i="1"/>
  <c r="F589" i="1"/>
  <c r="G589" i="1"/>
  <c r="C590" i="1"/>
  <c r="E590" i="1"/>
  <c r="F590" i="1"/>
  <c r="G590" i="1"/>
  <c r="C591" i="1"/>
  <c r="E591" i="1"/>
  <c r="F591" i="1"/>
  <c r="G591" i="1"/>
  <c r="C592" i="1"/>
  <c r="E592" i="1"/>
  <c r="F592" i="1"/>
  <c r="G592" i="1"/>
  <c r="C593" i="1"/>
  <c r="E593" i="1"/>
  <c r="F593" i="1"/>
  <c r="G593" i="1"/>
  <c r="C594" i="1"/>
  <c r="E594" i="1"/>
  <c r="F594" i="1"/>
  <c r="G594" i="1"/>
  <c r="C595" i="1"/>
  <c r="E595" i="1"/>
  <c r="F595" i="1"/>
  <c r="G595" i="1"/>
  <c r="C596" i="1"/>
  <c r="E596" i="1"/>
  <c r="F596" i="1"/>
  <c r="G596" i="1"/>
  <c r="C597" i="1"/>
  <c r="E597" i="1"/>
  <c r="F597" i="1"/>
  <c r="G597" i="1"/>
  <c r="C598" i="1"/>
  <c r="E598" i="1"/>
  <c r="F598" i="1"/>
  <c r="G598" i="1"/>
  <c r="C599" i="1"/>
  <c r="E599" i="1"/>
  <c r="F599" i="1"/>
  <c r="G599" i="1"/>
  <c r="C600" i="1"/>
  <c r="E600" i="1"/>
  <c r="F600" i="1"/>
  <c r="G600" i="1"/>
  <c r="C601" i="1"/>
  <c r="E601" i="1"/>
  <c r="F601" i="1"/>
  <c r="G601" i="1"/>
  <c r="C602" i="1"/>
  <c r="E602" i="1"/>
  <c r="F602" i="1"/>
  <c r="G602" i="1"/>
  <c r="C603" i="1"/>
  <c r="E603" i="1"/>
  <c r="F603" i="1"/>
  <c r="G603" i="1"/>
  <c r="C604" i="1"/>
  <c r="E604" i="1"/>
  <c r="F604" i="1"/>
  <c r="G604" i="1"/>
  <c r="C605" i="1"/>
  <c r="E605" i="1"/>
  <c r="F605" i="1"/>
  <c r="G605" i="1"/>
  <c r="C606" i="1"/>
  <c r="E606" i="1"/>
  <c r="F606" i="1"/>
  <c r="G606" i="1"/>
  <c r="C607" i="1"/>
  <c r="E607" i="1"/>
  <c r="F607" i="1"/>
  <c r="G607" i="1"/>
  <c r="C608" i="1"/>
  <c r="E608" i="1"/>
  <c r="F608" i="1"/>
  <c r="G608" i="1"/>
  <c r="C609" i="1"/>
  <c r="E609" i="1"/>
  <c r="F609" i="1"/>
  <c r="G609" i="1"/>
  <c r="C610" i="1"/>
  <c r="E610" i="1"/>
  <c r="F610" i="1"/>
  <c r="G610" i="1"/>
  <c r="C611" i="1"/>
  <c r="E611" i="1"/>
  <c r="F611" i="1"/>
  <c r="G611" i="1"/>
  <c r="C612" i="1"/>
  <c r="E612" i="1"/>
  <c r="F612" i="1"/>
  <c r="G612" i="1"/>
  <c r="C613" i="1"/>
  <c r="E613" i="1"/>
  <c r="F613" i="1"/>
  <c r="G613" i="1"/>
  <c r="C614" i="1"/>
  <c r="E614" i="1"/>
  <c r="F614" i="1"/>
  <c r="G614" i="1"/>
  <c r="C615" i="1"/>
  <c r="E615" i="1"/>
  <c r="F615" i="1"/>
  <c r="G615" i="1"/>
  <c r="C616" i="1"/>
  <c r="E616" i="1"/>
  <c r="F616" i="1"/>
  <c r="G616" i="1"/>
  <c r="C617" i="1"/>
  <c r="E617" i="1"/>
  <c r="F617" i="1"/>
  <c r="G617" i="1"/>
  <c r="C618" i="1"/>
  <c r="E618" i="1"/>
  <c r="F618" i="1"/>
  <c r="G618" i="1"/>
  <c r="C619" i="1"/>
  <c r="E619" i="1"/>
  <c r="F619" i="1"/>
  <c r="G619" i="1"/>
  <c r="C620" i="1"/>
  <c r="E620" i="1"/>
  <c r="F620" i="1"/>
  <c r="G620" i="1"/>
  <c r="C621" i="1"/>
  <c r="E621" i="1"/>
  <c r="F621" i="1"/>
  <c r="G621" i="1"/>
  <c r="C622" i="1"/>
  <c r="E622" i="1"/>
  <c r="F622" i="1"/>
  <c r="G622" i="1"/>
  <c r="C623" i="1"/>
  <c r="E623" i="1"/>
  <c r="F623" i="1"/>
  <c r="G623" i="1"/>
  <c r="C624" i="1"/>
  <c r="E624" i="1"/>
  <c r="F624" i="1"/>
  <c r="G624" i="1"/>
  <c r="C625" i="1"/>
  <c r="E625" i="1"/>
  <c r="F625" i="1"/>
  <c r="G625" i="1"/>
  <c r="C626" i="1"/>
  <c r="E626" i="1"/>
  <c r="F626" i="1"/>
  <c r="G626" i="1"/>
  <c r="C627" i="1"/>
  <c r="E627" i="1"/>
  <c r="F627" i="1"/>
  <c r="G627" i="1"/>
  <c r="C628" i="1"/>
  <c r="E628" i="1"/>
  <c r="F628" i="1"/>
  <c r="G628" i="1"/>
  <c r="C629" i="1"/>
  <c r="E629" i="1"/>
  <c r="F629" i="1"/>
  <c r="G629" i="1"/>
  <c r="C630" i="1"/>
  <c r="E630" i="1"/>
  <c r="F630" i="1"/>
  <c r="G630" i="1"/>
  <c r="C631" i="1"/>
  <c r="E631" i="1"/>
  <c r="F631" i="1"/>
  <c r="G631" i="1"/>
  <c r="C632" i="1"/>
  <c r="E632" i="1"/>
  <c r="F632" i="1"/>
  <c r="G632" i="1"/>
  <c r="C633" i="1"/>
  <c r="E633" i="1"/>
  <c r="F633" i="1"/>
  <c r="G633" i="1"/>
  <c r="C634" i="1"/>
  <c r="E634" i="1"/>
  <c r="F634" i="1"/>
  <c r="G634" i="1"/>
  <c r="C635" i="1"/>
  <c r="E635" i="1"/>
  <c r="F635" i="1"/>
  <c r="G635" i="1"/>
  <c r="C636" i="1"/>
  <c r="E636" i="1"/>
  <c r="F636" i="1"/>
  <c r="G636" i="1"/>
  <c r="C637" i="1"/>
  <c r="E637" i="1"/>
  <c r="F637" i="1"/>
  <c r="G637" i="1"/>
  <c r="C638" i="1"/>
  <c r="E638" i="1"/>
  <c r="F638" i="1"/>
  <c r="G638" i="1"/>
  <c r="C639" i="1"/>
  <c r="E639" i="1"/>
  <c r="F639" i="1"/>
  <c r="G639" i="1"/>
  <c r="C640" i="1"/>
  <c r="E640" i="1"/>
  <c r="F640" i="1"/>
  <c r="G640" i="1"/>
  <c r="C641" i="1"/>
  <c r="E641" i="1"/>
  <c r="F641" i="1"/>
  <c r="G641" i="1"/>
  <c r="C642" i="1"/>
  <c r="E642" i="1"/>
  <c r="F642" i="1"/>
  <c r="G642" i="1"/>
  <c r="C643" i="1"/>
  <c r="E643" i="1"/>
  <c r="F643" i="1"/>
  <c r="G643" i="1"/>
  <c r="C644" i="1"/>
  <c r="E644" i="1"/>
  <c r="F644" i="1"/>
  <c r="G644" i="1"/>
  <c r="C645" i="1"/>
  <c r="E645" i="1"/>
  <c r="F645" i="1"/>
  <c r="G645" i="1"/>
  <c r="C646" i="1"/>
  <c r="E646" i="1"/>
  <c r="F646" i="1"/>
  <c r="G646" i="1"/>
  <c r="C647" i="1"/>
  <c r="E647" i="1"/>
  <c r="F647" i="1"/>
  <c r="G647" i="1"/>
  <c r="C648" i="1"/>
  <c r="E648" i="1"/>
  <c r="F648" i="1"/>
  <c r="G648" i="1"/>
  <c r="C649" i="1"/>
  <c r="E649" i="1"/>
  <c r="F649" i="1"/>
  <c r="G649" i="1"/>
  <c r="C650" i="1"/>
  <c r="E650" i="1"/>
  <c r="F650" i="1"/>
  <c r="G650" i="1"/>
  <c r="C651" i="1"/>
  <c r="E651" i="1"/>
  <c r="F651" i="1"/>
  <c r="G651" i="1"/>
  <c r="C652" i="1"/>
  <c r="E652" i="1"/>
  <c r="F652" i="1"/>
  <c r="G652" i="1"/>
  <c r="C653" i="1"/>
  <c r="E653" i="1"/>
  <c r="F653" i="1"/>
  <c r="G653" i="1"/>
  <c r="C654" i="1"/>
  <c r="E654" i="1"/>
  <c r="F654" i="1"/>
  <c r="G654" i="1"/>
  <c r="C655" i="1"/>
  <c r="E655" i="1"/>
  <c r="F655" i="1"/>
  <c r="G655" i="1"/>
  <c r="C656" i="1"/>
  <c r="E656" i="1"/>
  <c r="F656" i="1"/>
  <c r="G656" i="1"/>
  <c r="C657" i="1"/>
  <c r="E657" i="1"/>
  <c r="F657" i="1"/>
  <c r="G657" i="1"/>
  <c r="C658" i="1"/>
  <c r="E658" i="1"/>
  <c r="F658" i="1"/>
  <c r="G658" i="1"/>
  <c r="C659" i="1"/>
  <c r="E659" i="1"/>
  <c r="F659" i="1"/>
  <c r="G659" i="1"/>
  <c r="C660" i="1"/>
  <c r="E660" i="1"/>
  <c r="F660" i="1"/>
  <c r="G660" i="1"/>
  <c r="C661" i="1"/>
  <c r="E661" i="1"/>
  <c r="F661" i="1"/>
  <c r="G661" i="1"/>
  <c r="C662" i="1"/>
  <c r="E662" i="1"/>
  <c r="F662" i="1"/>
  <c r="G662" i="1"/>
  <c r="C663" i="1"/>
  <c r="E663" i="1"/>
  <c r="F663" i="1"/>
  <c r="G663" i="1"/>
  <c r="C664" i="1"/>
  <c r="E664" i="1"/>
  <c r="F664" i="1"/>
  <c r="G664" i="1"/>
  <c r="C665" i="1"/>
  <c r="E665" i="1"/>
  <c r="F665" i="1"/>
  <c r="G665" i="1"/>
  <c r="C666" i="1"/>
  <c r="E666" i="1"/>
  <c r="F666" i="1"/>
  <c r="G666" i="1"/>
  <c r="C667" i="1"/>
  <c r="E667" i="1"/>
  <c r="F667" i="1"/>
  <c r="G667" i="1"/>
  <c r="C668" i="1"/>
  <c r="E668" i="1"/>
  <c r="F668" i="1"/>
  <c r="G668" i="1"/>
  <c r="C669" i="1"/>
  <c r="E669" i="1"/>
  <c r="F669" i="1"/>
  <c r="G669" i="1"/>
  <c r="C670" i="1"/>
  <c r="E670" i="1"/>
  <c r="F670" i="1"/>
  <c r="G670" i="1"/>
  <c r="C671" i="1"/>
  <c r="E671" i="1"/>
  <c r="F671" i="1"/>
  <c r="G671" i="1"/>
  <c r="C672" i="1"/>
  <c r="E672" i="1"/>
  <c r="F672" i="1"/>
  <c r="G672" i="1"/>
  <c r="C673" i="1"/>
  <c r="E673" i="1"/>
  <c r="F673" i="1"/>
  <c r="G673" i="1"/>
  <c r="C674" i="1"/>
  <c r="E674" i="1"/>
  <c r="F674" i="1"/>
  <c r="G674" i="1"/>
  <c r="C675" i="1"/>
  <c r="E675" i="1"/>
  <c r="F675" i="1"/>
  <c r="G675" i="1"/>
  <c r="C676" i="1"/>
  <c r="E676" i="1"/>
  <c r="F676" i="1"/>
  <c r="G676" i="1"/>
  <c r="C677" i="1"/>
  <c r="E677" i="1"/>
  <c r="F677" i="1"/>
  <c r="G677" i="1"/>
  <c r="C678" i="1"/>
  <c r="E678" i="1"/>
  <c r="F678" i="1"/>
  <c r="G678" i="1"/>
  <c r="C679" i="1"/>
  <c r="E679" i="1"/>
  <c r="F679" i="1"/>
  <c r="G679" i="1"/>
  <c r="C680" i="1"/>
  <c r="E680" i="1"/>
  <c r="F680" i="1"/>
  <c r="G680" i="1"/>
  <c r="C681" i="1"/>
  <c r="E681" i="1"/>
  <c r="F681" i="1"/>
  <c r="G681" i="1"/>
  <c r="C682" i="1"/>
  <c r="E682" i="1"/>
  <c r="F682" i="1"/>
  <c r="G682" i="1"/>
  <c r="C683" i="1"/>
  <c r="E683" i="1"/>
  <c r="F683" i="1"/>
  <c r="G683" i="1"/>
  <c r="C684" i="1"/>
  <c r="E684" i="1"/>
  <c r="F684" i="1"/>
  <c r="G684" i="1"/>
  <c r="C685" i="1"/>
  <c r="E685" i="1"/>
  <c r="F685" i="1"/>
  <c r="G685" i="1"/>
  <c r="C686" i="1"/>
  <c r="E686" i="1"/>
  <c r="F686" i="1"/>
  <c r="G686" i="1"/>
  <c r="C687" i="1"/>
  <c r="E687" i="1"/>
  <c r="F687" i="1"/>
  <c r="G687" i="1"/>
  <c r="C688" i="1"/>
  <c r="E688" i="1"/>
  <c r="F688" i="1"/>
  <c r="G688" i="1"/>
  <c r="C689" i="1"/>
  <c r="E689" i="1"/>
  <c r="F689" i="1"/>
  <c r="G689" i="1"/>
  <c r="C690" i="1"/>
  <c r="E690" i="1"/>
  <c r="F690" i="1"/>
  <c r="G690" i="1"/>
  <c r="C691" i="1"/>
  <c r="E691" i="1"/>
  <c r="F691" i="1"/>
  <c r="G691" i="1"/>
  <c r="C692" i="1"/>
  <c r="E692" i="1"/>
  <c r="F692" i="1"/>
  <c r="G692" i="1"/>
  <c r="C693" i="1"/>
  <c r="E693" i="1"/>
  <c r="F693" i="1"/>
  <c r="G693" i="1"/>
  <c r="C694" i="1"/>
  <c r="E694" i="1"/>
  <c r="F694" i="1"/>
  <c r="G694" i="1"/>
  <c r="C695" i="1"/>
  <c r="E695" i="1"/>
  <c r="F695" i="1"/>
  <c r="G695" i="1"/>
  <c r="C696" i="1"/>
  <c r="E696" i="1"/>
  <c r="F696" i="1"/>
  <c r="G696" i="1"/>
  <c r="C697" i="1"/>
  <c r="E697" i="1"/>
  <c r="F697" i="1"/>
  <c r="G697" i="1"/>
  <c r="C698" i="1"/>
  <c r="E698" i="1"/>
  <c r="F698" i="1"/>
  <c r="G698" i="1"/>
  <c r="C699" i="1"/>
  <c r="E699" i="1"/>
  <c r="F699" i="1"/>
  <c r="G699" i="1"/>
  <c r="C700" i="1"/>
  <c r="E700" i="1"/>
  <c r="F700" i="1"/>
  <c r="G700" i="1"/>
  <c r="C701" i="1"/>
  <c r="E701" i="1"/>
  <c r="F701" i="1"/>
  <c r="G701" i="1"/>
  <c r="C702" i="1"/>
  <c r="E702" i="1"/>
  <c r="F702" i="1"/>
  <c r="G702" i="1"/>
  <c r="C703" i="1"/>
  <c r="E703" i="1"/>
  <c r="F703" i="1"/>
  <c r="G703" i="1"/>
  <c r="C704" i="1"/>
  <c r="E704" i="1"/>
  <c r="F704" i="1"/>
  <c r="G704" i="1"/>
  <c r="C705" i="1"/>
  <c r="E705" i="1"/>
  <c r="F705" i="1"/>
  <c r="G705" i="1"/>
  <c r="C706" i="1"/>
  <c r="E706" i="1"/>
  <c r="F706" i="1"/>
  <c r="G706" i="1"/>
  <c r="C707" i="1"/>
  <c r="E707" i="1"/>
  <c r="F707" i="1"/>
  <c r="G707" i="1"/>
  <c r="C708" i="1"/>
  <c r="E708" i="1"/>
  <c r="F708" i="1"/>
  <c r="G708" i="1"/>
  <c r="C709" i="1"/>
  <c r="E709" i="1"/>
  <c r="F709" i="1"/>
  <c r="G709" i="1"/>
  <c r="C710" i="1"/>
  <c r="E710" i="1"/>
  <c r="F710" i="1"/>
  <c r="G710" i="1"/>
  <c r="C711" i="1"/>
  <c r="E711" i="1"/>
  <c r="F711" i="1"/>
  <c r="G711" i="1"/>
  <c r="C712" i="1"/>
  <c r="E712" i="1"/>
  <c r="F712" i="1"/>
  <c r="G712" i="1"/>
  <c r="C713" i="1"/>
  <c r="E713" i="1"/>
  <c r="F713" i="1"/>
  <c r="G713" i="1"/>
  <c r="C714" i="1"/>
  <c r="E714" i="1"/>
  <c r="F714" i="1"/>
  <c r="G714" i="1"/>
  <c r="C715" i="1"/>
  <c r="E715" i="1"/>
  <c r="F715" i="1"/>
  <c r="G715" i="1"/>
  <c r="C716" i="1"/>
  <c r="E716" i="1"/>
  <c r="F716" i="1"/>
  <c r="G716" i="1"/>
  <c r="C717" i="1"/>
  <c r="E717" i="1"/>
  <c r="F717" i="1"/>
  <c r="G717" i="1"/>
  <c r="C718" i="1"/>
  <c r="E718" i="1"/>
  <c r="F718" i="1"/>
  <c r="G718" i="1"/>
  <c r="C719" i="1"/>
  <c r="E719" i="1"/>
  <c r="F719" i="1"/>
  <c r="G719" i="1"/>
  <c r="C720" i="1"/>
  <c r="E720" i="1"/>
  <c r="F720" i="1"/>
  <c r="G720" i="1"/>
  <c r="C721" i="1"/>
  <c r="E721" i="1"/>
  <c r="F721" i="1"/>
  <c r="G721" i="1"/>
  <c r="C722" i="1"/>
  <c r="E722" i="1"/>
  <c r="F722" i="1"/>
  <c r="G722" i="1"/>
  <c r="C723" i="1"/>
  <c r="E723" i="1"/>
  <c r="F723" i="1"/>
  <c r="G723" i="1"/>
  <c r="C724" i="1"/>
  <c r="E724" i="1"/>
  <c r="F724" i="1"/>
  <c r="G724" i="1"/>
  <c r="C725" i="1"/>
  <c r="E725" i="1"/>
  <c r="F725" i="1"/>
  <c r="G725" i="1"/>
  <c r="C726" i="1"/>
  <c r="E726" i="1"/>
  <c r="F726" i="1"/>
  <c r="G726" i="1"/>
  <c r="C727" i="1"/>
  <c r="E727" i="1"/>
  <c r="F727" i="1"/>
  <c r="G727" i="1"/>
  <c r="C728" i="1"/>
  <c r="E728" i="1"/>
  <c r="F728" i="1"/>
  <c r="G728" i="1"/>
  <c r="C729" i="1"/>
  <c r="E729" i="1"/>
  <c r="F729" i="1"/>
  <c r="G729" i="1"/>
  <c r="C730" i="1"/>
  <c r="E730" i="1"/>
  <c r="F730" i="1"/>
  <c r="G730" i="1"/>
  <c r="C731" i="1"/>
  <c r="E731" i="1"/>
  <c r="F731" i="1"/>
  <c r="G731" i="1"/>
  <c r="C732" i="1"/>
  <c r="E732" i="1"/>
  <c r="F732" i="1"/>
  <c r="G732" i="1"/>
  <c r="C733" i="1"/>
  <c r="E733" i="1"/>
  <c r="F733" i="1"/>
  <c r="G733" i="1"/>
  <c r="C734" i="1"/>
  <c r="E734" i="1"/>
  <c r="F734" i="1"/>
  <c r="G734" i="1"/>
  <c r="C735" i="1"/>
  <c r="E735" i="1"/>
  <c r="F735" i="1"/>
  <c r="G735" i="1"/>
  <c r="C736" i="1"/>
  <c r="E736" i="1"/>
  <c r="F736" i="1"/>
  <c r="G736" i="1"/>
  <c r="C737" i="1"/>
  <c r="E737" i="1"/>
  <c r="F737" i="1"/>
  <c r="G737" i="1"/>
  <c r="C738" i="1"/>
  <c r="E738" i="1"/>
  <c r="F738" i="1"/>
  <c r="G738" i="1"/>
  <c r="C739" i="1"/>
  <c r="E739" i="1"/>
  <c r="F739" i="1"/>
  <c r="G739" i="1"/>
  <c r="C740" i="1"/>
  <c r="E740" i="1"/>
  <c r="F740" i="1"/>
  <c r="G740" i="1"/>
  <c r="C741" i="1"/>
  <c r="E741" i="1"/>
  <c r="F741" i="1"/>
  <c r="G741" i="1"/>
  <c r="C742" i="1"/>
  <c r="E742" i="1"/>
  <c r="F742" i="1"/>
  <c r="G742" i="1"/>
  <c r="C743" i="1"/>
  <c r="E743" i="1"/>
  <c r="F743" i="1"/>
  <c r="G743" i="1"/>
  <c r="C744" i="1"/>
  <c r="E744" i="1"/>
  <c r="F744" i="1"/>
  <c r="G744" i="1"/>
  <c r="C745" i="1"/>
  <c r="E745" i="1"/>
  <c r="F745" i="1"/>
  <c r="G745" i="1"/>
  <c r="C746" i="1"/>
  <c r="E746" i="1"/>
  <c r="F746" i="1"/>
  <c r="G746" i="1"/>
  <c r="C747" i="1"/>
  <c r="E747" i="1"/>
  <c r="F747" i="1"/>
  <c r="G747" i="1"/>
  <c r="C748" i="1"/>
  <c r="E748" i="1"/>
  <c r="F748" i="1"/>
  <c r="G748" i="1"/>
  <c r="C749" i="1"/>
  <c r="E749" i="1"/>
  <c r="F749" i="1"/>
  <c r="G749" i="1"/>
  <c r="C750" i="1"/>
  <c r="E750" i="1"/>
  <c r="F750" i="1"/>
  <c r="G750" i="1"/>
  <c r="C751" i="1"/>
  <c r="E751" i="1"/>
  <c r="F751" i="1"/>
  <c r="G751" i="1"/>
  <c r="C752" i="1"/>
  <c r="E752" i="1"/>
  <c r="F752" i="1"/>
  <c r="G752" i="1"/>
  <c r="C753" i="1"/>
  <c r="E753" i="1"/>
  <c r="F753" i="1"/>
  <c r="G753" i="1"/>
  <c r="C754" i="1"/>
  <c r="E754" i="1"/>
  <c r="F754" i="1"/>
  <c r="G754" i="1"/>
  <c r="C755" i="1"/>
  <c r="E755" i="1"/>
  <c r="F755" i="1"/>
  <c r="G755" i="1"/>
  <c r="C756" i="1"/>
  <c r="E756" i="1"/>
  <c r="F756" i="1"/>
  <c r="G756" i="1"/>
  <c r="C757" i="1"/>
  <c r="E757" i="1"/>
  <c r="F757" i="1"/>
  <c r="G757" i="1"/>
  <c r="C758" i="1"/>
  <c r="E758" i="1"/>
  <c r="F758" i="1"/>
  <c r="G758" i="1"/>
  <c r="C759" i="1"/>
  <c r="E759" i="1"/>
  <c r="F759" i="1"/>
  <c r="G759" i="1"/>
  <c r="C760" i="1"/>
  <c r="E760" i="1"/>
  <c r="F760" i="1"/>
  <c r="G760" i="1"/>
  <c r="C761" i="1"/>
  <c r="E761" i="1"/>
  <c r="F761" i="1"/>
  <c r="G761" i="1"/>
  <c r="C762" i="1"/>
  <c r="E762" i="1"/>
  <c r="F762" i="1"/>
  <c r="G762" i="1"/>
  <c r="C763" i="1"/>
  <c r="E763" i="1"/>
  <c r="F763" i="1"/>
  <c r="G763" i="1"/>
  <c r="C764" i="1"/>
  <c r="E764" i="1"/>
  <c r="F764" i="1"/>
  <c r="G764" i="1"/>
  <c r="C765" i="1"/>
  <c r="E765" i="1"/>
  <c r="F765" i="1"/>
  <c r="G765" i="1"/>
  <c r="C766" i="1"/>
  <c r="E766" i="1"/>
  <c r="F766" i="1"/>
  <c r="G766" i="1"/>
  <c r="C767" i="1"/>
  <c r="E767" i="1"/>
  <c r="F767" i="1"/>
  <c r="G767" i="1"/>
  <c r="C768" i="1"/>
  <c r="E768" i="1"/>
  <c r="F768" i="1"/>
  <c r="G768" i="1"/>
  <c r="C769" i="1"/>
  <c r="E769" i="1"/>
  <c r="F769" i="1"/>
  <c r="G769" i="1"/>
  <c r="C770" i="1"/>
  <c r="E770" i="1"/>
  <c r="F770" i="1"/>
  <c r="G770" i="1"/>
  <c r="C771" i="1"/>
  <c r="E771" i="1"/>
  <c r="F771" i="1"/>
  <c r="G771" i="1"/>
  <c r="C772" i="1"/>
  <c r="E772" i="1"/>
  <c r="F772" i="1"/>
  <c r="G772" i="1"/>
  <c r="C773" i="1"/>
  <c r="E773" i="1"/>
  <c r="F773" i="1"/>
  <c r="G773" i="1"/>
  <c r="C774" i="1"/>
  <c r="E774" i="1"/>
  <c r="F774" i="1"/>
  <c r="G774" i="1"/>
  <c r="C775" i="1"/>
  <c r="E775" i="1"/>
  <c r="F775" i="1"/>
  <c r="G775" i="1"/>
  <c r="C776" i="1"/>
  <c r="E776" i="1"/>
  <c r="F776" i="1"/>
  <c r="G776" i="1"/>
  <c r="C777" i="1"/>
  <c r="E777" i="1"/>
  <c r="F777" i="1"/>
  <c r="G777" i="1"/>
  <c r="C778" i="1"/>
  <c r="E778" i="1"/>
  <c r="F778" i="1"/>
  <c r="G778" i="1"/>
  <c r="C779" i="1"/>
  <c r="E779" i="1"/>
  <c r="F779" i="1"/>
  <c r="G779" i="1"/>
  <c r="C780" i="1"/>
  <c r="E780" i="1"/>
  <c r="F780" i="1"/>
  <c r="G780" i="1"/>
  <c r="C781" i="1"/>
  <c r="E781" i="1"/>
  <c r="F781" i="1"/>
  <c r="G781" i="1"/>
  <c r="C782" i="1"/>
  <c r="E782" i="1"/>
  <c r="F782" i="1"/>
  <c r="G782" i="1"/>
  <c r="C783" i="1"/>
  <c r="E783" i="1"/>
  <c r="F783" i="1"/>
  <c r="G783" i="1"/>
  <c r="C784" i="1"/>
  <c r="E784" i="1"/>
  <c r="F784" i="1"/>
  <c r="G784" i="1"/>
  <c r="C785" i="1"/>
  <c r="E785" i="1"/>
  <c r="F785" i="1"/>
  <c r="G785" i="1"/>
  <c r="C786" i="1"/>
  <c r="E786" i="1"/>
  <c r="F786" i="1"/>
  <c r="G786" i="1"/>
  <c r="C787" i="1"/>
  <c r="E787" i="1"/>
  <c r="F787" i="1"/>
  <c r="G787" i="1"/>
  <c r="C788" i="1"/>
  <c r="E788" i="1"/>
  <c r="F788" i="1"/>
  <c r="G788" i="1"/>
  <c r="C789" i="1"/>
  <c r="E789" i="1"/>
  <c r="F789" i="1"/>
  <c r="G789" i="1"/>
  <c r="C790" i="1"/>
  <c r="E790" i="1"/>
  <c r="F790" i="1"/>
  <c r="G790" i="1"/>
  <c r="C791" i="1"/>
  <c r="E791" i="1"/>
  <c r="F791" i="1"/>
  <c r="G791" i="1"/>
  <c r="C792" i="1"/>
  <c r="E792" i="1"/>
  <c r="F792" i="1"/>
  <c r="G792" i="1"/>
  <c r="C793" i="1"/>
  <c r="E793" i="1"/>
  <c r="F793" i="1"/>
  <c r="G793" i="1"/>
  <c r="C794" i="1"/>
  <c r="E794" i="1"/>
  <c r="F794" i="1"/>
  <c r="G794" i="1"/>
  <c r="C795" i="1"/>
  <c r="E795" i="1"/>
  <c r="F795" i="1"/>
  <c r="G795" i="1"/>
  <c r="C796" i="1"/>
  <c r="E796" i="1"/>
  <c r="F796" i="1"/>
  <c r="G796" i="1"/>
  <c r="C797" i="1"/>
  <c r="E797" i="1"/>
  <c r="F797" i="1"/>
  <c r="G797" i="1"/>
  <c r="C798" i="1"/>
  <c r="E798" i="1"/>
  <c r="F798" i="1"/>
  <c r="G798" i="1"/>
  <c r="C799" i="1"/>
  <c r="E799" i="1"/>
  <c r="F799" i="1"/>
  <c r="G799" i="1"/>
  <c r="C800" i="1"/>
  <c r="E800" i="1"/>
  <c r="F800" i="1"/>
  <c r="G800" i="1"/>
  <c r="C801" i="1"/>
  <c r="E801" i="1"/>
  <c r="F801" i="1"/>
  <c r="G801" i="1"/>
  <c r="C802" i="1"/>
  <c r="E802" i="1"/>
  <c r="F802" i="1"/>
  <c r="G802" i="1"/>
  <c r="C803" i="1"/>
  <c r="E803" i="1"/>
  <c r="F803" i="1"/>
  <c r="G803" i="1"/>
  <c r="C804" i="1"/>
  <c r="E804" i="1"/>
  <c r="F804" i="1"/>
  <c r="G804" i="1"/>
  <c r="C805" i="1"/>
  <c r="E805" i="1"/>
  <c r="F805" i="1"/>
  <c r="G805" i="1"/>
  <c r="C806" i="1"/>
  <c r="E806" i="1"/>
  <c r="F806" i="1"/>
  <c r="G806" i="1"/>
  <c r="C807" i="1"/>
  <c r="E807" i="1"/>
  <c r="F807" i="1"/>
  <c r="G807" i="1"/>
  <c r="C808" i="1"/>
  <c r="E808" i="1"/>
  <c r="F808" i="1"/>
  <c r="G808" i="1"/>
  <c r="C809" i="1"/>
  <c r="E809" i="1"/>
  <c r="F809" i="1"/>
  <c r="G809" i="1"/>
  <c r="C810" i="1"/>
  <c r="E810" i="1"/>
  <c r="F810" i="1"/>
  <c r="G810" i="1"/>
  <c r="C811" i="1"/>
  <c r="E811" i="1"/>
  <c r="F811" i="1"/>
  <c r="G811" i="1"/>
  <c r="C812" i="1"/>
  <c r="E812" i="1"/>
  <c r="F812" i="1"/>
  <c r="G812" i="1"/>
  <c r="C813" i="1"/>
  <c r="E813" i="1"/>
  <c r="F813" i="1"/>
  <c r="G813" i="1"/>
  <c r="C814" i="1"/>
  <c r="E814" i="1"/>
  <c r="F814" i="1"/>
  <c r="G814" i="1"/>
  <c r="C815" i="1"/>
  <c r="E815" i="1"/>
  <c r="F815" i="1"/>
  <c r="G815" i="1"/>
  <c r="C816" i="1"/>
  <c r="E816" i="1"/>
  <c r="F816" i="1"/>
  <c r="G816" i="1"/>
  <c r="C817" i="1"/>
  <c r="E817" i="1"/>
  <c r="F817" i="1"/>
  <c r="G817" i="1"/>
  <c r="C818" i="1"/>
  <c r="E818" i="1"/>
  <c r="F818" i="1"/>
  <c r="G818" i="1"/>
  <c r="C819" i="1"/>
  <c r="E819" i="1"/>
  <c r="F819" i="1"/>
  <c r="G819" i="1"/>
  <c r="C820" i="1"/>
  <c r="E820" i="1"/>
  <c r="F820" i="1"/>
  <c r="G820" i="1"/>
  <c r="C821" i="1"/>
  <c r="E821" i="1"/>
  <c r="F821" i="1"/>
  <c r="G821" i="1"/>
  <c r="C822" i="1"/>
  <c r="E822" i="1"/>
  <c r="F822" i="1"/>
  <c r="G822" i="1"/>
  <c r="C823" i="1"/>
  <c r="E823" i="1"/>
  <c r="F823" i="1"/>
  <c r="G823" i="1"/>
  <c r="C824" i="1"/>
  <c r="E824" i="1"/>
  <c r="F824" i="1"/>
  <c r="G824" i="1"/>
  <c r="C825" i="1"/>
  <c r="E825" i="1"/>
  <c r="F825" i="1"/>
  <c r="G825" i="1"/>
  <c r="C826" i="1"/>
  <c r="E826" i="1"/>
  <c r="F826" i="1"/>
  <c r="G826" i="1"/>
  <c r="C827" i="1"/>
  <c r="E827" i="1"/>
  <c r="F827" i="1"/>
  <c r="G827" i="1"/>
  <c r="C828" i="1"/>
  <c r="E828" i="1"/>
  <c r="F828" i="1"/>
  <c r="G828" i="1"/>
  <c r="C829" i="1"/>
  <c r="E829" i="1"/>
  <c r="F829" i="1"/>
  <c r="G829" i="1"/>
  <c r="C830" i="1"/>
  <c r="E830" i="1"/>
  <c r="F830" i="1"/>
  <c r="G830" i="1"/>
  <c r="C831" i="1"/>
  <c r="E831" i="1"/>
  <c r="F831" i="1"/>
  <c r="G831" i="1"/>
  <c r="C832" i="1"/>
  <c r="E832" i="1"/>
  <c r="F832" i="1"/>
  <c r="G832" i="1"/>
  <c r="C833" i="1"/>
  <c r="E833" i="1"/>
  <c r="F833" i="1"/>
  <c r="G833" i="1"/>
  <c r="C834" i="1"/>
  <c r="E834" i="1"/>
  <c r="F834" i="1"/>
  <c r="G834" i="1"/>
  <c r="C835" i="1"/>
  <c r="E835" i="1"/>
  <c r="F835" i="1"/>
  <c r="G835" i="1"/>
  <c r="C836" i="1"/>
  <c r="E836" i="1"/>
  <c r="F836" i="1"/>
  <c r="G836" i="1"/>
  <c r="C837" i="1"/>
  <c r="E837" i="1"/>
  <c r="F837" i="1"/>
  <c r="G837" i="1"/>
  <c r="C838" i="1"/>
  <c r="E838" i="1"/>
  <c r="F838" i="1"/>
  <c r="G838" i="1"/>
  <c r="C839" i="1"/>
  <c r="E839" i="1"/>
  <c r="F839" i="1"/>
  <c r="G839" i="1"/>
  <c r="C840" i="1"/>
  <c r="E840" i="1"/>
  <c r="F840" i="1"/>
  <c r="G840" i="1"/>
  <c r="C841" i="1"/>
  <c r="E841" i="1"/>
  <c r="F841" i="1"/>
  <c r="G841" i="1"/>
  <c r="C842" i="1"/>
  <c r="E842" i="1"/>
  <c r="F842" i="1"/>
  <c r="G842" i="1"/>
  <c r="C843" i="1"/>
  <c r="E843" i="1"/>
  <c r="F843" i="1"/>
  <c r="G843" i="1"/>
  <c r="C844" i="1"/>
  <c r="E844" i="1"/>
  <c r="F844" i="1"/>
  <c r="G844" i="1"/>
  <c r="C845" i="1"/>
  <c r="E845" i="1"/>
  <c r="F845" i="1"/>
  <c r="G845" i="1"/>
  <c r="C846" i="1"/>
  <c r="E846" i="1"/>
  <c r="F846" i="1"/>
  <c r="G846" i="1"/>
  <c r="C847" i="1"/>
  <c r="E847" i="1"/>
  <c r="F847" i="1"/>
  <c r="G847" i="1"/>
  <c r="C848" i="1"/>
  <c r="E848" i="1"/>
  <c r="F848" i="1"/>
  <c r="G848" i="1"/>
  <c r="C849" i="1"/>
  <c r="E849" i="1"/>
  <c r="F849" i="1"/>
  <c r="G849" i="1"/>
  <c r="C850" i="1"/>
  <c r="E850" i="1"/>
  <c r="F850" i="1"/>
  <c r="G850" i="1"/>
  <c r="C851" i="1"/>
  <c r="E851" i="1"/>
  <c r="F851" i="1"/>
  <c r="G851" i="1"/>
  <c r="C852" i="1"/>
  <c r="E852" i="1"/>
  <c r="F852" i="1"/>
  <c r="G852" i="1"/>
  <c r="C853" i="1"/>
  <c r="E853" i="1"/>
  <c r="F853" i="1"/>
  <c r="G853" i="1"/>
  <c r="C854" i="1"/>
  <c r="E854" i="1"/>
  <c r="F854" i="1"/>
  <c r="G854" i="1"/>
  <c r="C855" i="1"/>
  <c r="E855" i="1"/>
  <c r="F855" i="1"/>
  <c r="G855" i="1"/>
  <c r="C856" i="1"/>
  <c r="E856" i="1"/>
  <c r="F856" i="1"/>
  <c r="G856" i="1"/>
  <c r="C857" i="1"/>
  <c r="E857" i="1"/>
  <c r="F857" i="1"/>
  <c r="G857" i="1"/>
  <c r="C858" i="1"/>
  <c r="E858" i="1"/>
  <c r="F858" i="1"/>
  <c r="G858" i="1"/>
  <c r="C859" i="1"/>
  <c r="E859" i="1"/>
  <c r="F859" i="1"/>
  <c r="G859" i="1"/>
  <c r="C860" i="1"/>
  <c r="E860" i="1"/>
  <c r="F860" i="1"/>
  <c r="G860" i="1"/>
  <c r="C861" i="1"/>
  <c r="E861" i="1"/>
  <c r="F861" i="1"/>
  <c r="G861" i="1"/>
  <c r="C862" i="1"/>
  <c r="E862" i="1"/>
  <c r="F862" i="1"/>
  <c r="G862" i="1"/>
  <c r="C863" i="1"/>
  <c r="E863" i="1"/>
  <c r="F863" i="1"/>
  <c r="G863" i="1"/>
  <c r="C864" i="1"/>
  <c r="E864" i="1"/>
  <c r="F864" i="1"/>
  <c r="G864" i="1"/>
  <c r="C865" i="1"/>
  <c r="E865" i="1"/>
  <c r="F865" i="1"/>
  <c r="G865" i="1"/>
  <c r="C866" i="1"/>
  <c r="E866" i="1"/>
  <c r="F866" i="1"/>
  <c r="G866" i="1"/>
  <c r="C867" i="1"/>
  <c r="E867" i="1"/>
  <c r="F867" i="1"/>
  <c r="G867" i="1"/>
  <c r="C868" i="1"/>
  <c r="E868" i="1"/>
  <c r="F868" i="1"/>
  <c r="G868" i="1"/>
  <c r="C869" i="1"/>
  <c r="E869" i="1"/>
  <c r="F869" i="1"/>
  <c r="G869" i="1"/>
  <c r="C870" i="1"/>
  <c r="E870" i="1"/>
  <c r="F870" i="1"/>
  <c r="G870" i="1"/>
  <c r="C871" i="1"/>
  <c r="E871" i="1"/>
  <c r="F871" i="1"/>
  <c r="G871" i="1"/>
  <c r="C872" i="1"/>
  <c r="E872" i="1"/>
  <c r="F872" i="1"/>
  <c r="G872" i="1"/>
  <c r="C873" i="1"/>
  <c r="E873" i="1"/>
  <c r="F873" i="1"/>
  <c r="G873" i="1"/>
  <c r="C874" i="1"/>
  <c r="E874" i="1"/>
  <c r="F874" i="1"/>
  <c r="G874" i="1"/>
  <c r="C875" i="1"/>
  <c r="E875" i="1"/>
  <c r="F875" i="1"/>
  <c r="G875" i="1"/>
  <c r="C876" i="1"/>
  <c r="E876" i="1"/>
  <c r="F876" i="1"/>
  <c r="G876" i="1"/>
  <c r="C877" i="1"/>
  <c r="E877" i="1"/>
  <c r="F877" i="1"/>
  <c r="G877" i="1"/>
  <c r="C878" i="1"/>
  <c r="E878" i="1"/>
  <c r="F878" i="1"/>
  <c r="G878" i="1"/>
  <c r="C879" i="1"/>
  <c r="E879" i="1"/>
  <c r="F879" i="1"/>
  <c r="G879" i="1"/>
  <c r="C880" i="1"/>
  <c r="E880" i="1"/>
  <c r="F880" i="1"/>
  <c r="G880" i="1"/>
  <c r="C881" i="1"/>
  <c r="E881" i="1"/>
  <c r="F881" i="1"/>
  <c r="G881" i="1"/>
  <c r="C882" i="1"/>
  <c r="E882" i="1"/>
  <c r="F882" i="1"/>
  <c r="G882" i="1"/>
  <c r="C883" i="1"/>
  <c r="E883" i="1"/>
  <c r="F883" i="1"/>
  <c r="G883" i="1"/>
  <c r="C884" i="1"/>
  <c r="E884" i="1"/>
  <c r="F884" i="1"/>
  <c r="G884" i="1"/>
  <c r="C885" i="1"/>
  <c r="E885" i="1"/>
  <c r="F885" i="1"/>
  <c r="G885" i="1"/>
  <c r="C886" i="1"/>
  <c r="E886" i="1"/>
  <c r="F886" i="1"/>
  <c r="G886" i="1"/>
  <c r="C887" i="1"/>
  <c r="E887" i="1"/>
  <c r="F887" i="1"/>
  <c r="G887" i="1"/>
  <c r="C888" i="1"/>
  <c r="E888" i="1"/>
  <c r="F888" i="1"/>
  <c r="G888" i="1"/>
  <c r="C889" i="1"/>
  <c r="E889" i="1"/>
  <c r="F889" i="1"/>
  <c r="G889" i="1"/>
  <c r="C890" i="1"/>
  <c r="E890" i="1"/>
  <c r="F890" i="1"/>
  <c r="G890" i="1"/>
  <c r="C891" i="1"/>
  <c r="E891" i="1"/>
  <c r="F891" i="1"/>
  <c r="G891" i="1"/>
  <c r="C892" i="1"/>
  <c r="E892" i="1"/>
  <c r="F892" i="1"/>
  <c r="G892" i="1"/>
  <c r="C893" i="1"/>
  <c r="E893" i="1"/>
  <c r="F893" i="1"/>
  <c r="G893" i="1"/>
  <c r="C894" i="1"/>
  <c r="E894" i="1"/>
  <c r="F894" i="1"/>
  <c r="G894" i="1"/>
  <c r="C895" i="1"/>
  <c r="E895" i="1"/>
  <c r="F895" i="1"/>
  <c r="G895" i="1"/>
  <c r="C896" i="1"/>
  <c r="E896" i="1"/>
  <c r="F896" i="1"/>
  <c r="G896" i="1"/>
  <c r="C897" i="1"/>
  <c r="E897" i="1"/>
  <c r="F897" i="1"/>
  <c r="G897" i="1"/>
  <c r="C898" i="1"/>
  <c r="E898" i="1"/>
  <c r="F898" i="1"/>
  <c r="G898" i="1"/>
  <c r="C899" i="1"/>
  <c r="E899" i="1"/>
  <c r="F899" i="1"/>
  <c r="G899" i="1"/>
  <c r="C900" i="1"/>
  <c r="E900" i="1"/>
  <c r="F900" i="1"/>
  <c r="G900" i="1"/>
  <c r="C901" i="1"/>
  <c r="E901" i="1"/>
  <c r="F901" i="1"/>
  <c r="G901" i="1"/>
  <c r="C902" i="1"/>
  <c r="E902" i="1"/>
  <c r="F902" i="1"/>
  <c r="G902" i="1"/>
  <c r="C903" i="1"/>
  <c r="E903" i="1"/>
  <c r="F903" i="1"/>
  <c r="G903" i="1"/>
  <c r="C904" i="1"/>
  <c r="E904" i="1"/>
  <c r="F904" i="1"/>
  <c r="G904" i="1"/>
  <c r="C905" i="1"/>
  <c r="E905" i="1"/>
  <c r="F905" i="1"/>
  <c r="G905" i="1"/>
  <c r="C906" i="1"/>
  <c r="E906" i="1"/>
  <c r="F906" i="1"/>
  <c r="G906" i="1"/>
  <c r="C907" i="1"/>
  <c r="E907" i="1"/>
  <c r="F907" i="1"/>
  <c r="G907" i="1"/>
  <c r="C908" i="1"/>
  <c r="E908" i="1"/>
  <c r="F908" i="1"/>
  <c r="G908" i="1"/>
  <c r="C909" i="1"/>
  <c r="E909" i="1"/>
  <c r="F909" i="1"/>
  <c r="G909" i="1"/>
  <c r="C910" i="1"/>
  <c r="E910" i="1"/>
  <c r="F910" i="1"/>
  <c r="G910" i="1"/>
  <c r="C911" i="1"/>
  <c r="E911" i="1"/>
  <c r="F911" i="1"/>
  <c r="G911" i="1"/>
  <c r="C912" i="1"/>
  <c r="E912" i="1"/>
  <c r="F912" i="1"/>
  <c r="G912" i="1"/>
  <c r="C913" i="1"/>
  <c r="E913" i="1"/>
  <c r="F913" i="1"/>
  <c r="G913" i="1"/>
  <c r="C914" i="1"/>
  <c r="E914" i="1"/>
  <c r="F914" i="1"/>
  <c r="G914" i="1"/>
  <c r="C915" i="1"/>
  <c r="E915" i="1"/>
  <c r="F915" i="1"/>
  <c r="G915" i="1"/>
  <c r="C916" i="1"/>
  <c r="E916" i="1"/>
  <c r="F916" i="1"/>
  <c r="G916" i="1"/>
  <c r="C917" i="1"/>
  <c r="E917" i="1"/>
  <c r="F917" i="1"/>
  <c r="G917" i="1"/>
  <c r="C918" i="1"/>
  <c r="E918" i="1"/>
  <c r="F918" i="1"/>
  <c r="G918" i="1"/>
  <c r="C919" i="1"/>
  <c r="E919" i="1"/>
  <c r="F919" i="1"/>
  <c r="G919" i="1"/>
  <c r="C920" i="1"/>
  <c r="E920" i="1"/>
  <c r="F920" i="1"/>
  <c r="G920" i="1"/>
  <c r="C921" i="1"/>
  <c r="E921" i="1"/>
  <c r="F921" i="1"/>
  <c r="G921" i="1"/>
  <c r="C922" i="1"/>
  <c r="E922" i="1"/>
  <c r="F922" i="1"/>
  <c r="G922" i="1"/>
  <c r="C923" i="1"/>
  <c r="E923" i="1"/>
  <c r="F923" i="1"/>
  <c r="G923" i="1"/>
  <c r="C924" i="1"/>
  <c r="E924" i="1"/>
  <c r="F924" i="1"/>
  <c r="G924" i="1"/>
  <c r="C925" i="1"/>
  <c r="E925" i="1"/>
  <c r="F925" i="1"/>
  <c r="G925" i="1"/>
  <c r="C926" i="1"/>
  <c r="E926" i="1"/>
  <c r="F926" i="1"/>
  <c r="G926" i="1"/>
  <c r="C927" i="1"/>
  <c r="E927" i="1"/>
  <c r="F927" i="1"/>
  <c r="G927" i="1"/>
  <c r="C928" i="1"/>
  <c r="E928" i="1"/>
  <c r="F928" i="1"/>
  <c r="G928" i="1"/>
  <c r="C929" i="1"/>
  <c r="E929" i="1"/>
  <c r="F929" i="1"/>
  <c r="G929" i="1"/>
  <c r="C930" i="1"/>
  <c r="E930" i="1"/>
  <c r="F930" i="1"/>
  <c r="G930" i="1"/>
  <c r="C931" i="1"/>
  <c r="E931" i="1"/>
  <c r="F931" i="1"/>
  <c r="G931" i="1"/>
  <c r="C932" i="1"/>
  <c r="E932" i="1"/>
  <c r="F932" i="1"/>
  <c r="G932" i="1"/>
  <c r="C933" i="1"/>
  <c r="E933" i="1"/>
  <c r="F933" i="1"/>
  <c r="G933" i="1"/>
  <c r="C934" i="1"/>
  <c r="E934" i="1"/>
  <c r="F934" i="1"/>
  <c r="G934" i="1"/>
  <c r="C935" i="1"/>
  <c r="E935" i="1"/>
  <c r="F935" i="1"/>
  <c r="G935" i="1"/>
  <c r="C936" i="1"/>
  <c r="E936" i="1"/>
  <c r="F936" i="1"/>
  <c r="G936" i="1"/>
  <c r="C937" i="1"/>
  <c r="E937" i="1"/>
  <c r="F937" i="1"/>
  <c r="G937" i="1"/>
  <c r="C938" i="1"/>
  <c r="E938" i="1"/>
  <c r="F938" i="1"/>
  <c r="G938" i="1"/>
  <c r="C939" i="1"/>
  <c r="E939" i="1"/>
  <c r="F939" i="1"/>
  <c r="G939" i="1"/>
  <c r="C940" i="1"/>
  <c r="E940" i="1"/>
  <c r="F940" i="1"/>
  <c r="G940" i="1"/>
  <c r="C941" i="1"/>
  <c r="E941" i="1"/>
  <c r="F941" i="1"/>
  <c r="G941" i="1"/>
  <c r="C942" i="1"/>
  <c r="E942" i="1"/>
  <c r="F942" i="1"/>
  <c r="G942" i="1"/>
  <c r="C943" i="1"/>
  <c r="E943" i="1"/>
  <c r="F943" i="1"/>
  <c r="G943" i="1"/>
  <c r="C944" i="1"/>
  <c r="E944" i="1"/>
  <c r="F944" i="1"/>
  <c r="G944" i="1"/>
  <c r="C945" i="1"/>
  <c r="E945" i="1"/>
  <c r="F945" i="1"/>
  <c r="G945" i="1"/>
  <c r="C946" i="1"/>
  <c r="E946" i="1"/>
  <c r="F946" i="1"/>
  <c r="G946" i="1"/>
  <c r="C947" i="1"/>
  <c r="E947" i="1"/>
  <c r="F947" i="1"/>
  <c r="G947" i="1"/>
  <c r="C948" i="1"/>
  <c r="E948" i="1"/>
  <c r="F948" i="1"/>
  <c r="G948" i="1"/>
  <c r="C949" i="1"/>
  <c r="E949" i="1"/>
  <c r="F949" i="1"/>
  <c r="G949" i="1"/>
  <c r="C950" i="1"/>
  <c r="E950" i="1"/>
  <c r="F950" i="1"/>
  <c r="G950" i="1"/>
  <c r="C951" i="1"/>
  <c r="E951" i="1"/>
  <c r="F951" i="1"/>
  <c r="G951" i="1"/>
  <c r="C952" i="1"/>
  <c r="E952" i="1"/>
  <c r="F952" i="1"/>
  <c r="G952" i="1"/>
  <c r="C953" i="1"/>
  <c r="E953" i="1"/>
  <c r="F953" i="1"/>
  <c r="G953" i="1"/>
  <c r="C954" i="1"/>
  <c r="E954" i="1"/>
  <c r="F954" i="1"/>
  <c r="G954" i="1"/>
  <c r="C955" i="1"/>
  <c r="E955" i="1"/>
  <c r="F955" i="1"/>
  <c r="G955" i="1"/>
  <c r="C956" i="1"/>
  <c r="E956" i="1"/>
  <c r="F956" i="1"/>
  <c r="G956" i="1"/>
  <c r="C957" i="1"/>
  <c r="E957" i="1"/>
  <c r="F957" i="1"/>
  <c r="G957" i="1"/>
  <c r="C958" i="1"/>
  <c r="E958" i="1"/>
  <c r="F958" i="1"/>
  <c r="G958" i="1"/>
  <c r="C959" i="1"/>
  <c r="E959" i="1"/>
  <c r="F959" i="1"/>
  <c r="G959" i="1"/>
  <c r="C960" i="1"/>
  <c r="E960" i="1"/>
  <c r="F960" i="1"/>
  <c r="G960" i="1"/>
  <c r="C961" i="1"/>
  <c r="E961" i="1"/>
  <c r="F961" i="1"/>
  <c r="G961" i="1"/>
  <c r="C962" i="1"/>
  <c r="E962" i="1"/>
  <c r="F962" i="1"/>
  <c r="G962" i="1"/>
  <c r="C963" i="1"/>
  <c r="E963" i="1"/>
  <c r="F963" i="1"/>
  <c r="G963" i="1"/>
  <c r="C964" i="1"/>
  <c r="E964" i="1"/>
  <c r="F964" i="1"/>
  <c r="G964" i="1"/>
  <c r="C965" i="1"/>
  <c r="E965" i="1"/>
  <c r="F965" i="1"/>
  <c r="G965" i="1"/>
  <c r="C966" i="1"/>
  <c r="E966" i="1"/>
  <c r="F966" i="1"/>
  <c r="G966" i="1"/>
  <c r="C967" i="1"/>
  <c r="E967" i="1"/>
  <c r="F967" i="1"/>
  <c r="G967" i="1"/>
  <c r="C968" i="1"/>
  <c r="E968" i="1"/>
  <c r="F968" i="1"/>
  <c r="G968" i="1"/>
  <c r="C969" i="1"/>
  <c r="E969" i="1"/>
  <c r="F969" i="1"/>
  <c r="G969" i="1"/>
  <c r="C970" i="1"/>
  <c r="E970" i="1"/>
  <c r="F970" i="1"/>
  <c r="G970" i="1"/>
  <c r="C971" i="1"/>
  <c r="E971" i="1"/>
  <c r="F971" i="1"/>
  <c r="G971" i="1"/>
  <c r="C972" i="1"/>
  <c r="E972" i="1"/>
  <c r="F972" i="1"/>
  <c r="G972" i="1"/>
  <c r="C973" i="1"/>
  <c r="E973" i="1"/>
  <c r="F973" i="1"/>
  <c r="G973" i="1"/>
  <c r="C974" i="1"/>
  <c r="E974" i="1"/>
  <c r="F974" i="1"/>
  <c r="G974" i="1"/>
  <c r="C975" i="1"/>
  <c r="E975" i="1"/>
  <c r="F975" i="1"/>
  <c r="G975" i="1"/>
  <c r="C976" i="1"/>
  <c r="E976" i="1"/>
  <c r="F976" i="1"/>
  <c r="G976" i="1"/>
  <c r="C977" i="1"/>
  <c r="E977" i="1"/>
  <c r="F977" i="1"/>
  <c r="G977" i="1"/>
  <c r="C978" i="1"/>
  <c r="E978" i="1"/>
  <c r="F978" i="1"/>
  <c r="G978" i="1"/>
  <c r="C979" i="1"/>
  <c r="E979" i="1"/>
  <c r="F979" i="1"/>
  <c r="G979" i="1"/>
  <c r="C980" i="1"/>
  <c r="E980" i="1"/>
  <c r="F980" i="1"/>
  <c r="G980" i="1"/>
  <c r="C981" i="1"/>
  <c r="E981" i="1"/>
  <c r="F981" i="1"/>
  <c r="G981" i="1"/>
  <c r="C982" i="1"/>
  <c r="E982" i="1"/>
  <c r="F982" i="1"/>
  <c r="G982" i="1"/>
  <c r="C983" i="1"/>
  <c r="E983" i="1"/>
  <c r="F983" i="1"/>
  <c r="G983" i="1"/>
  <c r="C984" i="1"/>
  <c r="E984" i="1"/>
  <c r="F984" i="1"/>
  <c r="G984" i="1"/>
  <c r="C985" i="1"/>
  <c r="E985" i="1"/>
  <c r="F985" i="1"/>
  <c r="G985" i="1"/>
  <c r="C986" i="1"/>
  <c r="E986" i="1"/>
  <c r="F986" i="1"/>
  <c r="G986" i="1"/>
  <c r="C987" i="1"/>
  <c r="E987" i="1"/>
  <c r="F987" i="1"/>
  <c r="G987" i="1"/>
  <c r="C988" i="1"/>
  <c r="E988" i="1"/>
  <c r="F988" i="1"/>
  <c r="G988" i="1"/>
  <c r="C989" i="1"/>
  <c r="E989" i="1"/>
  <c r="F989" i="1"/>
  <c r="G989" i="1"/>
  <c r="C990" i="1"/>
  <c r="E990" i="1"/>
  <c r="F990" i="1"/>
  <c r="G990" i="1"/>
  <c r="C991" i="1"/>
  <c r="E991" i="1"/>
  <c r="F991" i="1"/>
  <c r="G991" i="1"/>
  <c r="C992" i="1"/>
  <c r="E992" i="1"/>
  <c r="F992" i="1"/>
  <c r="G992" i="1"/>
  <c r="C993" i="1"/>
  <c r="E993" i="1"/>
  <c r="F993" i="1"/>
  <c r="G993" i="1"/>
  <c r="C994" i="1"/>
  <c r="E994" i="1"/>
  <c r="F994" i="1"/>
  <c r="G994" i="1"/>
  <c r="C995" i="1"/>
  <c r="E995" i="1"/>
  <c r="F995" i="1"/>
  <c r="G995" i="1"/>
  <c r="C996" i="1"/>
  <c r="E996" i="1"/>
  <c r="F996" i="1"/>
  <c r="G996" i="1"/>
  <c r="C997" i="1"/>
  <c r="E997" i="1"/>
  <c r="F997" i="1"/>
  <c r="G997" i="1"/>
  <c r="C998" i="1"/>
  <c r="E998" i="1"/>
  <c r="F998" i="1"/>
  <c r="G998" i="1"/>
  <c r="C999" i="1"/>
  <c r="E999" i="1"/>
  <c r="F999" i="1"/>
  <c r="G999" i="1"/>
  <c r="C1000" i="1"/>
  <c r="E1000" i="1"/>
  <c r="F1000" i="1"/>
  <c r="G1000" i="1"/>
  <c r="C1001" i="1"/>
  <c r="E1001" i="1"/>
  <c r="F1001" i="1"/>
  <c r="G1001" i="1"/>
  <c r="C1002" i="1"/>
  <c r="E1002" i="1"/>
  <c r="F1002" i="1"/>
  <c r="G1002" i="1"/>
  <c r="C1003" i="1"/>
  <c r="E1003" i="1"/>
  <c r="F1003" i="1"/>
  <c r="G1003" i="1"/>
  <c r="C1004" i="1"/>
  <c r="E1004" i="1"/>
  <c r="F1004" i="1"/>
  <c r="G1004" i="1"/>
  <c r="C1005" i="1"/>
  <c r="E1005" i="1"/>
  <c r="F1005" i="1"/>
  <c r="G1005" i="1"/>
  <c r="C1006" i="1"/>
  <c r="E1006" i="1"/>
  <c r="F1006" i="1"/>
  <c r="G1006" i="1"/>
  <c r="C1007" i="1"/>
  <c r="E1007" i="1"/>
  <c r="F1007" i="1"/>
  <c r="G1007" i="1"/>
  <c r="C1008" i="1"/>
  <c r="E1008" i="1"/>
  <c r="F1008" i="1"/>
  <c r="G1008" i="1"/>
  <c r="C1009" i="1"/>
  <c r="E1009" i="1"/>
  <c r="F1009" i="1"/>
  <c r="G1009" i="1"/>
  <c r="C1010" i="1"/>
  <c r="E1010" i="1"/>
  <c r="F1010" i="1"/>
  <c r="G1010" i="1"/>
  <c r="C1011" i="1"/>
  <c r="E1011" i="1"/>
  <c r="F1011" i="1"/>
  <c r="G1011" i="1"/>
  <c r="C1012" i="1"/>
  <c r="E1012" i="1"/>
  <c r="F1012" i="1"/>
  <c r="G1012" i="1"/>
  <c r="C1013" i="1"/>
  <c r="E1013" i="1"/>
  <c r="F1013" i="1"/>
  <c r="G1013" i="1"/>
  <c r="C1014" i="1"/>
  <c r="E1014" i="1"/>
  <c r="F1014" i="1"/>
  <c r="G1014" i="1"/>
  <c r="C1015" i="1"/>
  <c r="E1015" i="1"/>
  <c r="F1015" i="1"/>
  <c r="G1015" i="1"/>
  <c r="C1016" i="1"/>
  <c r="E1016" i="1"/>
  <c r="F1016" i="1"/>
  <c r="G1016" i="1"/>
  <c r="C1017" i="1"/>
  <c r="E1017" i="1"/>
  <c r="F1017" i="1"/>
  <c r="G1017" i="1"/>
  <c r="C1018" i="1"/>
  <c r="E1018" i="1"/>
  <c r="F1018" i="1"/>
  <c r="G1018" i="1"/>
  <c r="C1019" i="1"/>
  <c r="E1019" i="1"/>
  <c r="F1019" i="1"/>
  <c r="G1019" i="1"/>
  <c r="C1020" i="1"/>
  <c r="E1020" i="1"/>
  <c r="F1020" i="1"/>
  <c r="G1020" i="1"/>
  <c r="C1021" i="1"/>
  <c r="E1021" i="1"/>
  <c r="F1021" i="1"/>
  <c r="G1021" i="1"/>
  <c r="C1022" i="1"/>
  <c r="E1022" i="1"/>
  <c r="F1022" i="1"/>
  <c r="G1022" i="1"/>
  <c r="C1023" i="1"/>
  <c r="E1023" i="1"/>
  <c r="F1023" i="1"/>
  <c r="G1023" i="1"/>
  <c r="C1024" i="1"/>
  <c r="E1024" i="1"/>
  <c r="F1024" i="1"/>
  <c r="G1024" i="1"/>
  <c r="C1025" i="1"/>
  <c r="E1025" i="1"/>
  <c r="F1025" i="1"/>
  <c r="G1025" i="1"/>
  <c r="C1026" i="1"/>
  <c r="E1026" i="1"/>
  <c r="F1026" i="1"/>
  <c r="G1026" i="1"/>
  <c r="C1027" i="1"/>
  <c r="E1027" i="1"/>
  <c r="F1027" i="1"/>
  <c r="G1027" i="1"/>
  <c r="C1028" i="1"/>
  <c r="E1028" i="1"/>
  <c r="F1028" i="1"/>
  <c r="G1028" i="1"/>
  <c r="C1029" i="1"/>
  <c r="E1029" i="1"/>
  <c r="F1029" i="1"/>
  <c r="G1029" i="1"/>
  <c r="C1030" i="1"/>
  <c r="E1030" i="1"/>
  <c r="F1030" i="1"/>
  <c r="G1030" i="1"/>
  <c r="C1031" i="1"/>
  <c r="E1031" i="1"/>
  <c r="F1031" i="1"/>
  <c r="G1031" i="1"/>
  <c r="C1032" i="1"/>
  <c r="E1032" i="1"/>
  <c r="F1032" i="1"/>
  <c r="G1032" i="1"/>
  <c r="C1033" i="1"/>
  <c r="E1033" i="1"/>
  <c r="F1033" i="1"/>
  <c r="G1033" i="1"/>
  <c r="C1034" i="1"/>
  <c r="E1034" i="1"/>
  <c r="F1034" i="1"/>
  <c r="G1034" i="1"/>
  <c r="C1035" i="1"/>
  <c r="E1035" i="1"/>
  <c r="F1035" i="1"/>
  <c r="G1035" i="1"/>
  <c r="C1036" i="1"/>
  <c r="E1036" i="1"/>
  <c r="F1036" i="1"/>
  <c r="G1036" i="1"/>
  <c r="C1037" i="1"/>
  <c r="E1037" i="1"/>
  <c r="F1037" i="1"/>
  <c r="G1037" i="1"/>
  <c r="C1038" i="1"/>
  <c r="E1038" i="1"/>
  <c r="F1038" i="1"/>
  <c r="G1038" i="1"/>
  <c r="C1039" i="1"/>
  <c r="E1039" i="1"/>
  <c r="F1039" i="1"/>
  <c r="G1039" i="1"/>
  <c r="C1040" i="1"/>
  <c r="E1040" i="1"/>
  <c r="F1040" i="1"/>
  <c r="G1040" i="1"/>
  <c r="C1041" i="1"/>
  <c r="E1041" i="1"/>
  <c r="F1041" i="1"/>
  <c r="G1041" i="1"/>
  <c r="C1042" i="1"/>
  <c r="E1042" i="1"/>
  <c r="F1042" i="1"/>
  <c r="G1042" i="1"/>
  <c r="C1043" i="1"/>
  <c r="E1043" i="1"/>
  <c r="F1043" i="1"/>
  <c r="G1043" i="1"/>
  <c r="C1044" i="1"/>
  <c r="E1044" i="1"/>
  <c r="F1044" i="1"/>
  <c r="G1044" i="1"/>
  <c r="C1045" i="1"/>
  <c r="E1045" i="1"/>
  <c r="F1045" i="1"/>
  <c r="G1045" i="1"/>
  <c r="C1046" i="1"/>
  <c r="E1046" i="1"/>
  <c r="F1046" i="1"/>
  <c r="G1046" i="1"/>
  <c r="C1047" i="1"/>
  <c r="E1047" i="1"/>
  <c r="F1047" i="1"/>
  <c r="G1047" i="1"/>
  <c r="C1048" i="1"/>
  <c r="E1048" i="1"/>
  <c r="F1048" i="1"/>
  <c r="G1048" i="1"/>
  <c r="C1049" i="1"/>
  <c r="E1049" i="1"/>
  <c r="F1049" i="1"/>
  <c r="G1049" i="1"/>
  <c r="C1050" i="1"/>
  <c r="E1050" i="1"/>
  <c r="F1050" i="1"/>
  <c r="G1050" i="1"/>
  <c r="C1051" i="1"/>
  <c r="E1051" i="1"/>
  <c r="F1051" i="1"/>
  <c r="G1051" i="1"/>
  <c r="C1052" i="1"/>
  <c r="E1052" i="1"/>
  <c r="F1052" i="1"/>
  <c r="G1052" i="1"/>
  <c r="C1053" i="1"/>
  <c r="E1053" i="1"/>
  <c r="F1053" i="1"/>
  <c r="G1053" i="1"/>
  <c r="C1054" i="1"/>
  <c r="E1054" i="1"/>
  <c r="F1054" i="1"/>
  <c r="G1054" i="1"/>
  <c r="C1055" i="1"/>
  <c r="E1055" i="1"/>
  <c r="F1055" i="1"/>
  <c r="G1055" i="1"/>
  <c r="C1056" i="1"/>
  <c r="E1056" i="1"/>
  <c r="F1056" i="1"/>
  <c r="G1056" i="1"/>
  <c r="C1057" i="1"/>
  <c r="E1057" i="1"/>
  <c r="F1057" i="1"/>
  <c r="G1057" i="1"/>
  <c r="C1058" i="1"/>
  <c r="E1058" i="1"/>
  <c r="F1058" i="1"/>
  <c r="G1058" i="1"/>
  <c r="C1059" i="1"/>
  <c r="E1059" i="1"/>
  <c r="F1059" i="1"/>
  <c r="G1059" i="1"/>
  <c r="C1060" i="1"/>
  <c r="E1060" i="1"/>
  <c r="F1060" i="1"/>
  <c r="G1060" i="1"/>
  <c r="C1061" i="1"/>
  <c r="E1061" i="1"/>
  <c r="F1061" i="1"/>
  <c r="G1061" i="1"/>
  <c r="C1062" i="1"/>
  <c r="E1062" i="1"/>
  <c r="F1062" i="1"/>
  <c r="G1062" i="1"/>
  <c r="C1063" i="1"/>
  <c r="E1063" i="1"/>
  <c r="F1063" i="1"/>
  <c r="G1063" i="1"/>
  <c r="C1064" i="1"/>
  <c r="E1064" i="1"/>
  <c r="F1064" i="1"/>
  <c r="G1064" i="1"/>
  <c r="C1065" i="1"/>
  <c r="E1065" i="1"/>
  <c r="F1065" i="1"/>
  <c r="G1065" i="1"/>
  <c r="C1066" i="1"/>
  <c r="E1066" i="1"/>
  <c r="F1066" i="1"/>
  <c r="G1066" i="1"/>
  <c r="C1067" i="1"/>
  <c r="E1067" i="1"/>
  <c r="F1067" i="1"/>
  <c r="G1067" i="1"/>
  <c r="C1068" i="1"/>
  <c r="E1068" i="1"/>
  <c r="F1068" i="1"/>
  <c r="G1068" i="1"/>
  <c r="C1069" i="1"/>
  <c r="E1069" i="1"/>
  <c r="F1069" i="1"/>
  <c r="G1069" i="1"/>
  <c r="C1070" i="1"/>
  <c r="E1070" i="1"/>
  <c r="F1070" i="1"/>
  <c r="G1070" i="1"/>
  <c r="C1071" i="1"/>
  <c r="E1071" i="1"/>
  <c r="F1071" i="1"/>
  <c r="G1071" i="1"/>
  <c r="C1072" i="1"/>
  <c r="E1072" i="1"/>
  <c r="F1072" i="1"/>
  <c r="G1072" i="1"/>
  <c r="C1073" i="1"/>
  <c r="E1073" i="1"/>
  <c r="F1073" i="1"/>
  <c r="G1073" i="1"/>
  <c r="C1074" i="1"/>
  <c r="E1074" i="1"/>
  <c r="F1074" i="1"/>
  <c r="G1074" i="1"/>
  <c r="C1075" i="1"/>
  <c r="E1075" i="1"/>
  <c r="F1075" i="1"/>
  <c r="G1075" i="1"/>
  <c r="C1076" i="1"/>
  <c r="E1076" i="1"/>
  <c r="F1076" i="1"/>
  <c r="G1076" i="1"/>
  <c r="C1077" i="1"/>
  <c r="E1077" i="1"/>
  <c r="F1077" i="1"/>
  <c r="G1077" i="1"/>
  <c r="C1078" i="1"/>
  <c r="E1078" i="1"/>
  <c r="F1078" i="1"/>
  <c r="G1078" i="1"/>
  <c r="C1079" i="1"/>
  <c r="E1079" i="1"/>
  <c r="F1079" i="1"/>
  <c r="G1079" i="1"/>
  <c r="C1080" i="1"/>
  <c r="E1080" i="1"/>
  <c r="F1080" i="1"/>
  <c r="G1080" i="1"/>
  <c r="C1081" i="1"/>
  <c r="E1081" i="1"/>
  <c r="F1081" i="1"/>
  <c r="G1081" i="1"/>
  <c r="C1082" i="1"/>
  <c r="E1082" i="1"/>
  <c r="F1082" i="1"/>
  <c r="G1082" i="1"/>
  <c r="C1083" i="1"/>
  <c r="E1083" i="1"/>
  <c r="F1083" i="1"/>
  <c r="G1083" i="1"/>
  <c r="C1084" i="1"/>
  <c r="E1084" i="1"/>
  <c r="F1084" i="1"/>
  <c r="G1084" i="1"/>
  <c r="C1085" i="1"/>
  <c r="E1085" i="1"/>
  <c r="F1085" i="1"/>
  <c r="G1085" i="1"/>
  <c r="C1086" i="1"/>
  <c r="E1086" i="1"/>
  <c r="F1086" i="1"/>
  <c r="G1086" i="1"/>
  <c r="C1087" i="1"/>
  <c r="E1087" i="1"/>
  <c r="F1087" i="1"/>
  <c r="G1087" i="1"/>
  <c r="C1088" i="1"/>
  <c r="E1088" i="1"/>
  <c r="F1088" i="1"/>
  <c r="G1088" i="1"/>
  <c r="C1089" i="1"/>
  <c r="E1089" i="1"/>
  <c r="F1089" i="1"/>
  <c r="G1089" i="1"/>
  <c r="C1090" i="1"/>
  <c r="E1090" i="1"/>
  <c r="F1090" i="1"/>
  <c r="G1090" i="1"/>
  <c r="C1091" i="1"/>
  <c r="E1091" i="1"/>
  <c r="F1091" i="1"/>
  <c r="G1091" i="1"/>
  <c r="C1092" i="1"/>
  <c r="E1092" i="1"/>
  <c r="F1092" i="1"/>
  <c r="G1092" i="1"/>
  <c r="C1093" i="1"/>
  <c r="E1093" i="1"/>
  <c r="F1093" i="1"/>
  <c r="G1093" i="1"/>
  <c r="C1094" i="1"/>
  <c r="E1094" i="1"/>
  <c r="F1094" i="1"/>
  <c r="G1094" i="1"/>
  <c r="C1095" i="1"/>
  <c r="E1095" i="1"/>
  <c r="F1095" i="1"/>
  <c r="G1095" i="1"/>
  <c r="C1096" i="1"/>
  <c r="E1096" i="1"/>
  <c r="F1096" i="1"/>
  <c r="G1096" i="1"/>
  <c r="C1097" i="1"/>
  <c r="E1097" i="1"/>
  <c r="F1097" i="1"/>
  <c r="G1097" i="1"/>
  <c r="C1098" i="1"/>
  <c r="E1098" i="1"/>
  <c r="F1098" i="1"/>
  <c r="G1098" i="1"/>
  <c r="C1099" i="1"/>
  <c r="E1099" i="1"/>
  <c r="F1099" i="1"/>
  <c r="G1099" i="1"/>
  <c r="C1100" i="1"/>
  <c r="E1100" i="1"/>
  <c r="F1100" i="1"/>
  <c r="G1100" i="1"/>
  <c r="C1101" i="1"/>
  <c r="E1101" i="1"/>
  <c r="F1101" i="1"/>
  <c r="G1101" i="1"/>
  <c r="C1102" i="1"/>
  <c r="E1102" i="1"/>
  <c r="F1102" i="1"/>
  <c r="G1102" i="1"/>
  <c r="C1103" i="1"/>
  <c r="E1103" i="1"/>
  <c r="F1103" i="1"/>
  <c r="G1103" i="1"/>
  <c r="C1104" i="1"/>
  <c r="E1104" i="1"/>
  <c r="F1104" i="1"/>
  <c r="G1104" i="1"/>
  <c r="C1105" i="1"/>
  <c r="E1105" i="1"/>
  <c r="F1105" i="1"/>
  <c r="G1105" i="1"/>
  <c r="C1106" i="1"/>
  <c r="E1106" i="1"/>
  <c r="F1106" i="1"/>
  <c r="G1106" i="1"/>
  <c r="C1107" i="1"/>
  <c r="E1107" i="1"/>
  <c r="F1107" i="1"/>
  <c r="G1107" i="1"/>
  <c r="C1108" i="1"/>
  <c r="E1108" i="1"/>
  <c r="F1108" i="1"/>
  <c r="G1108" i="1"/>
  <c r="C1109" i="1"/>
  <c r="E1109" i="1"/>
  <c r="F1109" i="1"/>
  <c r="G1109" i="1"/>
  <c r="C1110" i="1"/>
  <c r="E1110" i="1"/>
  <c r="F1110" i="1"/>
  <c r="G1110" i="1"/>
  <c r="C1111" i="1"/>
  <c r="E1111" i="1"/>
  <c r="F1111" i="1"/>
  <c r="G1111" i="1"/>
  <c r="C1112" i="1"/>
  <c r="E1112" i="1"/>
  <c r="F1112" i="1"/>
  <c r="G1112" i="1"/>
  <c r="C1113" i="1"/>
  <c r="E1113" i="1"/>
  <c r="F1113" i="1"/>
  <c r="G1113" i="1"/>
  <c r="C1114" i="1"/>
  <c r="E1114" i="1"/>
  <c r="F1114" i="1"/>
  <c r="G1114" i="1"/>
  <c r="C1115" i="1"/>
  <c r="E1115" i="1"/>
  <c r="F1115" i="1"/>
  <c r="G1115" i="1"/>
  <c r="C1116" i="1"/>
  <c r="E1116" i="1"/>
  <c r="F1116" i="1"/>
  <c r="G1116" i="1"/>
  <c r="C1117" i="1"/>
  <c r="E1117" i="1"/>
  <c r="F1117" i="1"/>
  <c r="G1117" i="1"/>
  <c r="C1118" i="1"/>
  <c r="E1118" i="1"/>
  <c r="F1118" i="1"/>
  <c r="G1118" i="1"/>
  <c r="C1119" i="1"/>
  <c r="E1119" i="1"/>
  <c r="F1119" i="1"/>
  <c r="G1119" i="1"/>
  <c r="C1120" i="1"/>
  <c r="E1120" i="1"/>
  <c r="F1120" i="1"/>
  <c r="G1120" i="1"/>
  <c r="C1121" i="1"/>
  <c r="E1121" i="1"/>
  <c r="F1121" i="1"/>
  <c r="G1121" i="1"/>
  <c r="C1122" i="1"/>
  <c r="E1122" i="1"/>
  <c r="F1122" i="1"/>
  <c r="G1122" i="1"/>
  <c r="C1123" i="1"/>
  <c r="E1123" i="1"/>
  <c r="F1123" i="1"/>
  <c r="G1123" i="1"/>
  <c r="C1124" i="1"/>
  <c r="E1124" i="1"/>
  <c r="F1124" i="1"/>
  <c r="G1124" i="1"/>
  <c r="C1125" i="1"/>
  <c r="E1125" i="1"/>
  <c r="F1125" i="1"/>
  <c r="G1125" i="1"/>
  <c r="C1126" i="1"/>
  <c r="E1126" i="1"/>
  <c r="F1126" i="1"/>
  <c r="G1126" i="1"/>
  <c r="C1127" i="1"/>
  <c r="E1127" i="1"/>
  <c r="F1127" i="1"/>
  <c r="G1127" i="1"/>
  <c r="C1128" i="1"/>
  <c r="E1128" i="1"/>
  <c r="F1128" i="1"/>
  <c r="G1128" i="1"/>
  <c r="C1129" i="1"/>
  <c r="E1129" i="1"/>
  <c r="F1129" i="1"/>
  <c r="G1129" i="1"/>
  <c r="C1130" i="1"/>
  <c r="E1130" i="1"/>
  <c r="F1130" i="1"/>
  <c r="G1130" i="1"/>
  <c r="C1131" i="1"/>
  <c r="E1131" i="1"/>
  <c r="F1131" i="1"/>
  <c r="G1131" i="1"/>
  <c r="C1132" i="1"/>
  <c r="E1132" i="1"/>
  <c r="F1132" i="1"/>
  <c r="G1132" i="1"/>
  <c r="C1133" i="1"/>
  <c r="E1133" i="1"/>
  <c r="F1133" i="1"/>
  <c r="G1133" i="1"/>
  <c r="C1134" i="1"/>
  <c r="E1134" i="1"/>
  <c r="F1134" i="1"/>
  <c r="G1134" i="1"/>
  <c r="C1135" i="1"/>
  <c r="E1135" i="1"/>
  <c r="F1135" i="1"/>
  <c r="G1135" i="1"/>
  <c r="C1136" i="1"/>
  <c r="E1136" i="1"/>
  <c r="F1136" i="1"/>
  <c r="G1136" i="1"/>
  <c r="C1137" i="1"/>
  <c r="E1137" i="1"/>
  <c r="F1137" i="1"/>
  <c r="G1137" i="1"/>
  <c r="C1138" i="1"/>
  <c r="E1138" i="1"/>
  <c r="F1138" i="1"/>
  <c r="G1138" i="1"/>
  <c r="C1139" i="1"/>
  <c r="E1139" i="1"/>
  <c r="F1139" i="1"/>
  <c r="G1139" i="1"/>
  <c r="C1140" i="1"/>
  <c r="E1140" i="1"/>
  <c r="F1140" i="1"/>
  <c r="G1140" i="1"/>
  <c r="C1141" i="1"/>
  <c r="E1141" i="1"/>
  <c r="F1141" i="1"/>
  <c r="G1141" i="1"/>
  <c r="C1142" i="1"/>
  <c r="E1142" i="1"/>
  <c r="F1142" i="1"/>
  <c r="G1142" i="1"/>
  <c r="C1143" i="1"/>
  <c r="E1143" i="1"/>
  <c r="F1143" i="1"/>
  <c r="G1143" i="1"/>
  <c r="C1144" i="1"/>
  <c r="E1144" i="1"/>
  <c r="F1144" i="1"/>
  <c r="G1144" i="1"/>
  <c r="C1145" i="1"/>
  <c r="E1145" i="1"/>
  <c r="F1145" i="1"/>
  <c r="G1145" i="1"/>
  <c r="C1146" i="1"/>
  <c r="E1146" i="1"/>
  <c r="F1146" i="1"/>
  <c r="G1146" i="1"/>
  <c r="C1147" i="1"/>
  <c r="E1147" i="1"/>
  <c r="F1147" i="1"/>
  <c r="G1147" i="1"/>
  <c r="C1148" i="1"/>
  <c r="E1148" i="1"/>
  <c r="F1148" i="1"/>
  <c r="G1148" i="1"/>
  <c r="C1149" i="1"/>
  <c r="E1149" i="1"/>
  <c r="F1149" i="1"/>
  <c r="G1149" i="1"/>
  <c r="C1150" i="1"/>
  <c r="E1150" i="1"/>
  <c r="F1150" i="1"/>
  <c r="G1150" i="1"/>
  <c r="C1151" i="1"/>
  <c r="E1151" i="1"/>
  <c r="F1151" i="1"/>
  <c r="G1151" i="1"/>
  <c r="C1152" i="1"/>
  <c r="E1152" i="1"/>
  <c r="F1152" i="1"/>
  <c r="G1152" i="1"/>
  <c r="C1153" i="1"/>
  <c r="E1153" i="1"/>
  <c r="F1153" i="1"/>
  <c r="G1153" i="1"/>
  <c r="C1154" i="1"/>
  <c r="E1154" i="1"/>
  <c r="F1154" i="1"/>
  <c r="G1154" i="1"/>
  <c r="C1155" i="1"/>
  <c r="E1155" i="1"/>
  <c r="F1155" i="1"/>
  <c r="G1155" i="1"/>
  <c r="C1156" i="1"/>
  <c r="E1156" i="1"/>
  <c r="F1156" i="1"/>
  <c r="G1156" i="1"/>
  <c r="C1157" i="1"/>
  <c r="E1157" i="1"/>
  <c r="F1157" i="1"/>
  <c r="G1157" i="1"/>
  <c r="C1158" i="1"/>
  <c r="E1158" i="1"/>
  <c r="F1158" i="1"/>
  <c r="G1158" i="1"/>
  <c r="C1159" i="1"/>
  <c r="E1159" i="1"/>
  <c r="F1159" i="1"/>
  <c r="G1159" i="1"/>
  <c r="C1160" i="1"/>
  <c r="E1160" i="1"/>
  <c r="F1160" i="1"/>
  <c r="G1160" i="1"/>
  <c r="C1161" i="1"/>
  <c r="E1161" i="1"/>
  <c r="F1161" i="1"/>
  <c r="G1161" i="1"/>
  <c r="C1162" i="1"/>
  <c r="E1162" i="1"/>
  <c r="F1162" i="1"/>
  <c r="G1162" i="1"/>
  <c r="C1163" i="1"/>
  <c r="E1163" i="1"/>
  <c r="F1163" i="1"/>
  <c r="G1163" i="1"/>
  <c r="C1164" i="1"/>
  <c r="E1164" i="1"/>
  <c r="F1164" i="1"/>
  <c r="G1164" i="1"/>
  <c r="C1165" i="1"/>
  <c r="E1165" i="1"/>
  <c r="F1165" i="1"/>
  <c r="G1165" i="1"/>
  <c r="C1166" i="1"/>
  <c r="E1166" i="1"/>
  <c r="F1166" i="1"/>
  <c r="G1166" i="1"/>
  <c r="C1167" i="1"/>
  <c r="E1167" i="1"/>
  <c r="F1167" i="1"/>
  <c r="G1167" i="1"/>
  <c r="C1168" i="1"/>
  <c r="E1168" i="1"/>
  <c r="F1168" i="1"/>
  <c r="G1168" i="1"/>
  <c r="C1169" i="1"/>
  <c r="E1169" i="1"/>
  <c r="F1169" i="1"/>
  <c r="G1169" i="1"/>
  <c r="C1170" i="1"/>
  <c r="E1170" i="1"/>
  <c r="F1170" i="1"/>
  <c r="G1170" i="1"/>
  <c r="C1171" i="1"/>
  <c r="E1171" i="1"/>
  <c r="F1171" i="1"/>
  <c r="G1171" i="1"/>
  <c r="C1172" i="1"/>
  <c r="E1172" i="1"/>
  <c r="F1172" i="1"/>
  <c r="G1172" i="1"/>
  <c r="C1173" i="1"/>
  <c r="E1173" i="1"/>
  <c r="F1173" i="1"/>
  <c r="G1173" i="1"/>
  <c r="C1174" i="1"/>
  <c r="E1174" i="1"/>
  <c r="F1174" i="1"/>
  <c r="G1174" i="1"/>
  <c r="C1175" i="1"/>
  <c r="E1175" i="1"/>
  <c r="F1175" i="1"/>
  <c r="G1175" i="1"/>
  <c r="C1176" i="1"/>
  <c r="E1176" i="1"/>
  <c r="F1176" i="1"/>
  <c r="G1176" i="1"/>
  <c r="C1177" i="1"/>
  <c r="E1177" i="1"/>
  <c r="F1177" i="1"/>
  <c r="G1177" i="1"/>
  <c r="C1178" i="1"/>
  <c r="E1178" i="1"/>
  <c r="F1178" i="1"/>
  <c r="G1178" i="1"/>
  <c r="C1179" i="1"/>
  <c r="E1179" i="1"/>
  <c r="F1179" i="1"/>
  <c r="G1179" i="1"/>
  <c r="C1180" i="1"/>
  <c r="E1180" i="1"/>
  <c r="F1180" i="1"/>
  <c r="G1180" i="1"/>
  <c r="C1181" i="1"/>
  <c r="E1181" i="1"/>
  <c r="F1181" i="1"/>
  <c r="G1181" i="1"/>
  <c r="C1182" i="1"/>
  <c r="E1182" i="1"/>
  <c r="F1182" i="1"/>
  <c r="G1182" i="1"/>
  <c r="C1183" i="1"/>
  <c r="E1183" i="1"/>
  <c r="F1183" i="1"/>
  <c r="G1183" i="1"/>
  <c r="C1184" i="1"/>
  <c r="E1184" i="1"/>
  <c r="F1184" i="1"/>
  <c r="G1184" i="1"/>
  <c r="C1185" i="1"/>
  <c r="E1185" i="1"/>
  <c r="F1185" i="1"/>
  <c r="G1185" i="1"/>
  <c r="C1186" i="1"/>
  <c r="E1186" i="1"/>
  <c r="F1186" i="1"/>
  <c r="G1186" i="1"/>
  <c r="C1187" i="1"/>
  <c r="E1187" i="1"/>
  <c r="F1187" i="1"/>
  <c r="G1187" i="1"/>
  <c r="C1188" i="1"/>
  <c r="E1188" i="1"/>
  <c r="F1188" i="1"/>
  <c r="G1188" i="1"/>
  <c r="C1189" i="1"/>
  <c r="E1189" i="1"/>
  <c r="F1189" i="1"/>
  <c r="G1189" i="1"/>
  <c r="C1190" i="1"/>
  <c r="E1190" i="1"/>
  <c r="F1190" i="1"/>
  <c r="G1190" i="1"/>
  <c r="C1191" i="1"/>
  <c r="E1191" i="1"/>
  <c r="F1191" i="1"/>
  <c r="G1191" i="1"/>
  <c r="C1192" i="1"/>
  <c r="E1192" i="1"/>
  <c r="F1192" i="1"/>
  <c r="G1192" i="1"/>
  <c r="C1193" i="1"/>
  <c r="E1193" i="1"/>
  <c r="F1193" i="1"/>
  <c r="G1193" i="1"/>
  <c r="C1194" i="1"/>
  <c r="E1194" i="1"/>
  <c r="F1194" i="1"/>
  <c r="G1194" i="1"/>
  <c r="C1195" i="1"/>
  <c r="E1195" i="1"/>
  <c r="F1195" i="1"/>
  <c r="G1195" i="1"/>
  <c r="C1196" i="1"/>
  <c r="E1196" i="1"/>
  <c r="F1196" i="1"/>
  <c r="G1196" i="1"/>
  <c r="C1197" i="1"/>
  <c r="E1197" i="1"/>
  <c r="F1197" i="1"/>
  <c r="G1197" i="1"/>
  <c r="C1198" i="1"/>
  <c r="E1198" i="1"/>
  <c r="F1198" i="1"/>
  <c r="G1198" i="1"/>
  <c r="C1199" i="1"/>
  <c r="E1199" i="1"/>
  <c r="F1199" i="1"/>
  <c r="G1199" i="1"/>
  <c r="C1200" i="1"/>
  <c r="E1200" i="1"/>
  <c r="F1200" i="1"/>
  <c r="G1200" i="1"/>
  <c r="C1201" i="1"/>
  <c r="E1201" i="1"/>
  <c r="F1201" i="1"/>
  <c r="G1201" i="1"/>
  <c r="C1202" i="1"/>
  <c r="E1202" i="1"/>
  <c r="F1202" i="1"/>
  <c r="G1202" i="1"/>
  <c r="C1203" i="1"/>
  <c r="E1203" i="1"/>
  <c r="F1203" i="1"/>
  <c r="G1203" i="1"/>
  <c r="C1204" i="1"/>
  <c r="E1204" i="1"/>
  <c r="F1204" i="1"/>
  <c r="G1204" i="1"/>
  <c r="C1205" i="1"/>
  <c r="E1205" i="1"/>
  <c r="F1205" i="1"/>
  <c r="G1205" i="1"/>
  <c r="C1206" i="1"/>
  <c r="E1206" i="1"/>
  <c r="F1206" i="1"/>
  <c r="G1206" i="1"/>
  <c r="C1207" i="1"/>
  <c r="E1207" i="1"/>
  <c r="F1207" i="1"/>
  <c r="G1207" i="1"/>
  <c r="C1208" i="1"/>
  <c r="E1208" i="1"/>
  <c r="F1208" i="1"/>
  <c r="G1208" i="1"/>
  <c r="C1209" i="1"/>
  <c r="E1209" i="1"/>
  <c r="F1209" i="1"/>
  <c r="G1209" i="1"/>
  <c r="C1210" i="1"/>
  <c r="E1210" i="1"/>
  <c r="F1210" i="1"/>
  <c r="G1210" i="1"/>
  <c r="C1211" i="1"/>
  <c r="E1211" i="1"/>
  <c r="F1211" i="1"/>
  <c r="G1211" i="1"/>
  <c r="C1212" i="1"/>
  <c r="E1212" i="1"/>
  <c r="F1212" i="1"/>
  <c r="G1212" i="1"/>
  <c r="C1213" i="1"/>
  <c r="E1213" i="1"/>
  <c r="F1213" i="1"/>
  <c r="G1213" i="1"/>
  <c r="C1214" i="1"/>
  <c r="E1214" i="1"/>
  <c r="F1214" i="1"/>
  <c r="G1214" i="1"/>
  <c r="C1215" i="1"/>
  <c r="E1215" i="1"/>
  <c r="F1215" i="1"/>
  <c r="G1215" i="1"/>
  <c r="C1216" i="1"/>
  <c r="E1216" i="1"/>
  <c r="F1216" i="1"/>
  <c r="G1216" i="1"/>
  <c r="C1217" i="1"/>
  <c r="E1217" i="1"/>
  <c r="F1217" i="1"/>
  <c r="G1217" i="1"/>
  <c r="C1218" i="1"/>
  <c r="E1218" i="1"/>
  <c r="F1218" i="1"/>
  <c r="G1218" i="1"/>
  <c r="C1219" i="1"/>
  <c r="E1219" i="1"/>
  <c r="F1219" i="1"/>
  <c r="G1219" i="1"/>
  <c r="C1220" i="1"/>
  <c r="E1220" i="1"/>
  <c r="F1220" i="1"/>
  <c r="G1220" i="1"/>
  <c r="C1221" i="1"/>
  <c r="E1221" i="1"/>
  <c r="F1221" i="1"/>
  <c r="G1221" i="1"/>
  <c r="C1222" i="1"/>
  <c r="E1222" i="1"/>
  <c r="F1222" i="1"/>
  <c r="G1222" i="1"/>
  <c r="C1223" i="1"/>
  <c r="E1223" i="1"/>
  <c r="F1223" i="1"/>
  <c r="G1223" i="1"/>
  <c r="C1224" i="1"/>
  <c r="E1224" i="1"/>
  <c r="F1224" i="1"/>
  <c r="G1224" i="1"/>
  <c r="C1225" i="1"/>
  <c r="E1225" i="1"/>
  <c r="F1225" i="1"/>
  <c r="G1225" i="1"/>
  <c r="C1226" i="1"/>
  <c r="E1226" i="1"/>
  <c r="F1226" i="1"/>
  <c r="G1226" i="1"/>
  <c r="C1227" i="1"/>
  <c r="E1227" i="1"/>
  <c r="F1227" i="1"/>
  <c r="G1227" i="1"/>
  <c r="C1228" i="1"/>
  <c r="E1228" i="1"/>
  <c r="F1228" i="1"/>
  <c r="G1228" i="1"/>
  <c r="C1229" i="1"/>
  <c r="E1229" i="1"/>
  <c r="F1229" i="1"/>
  <c r="G1229" i="1"/>
  <c r="C1230" i="1"/>
  <c r="E1230" i="1"/>
  <c r="F1230" i="1"/>
  <c r="G1230" i="1"/>
  <c r="C1231" i="1"/>
  <c r="E1231" i="1"/>
  <c r="F1231" i="1"/>
  <c r="G1231" i="1"/>
  <c r="C1232" i="1"/>
  <c r="E1232" i="1"/>
  <c r="F1232" i="1"/>
  <c r="G1232" i="1"/>
  <c r="C1233" i="1"/>
  <c r="E1233" i="1"/>
  <c r="F1233" i="1"/>
  <c r="G1233" i="1"/>
  <c r="C1234" i="1"/>
  <c r="E1234" i="1"/>
  <c r="F1234" i="1"/>
  <c r="G1234" i="1"/>
  <c r="C1235" i="1"/>
  <c r="E1235" i="1"/>
  <c r="F1235" i="1"/>
  <c r="G1235" i="1"/>
  <c r="C1236" i="1"/>
  <c r="E1236" i="1"/>
  <c r="F1236" i="1"/>
  <c r="G1236" i="1"/>
  <c r="C1237" i="1"/>
  <c r="E1237" i="1"/>
  <c r="F1237" i="1"/>
  <c r="G1237" i="1"/>
  <c r="C1238" i="1"/>
  <c r="E1238" i="1"/>
  <c r="F1238" i="1"/>
  <c r="G1238" i="1"/>
  <c r="C1239" i="1"/>
  <c r="E1239" i="1"/>
  <c r="F1239" i="1"/>
  <c r="G1239" i="1"/>
  <c r="C1240" i="1"/>
  <c r="E1240" i="1"/>
  <c r="F1240" i="1"/>
  <c r="G1240" i="1"/>
  <c r="C1241" i="1"/>
  <c r="E1241" i="1"/>
  <c r="F1241" i="1"/>
  <c r="G1241" i="1"/>
  <c r="C1242" i="1"/>
  <c r="E1242" i="1"/>
  <c r="F1242" i="1"/>
  <c r="G1242" i="1"/>
  <c r="C1243" i="1"/>
  <c r="E1243" i="1"/>
  <c r="F1243" i="1"/>
  <c r="G1243" i="1"/>
  <c r="C1244" i="1"/>
  <c r="E1244" i="1"/>
  <c r="F1244" i="1"/>
  <c r="G1244" i="1"/>
  <c r="C1245" i="1"/>
  <c r="E1245" i="1"/>
  <c r="F1245" i="1"/>
  <c r="G1245" i="1"/>
  <c r="C1246" i="1"/>
  <c r="E1246" i="1"/>
  <c r="F1246" i="1"/>
  <c r="G1246" i="1"/>
  <c r="C1247" i="1"/>
  <c r="E1247" i="1"/>
  <c r="F1247" i="1"/>
  <c r="G1247" i="1"/>
  <c r="C1248" i="1"/>
  <c r="E1248" i="1"/>
  <c r="F1248" i="1"/>
  <c r="G1248" i="1"/>
  <c r="C1249" i="1"/>
  <c r="E1249" i="1"/>
  <c r="F1249" i="1"/>
  <c r="G1249" i="1"/>
  <c r="C1250" i="1"/>
  <c r="E1250" i="1"/>
  <c r="F1250" i="1"/>
  <c r="G1250" i="1"/>
  <c r="C1251" i="1"/>
  <c r="E1251" i="1"/>
  <c r="F1251" i="1"/>
  <c r="G1251" i="1"/>
  <c r="C1252" i="1"/>
  <c r="E1252" i="1"/>
  <c r="F1252" i="1"/>
  <c r="G1252" i="1"/>
  <c r="C1253" i="1"/>
  <c r="E1253" i="1"/>
  <c r="F1253" i="1"/>
  <c r="G1253" i="1"/>
  <c r="C1254" i="1"/>
  <c r="E1254" i="1"/>
  <c r="F1254" i="1"/>
  <c r="G1254" i="1"/>
  <c r="C1255" i="1"/>
  <c r="E1255" i="1"/>
  <c r="F1255" i="1"/>
  <c r="G1255" i="1"/>
  <c r="C1256" i="1"/>
  <c r="E1256" i="1"/>
  <c r="F1256" i="1"/>
  <c r="G1256" i="1"/>
  <c r="C1257" i="1"/>
  <c r="E1257" i="1"/>
  <c r="F1257" i="1"/>
  <c r="G1257" i="1"/>
  <c r="C1258" i="1"/>
  <c r="E1258" i="1"/>
  <c r="F1258" i="1"/>
  <c r="G1258" i="1"/>
  <c r="C1259" i="1"/>
  <c r="E1259" i="1"/>
  <c r="F1259" i="1"/>
  <c r="G1259" i="1"/>
  <c r="C1260" i="1"/>
  <c r="E1260" i="1"/>
  <c r="F1260" i="1"/>
  <c r="G1260" i="1"/>
  <c r="C1261" i="1"/>
  <c r="E1261" i="1"/>
  <c r="F1261" i="1"/>
  <c r="G1261" i="1"/>
  <c r="C1262" i="1"/>
  <c r="E1262" i="1"/>
  <c r="F1262" i="1"/>
  <c r="G1262" i="1"/>
  <c r="C1263" i="1"/>
  <c r="E1263" i="1"/>
  <c r="F1263" i="1"/>
  <c r="G1263" i="1"/>
  <c r="C1264" i="1"/>
  <c r="E1264" i="1"/>
  <c r="F1264" i="1"/>
  <c r="G1264" i="1"/>
  <c r="C1265" i="1"/>
  <c r="E1265" i="1"/>
  <c r="F1265" i="1"/>
  <c r="G1265" i="1"/>
  <c r="C1266" i="1"/>
  <c r="E1266" i="1"/>
  <c r="F1266" i="1"/>
  <c r="G1266" i="1"/>
  <c r="C1267" i="1"/>
  <c r="E1267" i="1"/>
  <c r="F1267" i="1"/>
  <c r="G1267" i="1"/>
  <c r="C1268" i="1"/>
  <c r="E1268" i="1"/>
  <c r="F1268" i="1"/>
  <c r="G1268" i="1"/>
  <c r="C1269" i="1"/>
  <c r="E1269" i="1"/>
  <c r="F1269" i="1"/>
  <c r="G1269" i="1"/>
  <c r="C1270" i="1"/>
  <c r="E1270" i="1"/>
  <c r="F1270" i="1"/>
  <c r="G1270" i="1"/>
  <c r="C1271" i="1"/>
  <c r="E1271" i="1"/>
  <c r="F1271" i="1"/>
  <c r="G1271" i="1"/>
  <c r="C1272" i="1"/>
  <c r="E1272" i="1"/>
  <c r="F1272" i="1"/>
  <c r="G1272" i="1"/>
  <c r="C1273" i="1"/>
  <c r="E1273" i="1"/>
  <c r="F1273" i="1"/>
  <c r="G1273" i="1"/>
  <c r="C1274" i="1"/>
  <c r="E1274" i="1"/>
  <c r="F1274" i="1"/>
  <c r="G1274" i="1"/>
  <c r="C1275" i="1"/>
  <c r="E1275" i="1"/>
  <c r="F1275" i="1"/>
  <c r="G1275" i="1"/>
  <c r="C1276" i="1"/>
  <c r="E1276" i="1"/>
  <c r="F1276" i="1"/>
  <c r="G1276" i="1"/>
  <c r="C1277" i="1"/>
  <c r="E1277" i="1"/>
  <c r="F1277" i="1"/>
  <c r="G1277" i="1"/>
  <c r="C1278" i="1"/>
  <c r="E1278" i="1"/>
  <c r="F1278" i="1"/>
  <c r="G1278" i="1"/>
  <c r="C1279" i="1"/>
  <c r="E1279" i="1"/>
  <c r="F1279" i="1"/>
  <c r="G1279" i="1"/>
  <c r="C1280" i="1"/>
  <c r="E1280" i="1"/>
  <c r="F1280" i="1"/>
  <c r="G1280" i="1"/>
  <c r="C1281" i="1"/>
  <c r="E1281" i="1"/>
  <c r="F1281" i="1"/>
  <c r="G1281" i="1"/>
  <c r="C1282" i="1"/>
  <c r="E1282" i="1"/>
  <c r="F1282" i="1"/>
  <c r="G1282" i="1"/>
  <c r="C1283" i="1"/>
  <c r="E1283" i="1"/>
  <c r="F1283" i="1"/>
  <c r="G1283" i="1"/>
  <c r="C1284" i="1"/>
  <c r="E1284" i="1"/>
  <c r="F1284" i="1"/>
  <c r="G1284" i="1"/>
  <c r="C1285" i="1"/>
  <c r="E1285" i="1"/>
  <c r="F1285" i="1"/>
  <c r="G1285" i="1"/>
  <c r="C1286" i="1"/>
  <c r="E1286" i="1"/>
  <c r="F1286" i="1"/>
  <c r="G1286" i="1"/>
  <c r="C1287" i="1"/>
  <c r="E1287" i="1"/>
  <c r="F1287" i="1"/>
  <c r="G1287" i="1"/>
  <c r="C1288" i="1"/>
  <c r="E1288" i="1"/>
  <c r="F1288" i="1"/>
  <c r="G1288" i="1"/>
  <c r="C1289" i="1"/>
  <c r="E1289" i="1"/>
  <c r="F1289" i="1"/>
  <c r="G1289" i="1"/>
  <c r="C1290" i="1"/>
  <c r="E1290" i="1"/>
  <c r="F1290" i="1"/>
  <c r="G1290" i="1"/>
  <c r="C1291" i="1"/>
  <c r="E1291" i="1"/>
  <c r="F1291" i="1"/>
  <c r="G1291" i="1"/>
  <c r="C1292" i="1"/>
  <c r="E1292" i="1"/>
  <c r="F1292" i="1"/>
  <c r="G1292" i="1"/>
  <c r="C1293" i="1"/>
  <c r="E1293" i="1"/>
  <c r="F1293" i="1"/>
  <c r="G1293" i="1"/>
  <c r="C1294" i="1"/>
  <c r="E1294" i="1"/>
  <c r="F1294" i="1"/>
  <c r="G1294" i="1"/>
  <c r="C1295" i="1"/>
  <c r="E1295" i="1"/>
  <c r="F1295" i="1"/>
  <c r="G1295" i="1"/>
  <c r="C1296" i="1"/>
  <c r="E1296" i="1"/>
  <c r="F1296" i="1"/>
  <c r="G1296" i="1"/>
  <c r="C1297" i="1"/>
  <c r="E1297" i="1"/>
  <c r="F1297" i="1"/>
  <c r="G1297" i="1"/>
  <c r="C1298" i="1"/>
  <c r="E1298" i="1"/>
  <c r="F1298" i="1"/>
  <c r="G1298" i="1"/>
  <c r="C1299" i="1"/>
  <c r="E1299" i="1"/>
  <c r="F1299" i="1"/>
  <c r="G1299" i="1"/>
  <c r="C1300" i="1"/>
  <c r="E1300" i="1"/>
  <c r="F1300" i="1"/>
  <c r="G1300" i="1"/>
  <c r="C1301" i="1"/>
  <c r="E1301" i="1"/>
  <c r="F1301" i="1"/>
  <c r="G1301" i="1"/>
  <c r="C1302" i="1"/>
  <c r="E1302" i="1"/>
  <c r="F1302" i="1"/>
  <c r="G1302" i="1"/>
  <c r="C1303" i="1"/>
  <c r="E1303" i="1"/>
  <c r="F1303" i="1"/>
  <c r="G1303" i="1"/>
  <c r="C1304" i="1"/>
  <c r="E1304" i="1"/>
  <c r="F1304" i="1"/>
  <c r="G1304" i="1"/>
  <c r="C1305" i="1"/>
  <c r="E1305" i="1"/>
  <c r="F1305" i="1"/>
  <c r="G1305" i="1"/>
  <c r="C1306" i="1"/>
  <c r="E1306" i="1"/>
  <c r="F1306" i="1"/>
  <c r="G1306" i="1"/>
  <c r="C1307" i="1"/>
  <c r="E1307" i="1"/>
  <c r="F1307" i="1"/>
  <c r="G1307" i="1"/>
  <c r="C1308" i="1"/>
  <c r="E1308" i="1"/>
  <c r="F1308" i="1"/>
  <c r="G1308" i="1"/>
  <c r="C1309" i="1"/>
  <c r="E1309" i="1"/>
  <c r="F1309" i="1"/>
  <c r="G1309" i="1"/>
  <c r="C1310" i="1"/>
  <c r="E1310" i="1"/>
  <c r="F1310" i="1"/>
  <c r="G1310" i="1"/>
  <c r="C1311" i="1"/>
  <c r="E1311" i="1"/>
  <c r="F1311" i="1"/>
  <c r="G1311" i="1"/>
  <c r="C1312" i="1"/>
  <c r="E1312" i="1"/>
  <c r="F1312" i="1"/>
  <c r="G1312" i="1"/>
  <c r="C1313" i="1"/>
  <c r="E1313" i="1"/>
  <c r="F1313" i="1"/>
  <c r="G1313" i="1"/>
  <c r="C1314" i="1"/>
  <c r="E1314" i="1"/>
  <c r="F1314" i="1"/>
  <c r="G1314" i="1"/>
  <c r="C1315" i="1"/>
  <c r="E1315" i="1"/>
  <c r="F1315" i="1"/>
  <c r="G1315" i="1"/>
  <c r="C1316" i="1"/>
  <c r="E1316" i="1"/>
  <c r="F1316" i="1"/>
  <c r="G1316" i="1"/>
  <c r="C1317" i="1"/>
  <c r="E1317" i="1"/>
  <c r="F1317" i="1"/>
  <c r="G1317" i="1"/>
  <c r="C1318" i="1"/>
  <c r="E1318" i="1"/>
  <c r="F1318" i="1"/>
  <c r="G1318" i="1"/>
  <c r="C1319" i="1"/>
  <c r="E1319" i="1"/>
  <c r="F1319" i="1"/>
  <c r="G1319" i="1"/>
  <c r="C1320" i="1"/>
  <c r="E1320" i="1"/>
  <c r="F1320" i="1"/>
  <c r="G1320" i="1"/>
  <c r="C1321" i="1"/>
  <c r="E1321" i="1"/>
  <c r="F1321" i="1"/>
  <c r="G1321" i="1"/>
  <c r="C1322" i="1"/>
  <c r="E1322" i="1"/>
  <c r="F1322" i="1"/>
  <c r="G1322" i="1"/>
  <c r="C1323" i="1"/>
  <c r="E1323" i="1"/>
  <c r="F1323" i="1"/>
  <c r="G1323" i="1"/>
  <c r="C1324" i="1"/>
  <c r="E1324" i="1"/>
  <c r="F1324" i="1"/>
  <c r="G1324" i="1"/>
  <c r="C1325" i="1"/>
  <c r="E1325" i="1"/>
  <c r="F1325" i="1"/>
  <c r="G1325" i="1"/>
  <c r="C1326" i="1"/>
  <c r="E1326" i="1"/>
  <c r="F1326" i="1"/>
  <c r="G1326" i="1"/>
  <c r="C1327" i="1"/>
  <c r="E1327" i="1"/>
  <c r="F1327" i="1"/>
  <c r="G1327" i="1"/>
  <c r="C1328" i="1"/>
  <c r="E1328" i="1"/>
  <c r="F1328" i="1"/>
  <c r="G1328" i="1"/>
  <c r="C1329" i="1"/>
  <c r="E1329" i="1"/>
  <c r="F1329" i="1"/>
  <c r="G1329" i="1"/>
  <c r="C1330" i="1"/>
  <c r="E1330" i="1"/>
  <c r="F1330" i="1"/>
  <c r="G1330" i="1"/>
  <c r="C1331" i="1"/>
  <c r="E1331" i="1"/>
  <c r="F1331" i="1"/>
  <c r="G1331" i="1"/>
  <c r="C1332" i="1"/>
  <c r="E1332" i="1"/>
  <c r="F1332" i="1"/>
  <c r="G1332" i="1"/>
  <c r="C1333" i="1"/>
  <c r="E1333" i="1"/>
  <c r="F1333" i="1"/>
  <c r="G1333" i="1"/>
  <c r="C1334" i="1"/>
  <c r="E1334" i="1"/>
  <c r="F1334" i="1"/>
  <c r="G1334" i="1"/>
  <c r="C1335" i="1"/>
  <c r="E1335" i="1"/>
  <c r="F1335" i="1"/>
  <c r="G1335" i="1"/>
  <c r="C1336" i="1"/>
  <c r="E1336" i="1"/>
  <c r="F1336" i="1"/>
  <c r="G1336" i="1"/>
  <c r="C1337" i="1"/>
  <c r="E1337" i="1"/>
  <c r="F1337" i="1"/>
  <c r="G1337" i="1"/>
  <c r="C1338" i="1"/>
  <c r="E1338" i="1"/>
  <c r="F1338" i="1"/>
  <c r="G1338" i="1"/>
  <c r="C1339" i="1"/>
  <c r="E1339" i="1"/>
  <c r="F1339" i="1"/>
  <c r="G1339" i="1"/>
  <c r="C1340" i="1"/>
  <c r="E1340" i="1"/>
  <c r="F1340" i="1"/>
  <c r="G1340" i="1"/>
  <c r="C1341" i="1"/>
  <c r="E1341" i="1"/>
  <c r="F1341" i="1"/>
  <c r="G1341" i="1"/>
  <c r="C1342" i="1"/>
  <c r="E1342" i="1"/>
  <c r="F1342" i="1"/>
  <c r="G1342" i="1"/>
  <c r="C1343" i="1"/>
  <c r="E1343" i="1"/>
  <c r="F1343" i="1"/>
  <c r="G1343" i="1"/>
  <c r="C1344" i="1"/>
  <c r="E1344" i="1"/>
  <c r="F1344" i="1"/>
  <c r="G1344" i="1"/>
  <c r="C1345" i="1"/>
  <c r="E1345" i="1"/>
  <c r="F1345" i="1"/>
  <c r="G1345" i="1"/>
  <c r="C1346" i="1"/>
  <c r="E1346" i="1"/>
  <c r="F1346" i="1"/>
  <c r="G1346" i="1"/>
  <c r="C1347" i="1"/>
  <c r="E1347" i="1"/>
  <c r="F1347" i="1"/>
  <c r="G1347" i="1"/>
  <c r="C1348" i="1"/>
  <c r="E1348" i="1"/>
  <c r="F1348" i="1"/>
  <c r="G1348" i="1"/>
  <c r="C1349" i="1"/>
  <c r="E1349" i="1"/>
  <c r="F1349" i="1"/>
  <c r="G1349" i="1"/>
  <c r="C1350" i="1"/>
  <c r="E1350" i="1"/>
  <c r="F1350" i="1"/>
  <c r="G1350" i="1"/>
  <c r="C1351" i="1"/>
  <c r="E1351" i="1"/>
  <c r="F1351" i="1"/>
  <c r="G1351" i="1"/>
  <c r="C1352" i="1"/>
  <c r="E1352" i="1"/>
  <c r="F1352" i="1"/>
  <c r="G1352" i="1"/>
  <c r="C1353" i="1"/>
  <c r="E1353" i="1"/>
  <c r="F1353" i="1"/>
  <c r="G1353" i="1"/>
  <c r="C1354" i="1"/>
  <c r="E1354" i="1"/>
  <c r="F1354" i="1"/>
  <c r="G1354" i="1"/>
  <c r="C1355" i="1"/>
  <c r="E1355" i="1"/>
  <c r="F1355" i="1"/>
  <c r="G1355" i="1"/>
  <c r="C1356" i="1"/>
  <c r="E1356" i="1"/>
  <c r="F1356" i="1"/>
  <c r="G1356" i="1"/>
  <c r="C1357" i="1"/>
  <c r="E1357" i="1"/>
  <c r="F1357" i="1"/>
  <c r="G1357" i="1"/>
  <c r="C1358" i="1"/>
  <c r="E1358" i="1"/>
  <c r="F1358" i="1"/>
  <c r="G1358" i="1"/>
  <c r="C1359" i="1"/>
  <c r="E1359" i="1"/>
  <c r="F1359" i="1"/>
  <c r="G1359" i="1"/>
  <c r="C1360" i="1"/>
  <c r="E1360" i="1"/>
  <c r="F1360" i="1"/>
  <c r="G1360" i="1"/>
  <c r="C1361" i="1"/>
  <c r="E1361" i="1"/>
  <c r="F1361" i="1"/>
  <c r="G1361" i="1"/>
  <c r="C1362" i="1"/>
  <c r="E1362" i="1"/>
  <c r="F1362" i="1"/>
  <c r="G1362" i="1"/>
  <c r="C1363" i="1"/>
  <c r="E1363" i="1"/>
  <c r="F1363" i="1"/>
  <c r="G1363" i="1"/>
  <c r="C1364" i="1"/>
  <c r="E1364" i="1"/>
  <c r="F1364" i="1"/>
  <c r="G1364" i="1"/>
  <c r="C1365" i="1"/>
  <c r="E1365" i="1"/>
  <c r="F1365" i="1"/>
  <c r="G1365" i="1"/>
  <c r="C1366" i="1"/>
  <c r="E1366" i="1"/>
  <c r="F1366" i="1"/>
  <c r="G1366" i="1"/>
  <c r="C1367" i="1"/>
  <c r="E1367" i="1"/>
  <c r="F1367" i="1"/>
  <c r="G1367" i="1"/>
  <c r="C1368" i="1"/>
  <c r="E1368" i="1"/>
  <c r="F1368" i="1"/>
  <c r="G1368" i="1"/>
  <c r="C1369" i="1"/>
  <c r="E1369" i="1"/>
  <c r="F1369" i="1"/>
  <c r="G1369" i="1"/>
  <c r="C1370" i="1"/>
  <c r="E1370" i="1"/>
  <c r="F1370" i="1"/>
  <c r="G1370" i="1"/>
  <c r="C1371" i="1"/>
  <c r="E1371" i="1"/>
  <c r="F1371" i="1"/>
  <c r="G1371" i="1"/>
  <c r="C1372" i="1"/>
  <c r="E1372" i="1"/>
  <c r="F1372" i="1"/>
  <c r="G1372" i="1"/>
  <c r="C1373" i="1"/>
  <c r="E1373" i="1"/>
  <c r="F1373" i="1"/>
  <c r="G1373" i="1"/>
  <c r="C1374" i="1"/>
  <c r="E1374" i="1"/>
  <c r="F1374" i="1"/>
  <c r="G1374" i="1"/>
  <c r="C1375" i="1"/>
  <c r="E1375" i="1"/>
  <c r="F1375" i="1"/>
  <c r="G1375" i="1"/>
  <c r="C1376" i="1"/>
  <c r="E1376" i="1"/>
  <c r="F1376" i="1"/>
  <c r="G1376" i="1"/>
  <c r="C1377" i="1"/>
  <c r="E1377" i="1"/>
  <c r="F1377" i="1"/>
  <c r="G1377" i="1"/>
  <c r="C1378" i="1"/>
  <c r="E1378" i="1"/>
  <c r="F1378" i="1"/>
  <c r="G1378" i="1"/>
  <c r="C1379" i="1"/>
  <c r="E1379" i="1"/>
  <c r="F1379" i="1"/>
  <c r="G1379" i="1"/>
  <c r="C1380" i="1"/>
  <c r="E1380" i="1"/>
  <c r="F1380" i="1"/>
  <c r="G1380" i="1"/>
  <c r="C1381" i="1"/>
  <c r="E1381" i="1"/>
  <c r="F1381" i="1"/>
  <c r="G1381" i="1"/>
  <c r="C1382" i="1"/>
  <c r="E1382" i="1"/>
  <c r="F1382" i="1"/>
  <c r="G1382" i="1"/>
  <c r="C1383" i="1"/>
  <c r="E1383" i="1"/>
  <c r="F1383" i="1"/>
  <c r="G1383" i="1"/>
  <c r="C1384" i="1"/>
  <c r="E1384" i="1"/>
  <c r="F1384" i="1"/>
  <c r="G1384" i="1"/>
  <c r="C1385" i="1"/>
  <c r="E1385" i="1"/>
  <c r="F1385" i="1"/>
  <c r="G1385" i="1"/>
  <c r="C1386" i="1"/>
  <c r="E1386" i="1"/>
  <c r="F1386" i="1"/>
  <c r="G1386" i="1"/>
  <c r="C1387" i="1"/>
  <c r="E1387" i="1"/>
  <c r="F1387" i="1"/>
  <c r="G1387" i="1"/>
  <c r="C1388" i="1"/>
  <c r="E1388" i="1"/>
  <c r="F1388" i="1"/>
  <c r="G1388" i="1"/>
  <c r="C1389" i="1"/>
  <c r="E1389" i="1"/>
  <c r="F1389" i="1"/>
  <c r="G1389" i="1"/>
  <c r="C1390" i="1"/>
  <c r="E1390" i="1"/>
  <c r="F1390" i="1"/>
  <c r="G1390" i="1"/>
  <c r="C1391" i="1"/>
  <c r="E1391" i="1"/>
  <c r="F1391" i="1"/>
  <c r="G1391" i="1"/>
  <c r="C1392" i="1"/>
  <c r="E1392" i="1"/>
  <c r="F1392" i="1"/>
  <c r="G1392" i="1"/>
  <c r="C1393" i="1"/>
  <c r="E1393" i="1"/>
  <c r="F1393" i="1"/>
  <c r="G1393" i="1"/>
  <c r="C1394" i="1"/>
  <c r="E1394" i="1"/>
  <c r="F1394" i="1"/>
  <c r="G1394" i="1"/>
  <c r="C1395" i="1"/>
  <c r="E1395" i="1"/>
  <c r="F1395" i="1"/>
  <c r="G1395" i="1"/>
  <c r="C1396" i="1"/>
  <c r="E1396" i="1"/>
  <c r="F1396" i="1"/>
  <c r="G1396" i="1"/>
  <c r="C1397" i="1"/>
  <c r="E1397" i="1"/>
  <c r="F1397" i="1"/>
  <c r="G1397" i="1"/>
  <c r="C1398" i="1"/>
  <c r="E1398" i="1"/>
  <c r="F1398" i="1"/>
  <c r="G1398" i="1"/>
  <c r="C1399" i="1"/>
  <c r="E1399" i="1"/>
  <c r="F1399" i="1"/>
  <c r="G1399" i="1"/>
  <c r="C1400" i="1"/>
  <c r="E1400" i="1"/>
  <c r="F1400" i="1"/>
  <c r="G1400" i="1"/>
  <c r="C1401" i="1"/>
  <c r="E1401" i="1"/>
  <c r="F1401" i="1"/>
  <c r="G1401" i="1"/>
  <c r="C1402" i="1"/>
  <c r="E1402" i="1"/>
  <c r="F1402" i="1"/>
  <c r="G1402" i="1"/>
  <c r="C1403" i="1"/>
  <c r="E1403" i="1"/>
  <c r="F1403" i="1"/>
  <c r="G1403" i="1"/>
  <c r="C1404" i="1"/>
  <c r="E1404" i="1"/>
  <c r="F1404" i="1"/>
  <c r="G1404" i="1"/>
  <c r="C1405" i="1"/>
  <c r="E1405" i="1"/>
  <c r="F1405" i="1"/>
  <c r="G1405" i="1"/>
  <c r="C1406" i="1"/>
  <c r="E1406" i="1"/>
  <c r="F1406" i="1"/>
  <c r="G1406" i="1"/>
  <c r="C1407" i="1"/>
  <c r="E1407" i="1"/>
  <c r="F1407" i="1"/>
  <c r="G1407" i="1"/>
  <c r="C1408" i="1"/>
  <c r="E1408" i="1"/>
  <c r="F1408" i="1"/>
  <c r="G1408" i="1"/>
  <c r="C1409" i="1"/>
  <c r="E1409" i="1"/>
  <c r="F1409" i="1"/>
  <c r="G1409" i="1"/>
  <c r="C1410" i="1"/>
  <c r="E1410" i="1"/>
  <c r="F1410" i="1"/>
  <c r="G1410" i="1"/>
  <c r="C1411" i="1"/>
  <c r="E1411" i="1"/>
  <c r="F1411" i="1"/>
  <c r="G1411" i="1"/>
  <c r="C1412" i="1"/>
  <c r="E1412" i="1"/>
  <c r="F1412" i="1"/>
  <c r="G1412" i="1"/>
  <c r="C1413" i="1"/>
  <c r="E1413" i="1"/>
  <c r="F1413" i="1"/>
  <c r="G1413" i="1"/>
  <c r="C1414" i="1"/>
  <c r="E1414" i="1"/>
  <c r="F1414" i="1"/>
  <c r="G1414" i="1"/>
  <c r="C1415" i="1"/>
  <c r="E1415" i="1"/>
  <c r="F1415" i="1"/>
  <c r="G1415" i="1"/>
  <c r="C1416" i="1"/>
  <c r="E1416" i="1"/>
  <c r="F1416" i="1"/>
  <c r="G1416" i="1"/>
  <c r="C1417" i="1"/>
  <c r="E1417" i="1"/>
  <c r="F1417" i="1"/>
  <c r="G1417" i="1"/>
  <c r="C1418" i="1"/>
  <c r="E1418" i="1"/>
  <c r="F1418" i="1"/>
  <c r="G1418" i="1"/>
  <c r="C1419" i="1"/>
  <c r="E1419" i="1"/>
  <c r="F1419" i="1"/>
  <c r="G1419" i="1"/>
  <c r="C1420" i="1"/>
  <c r="E1420" i="1"/>
  <c r="F1420" i="1"/>
  <c r="G1420" i="1"/>
  <c r="C1421" i="1"/>
  <c r="E1421" i="1"/>
  <c r="F1421" i="1"/>
  <c r="G1421" i="1"/>
  <c r="C1422" i="1"/>
  <c r="E1422" i="1"/>
  <c r="F1422" i="1"/>
  <c r="G1422" i="1"/>
  <c r="C1423" i="1"/>
  <c r="E1423" i="1"/>
  <c r="F1423" i="1"/>
  <c r="G1423" i="1"/>
  <c r="C1424" i="1"/>
  <c r="E1424" i="1"/>
  <c r="F1424" i="1"/>
  <c r="G1424" i="1"/>
  <c r="C1425" i="1"/>
  <c r="E1425" i="1"/>
  <c r="F1425" i="1"/>
  <c r="G1425" i="1"/>
  <c r="C1426" i="1"/>
  <c r="E1426" i="1"/>
  <c r="F1426" i="1"/>
  <c r="G1426" i="1"/>
  <c r="C1427" i="1"/>
  <c r="E1427" i="1"/>
  <c r="F1427" i="1"/>
  <c r="G1427" i="1"/>
  <c r="C1428" i="1"/>
  <c r="E1428" i="1"/>
  <c r="F1428" i="1"/>
  <c r="G1428" i="1"/>
  <c r="C1429" i="1"/>
  <c r="E1429" i="1"/>
  <c r="F1429" i="1"/>
  <c r="G1429" i="1"/>
  <c r="C1430" i="1"/>
  <c r="E1430" i="1"/>
  <c r="F1430" i="1"/>
  <c r="G1430" i="1"/>
  <c r="C1431" i="1"/>
  <c r="E1431" i="1"/>
  <c r="F1431" i="1"/>
  <c r="G1431" i="1"/>
  <c r="C1432" i="1"/>
  <c r="E1432" i="1"/>
  <c r="F1432" i="1"/>
  <c r="G1432" i="1"/>
  <c r="C1433" i="1"/>
  <c r="E1433" i="1"/>
  <c r="F1433" i="1"/>
  <c r="G1433" i="1"/>
  <c r="C1434" i="1"/>
  <c r="E1434" i="1"/>
  <c r="F1434" i="1"/>
  <c r="G1434" i="1"/>
  <c r="C1435" i="1"/>
  <c r="E1435" i="1"/>
  <c r="F1435" i="1"/>
  <c r="G1435" i="1"/>
  <c r="C1436" i="1"/>
  <c r="E1436" i="1"/>
  <c r="F1436" i="1"/>
  <c r="G1436" i="1"/>
  <c r="C1437" i="1"/>
  <c r="E1437" i="1"/>
  <c r="F1437" i="1"/>
  <c r="G1437" i="1"/>
  <c r="C1438" i="1"/>
  <c r="E1438" i="1"/>
  <c r="F1438" i="1"/>
  <c r="G1438" i="1"/>
  <c r="C1439" i="1"/>
  <c r="E1439" i="1"/>
  <c r="F1439" i="1"/>
  <c r="G1439" i="1"/>
  <c r="C1440" i="1"/>
  <c r="E1440" i="1"/>
  <c r="F1440" i="1"/>
  <c r="G1440" i="1"/>
  <c r="C1441" i="1"/>
  <c r="E1441" i="1"/>
  <c r="F1441" i="1"/>
  <c r="G1441" i="1"/>
  <c r="C1442" i="1"/>
  <c r="E1442" i="1"/>
  <c r="F1442" i="1"/>
  <c r="G1442" i="1"/>
  <c r="C1443" i="1"/>
  <c r="E1443" i="1"/>
  <c r="F1443" i="1"/>
  <c r="G1443" i="1"/>
  <c r="C1444" i="1"/>
  <c r="E1444" i="1"/>
  <c r="F1444" i="1"/>
  <c r="G1444" i="1"/>
  <c r="C1445" i="1"/>
  <c r="E1445" i="1"/>
  <c r="F1445" i="1"/>
  <c r="G1445" i="1"/>
  <c r="C1446" i="1"/>
  <c r="E1446" i="1"/>
  <c r="F1446" i="1"/>
  <c r="G1446" i="1"/>
  <c r="C1447" i="1"/>
  <c r="E1447" i="1"/>
  <c r="F1447" i="1"/>
  <c r="G1447" i="1"/>
  <c r="C1448" i="1"/>
  <c r="E1448" i="1"/>
  <c r="F1448" i="1"/>
  <c r="G1448" i="1"/>
  <c r="C1449" i="1"/>
  <c r="E1449" i="1"/>
  <c r="F1449" i="1"/>
  <c r="G1449" i="1"/>
  <c r="C1450" i="1"/>
  <c r="E1450" i="1"/>
  <c r="F1450" i="1"/>
  <c r="G1450" i="1"/>
  <c r="C1451" i="1"/>
  <c r="E1451" i="1"/>
  <c r="F1451" i="1"/>
  <c r="G1451" i="1"/>
  <c r="C1452" i="1"/>
  <c r="E1452" i="1"/>
  <c r="F1452" i="1"/>
  <c r="G1452" i="1"/>
  <c r="C1453" i="1"/>
  <c r="E1453" i="1"/>
  <c r="F1453" i="1"/>
  <c r="G1453" i="1"/>
  <c r="C1454" i="1"/>
  <c r="E1454" i="1"/>
  <c r="F1454" i="1"/>
  <c r="G1454" i="1"/>
  <c r="C1455" i="1"/>
  <c r="E1455" i="1"/>
  <c r="F1455" i="1"/>
  <c r="G1455" i="1"/>
  <c r="C1456" i="1"/>
  <c r="E1456" i="1"/>
  <c r="F1456" i="1"/>
  <c r="G1456" i="1"/>
  <c r="C1457" i="1"/>
  <c r="E1457" i="1"/>
  <c r="F1457" i="1"/>
  <c r="G1457" i="1"/>
  <c r="C1458" i="1"/>
  <c r="E1458" i="1"/>
  <c r="F1458" i="1"/>
  <c r="G1458" i="1"/>
  <c r="C1459" i="1"/>
  <c r="E1459" i="1"/>
  <c r="F1459" i="1"/>
  <c r="G1459" i="1"/>
  <c r="C1460" i="1"/>
  <c r="E1460" i="1"/>
  <c r="F1460" i="1"/>
  <c r="G1460" i="1"/>
  <c r="C1461" i="1"/>
  <c r="E1461" i="1"/>
  <c r="F1461" i="1"/>
  <c r="G1461" i="1"/>
  <c r="C1462" i="1"/>
  <c r="E1462" i="1"/>
  <c r="F1462" i="1"/>
  <c r="G1462" i="1"/>
  <c r="C1463" i="1"/>
  <c r="E1463" i="1"/>
  <c r="F1463" i="1"/>
  <c r="G1463" i="1"/>
  <c r="C1464" i="1"/>
  <c r="E1464" i="1"/>
  <c r="F1464" i="1"/>
  <c r="G1464" i="1"/>
  <c r="C1465" i="1"/>
  <c r="E1465" i="1"/>
  <c r="F1465" i="1"/>
  <c r="G1465" i="1"/>
  <c r="C1466" i="1"/>
  <c r="E1466" i="1"/>
  <c r="F1466" i="1"/>
  <c r="G1466" i="1"/>
  <c r="C1467" i="1"/>
  <c r="E1467" i="1"/>
  <c r="F1467" i="1"/>
  <c r="G1467" i="1"/>
  <c r="C1468" i="1"/>
  <c r="E1468" i="1"/>
  <c r="F1468" i="1"/>
  <c r="G1468" i="1"/>
  <c r="C1469" i="1"/>
  <c r="E1469" i="1"/>
  <c r="F1469" i="1"/>
  <c r="G1469" i="1"/>
  <c r="C1470" i="1"/>
  <c r="E1470" i="1"/>
  <c r="F1470" i="1"/>
  <c r="G1470" i="1"/>
  <c r="C1471" i="1"/>
  <c r="E1471" i="1"/>
  <c r="F1471" i="1"/>
  <c r="G1471" i="1"/>
  <c r="C1472" i="1"/>
  <c r="E1472" i="1"/>
  <c r="F1472" i="1"/>
  <c r="G1472" i="1"/>
  <c r="C1473" i="1"/>
  <c r="E1473" i="1"/>
  <c r="F1473" i="1"/>
  <c r="G1473" i="1"/>
  <c r="C1474" i="1"/>
  <c r="E1474" i="1"/>
  <c r="F1474" i="1"/>
  <c r="G1474" i="1"/>
  <c r="C1475" i="1"/>
  <c r="E1475" i="1"/>
  <c r="F1475" i="1"/>
  <c r="G1475" i="1"/>
  <c r="C1476" i="1"/>
  <c r="E1476" i="1"/>
  <c r="F1476" i="1"/>
  <c r="G1476" i="1"/>
  <c r="C1477" i="1"/>
  <c r="E1477" i="1"/>
  <c r="F1477" i="1"/>
  <c r="G1477" i="1"/>
  <c r="C1478" i="1"/>
  <c r="E1478" i="1"/>
  <c r="F1478" i="1"/>
  <c r="G1478" i="1"/>
  <c r="C1479" i="1"/>
  <c r="E1479" i="1"/>
  <c r="F1479" i="1"/>
  <c r="G1479" i="1"/>
  <c r="C1480" i="1"/>
  <c r="E1480" i="1"/>
  <c r="F1480" i="1"/>
  <c r="G1480" i="1"/>
  <c r="C1481" i="1"/>
  <c r="E1481" i="1"/>
  <c r="F1481" i="1"/>
  <c r="G1481" i="1"/>
  <c r="C1482" i="1"/>
  <c r="E1482" i="1"/>
  <c r="F1482" i="1"/>
  <c r="G1482" i="1"/>
  <c r="C1483" i="1"/>
  <c r="E1483" i="1"/>
  <c r="F1483" i="1"/>
  <c r="G1483" i="1"/>
  <c r="C1484" i="1"/>
  <c r="E1484" i="1"/>
  <c r="F1484" i="1"/>
  <c r="G1484" i="1"/>
  <c r="C1485" i="1"/>
  <c r="E1485" i="1"/>
  <c r="F1485" i="1"/>
  <c r="G1485" i="1"/>
  <c r="C1486" i="1"/>
  <c r="E1486" i="1"/>
  <c r="F1486" i="1"/>
  <c r="G1486" i="1"/>
  <c r="C1487" i="1"/>
  <c r="E1487" i="1"/>
  <c r="F1487" i="1"/>
  <c r="G1487" i="1"/>
  <c r="C1488" i="1"/>
  <c r="E1488" i="1"/>
  <c r="F1488" i="1"/>
  <c r="G1488" i="1"/>
  <c r="C1489" i="1"/>
  <c r="E1489" i="1"/>
  <c r="F1489" i="1"/>
  <c r="G1489" i="1"/>
  <c r="C1490" i="1"/>
  <c r="E1490" i="1"/>
  <c r="F1490" i="1"/>
  <c r="G1490" i="1"/>
  <c r="C1491" i="1"/>
  <c r="E1491" i="1"/>
  <c r="F1491" i="1"/>
  <c r="G1491" i="1"/>
  <c r="C1492" i="1"/>
  <c r="E1492" i="1"/>
  <c r="F1492" i="1"/>
  <c r="G1492" i="1"/>
  <c r="C1493" i="1"/>
  <c r="E1493" i="1"/>
  <c r="F1493" i="1"/>
  <c r="G1493" i="1"/>
  <c r="C1494" i="1"/>
  <c r="E1494" i="1"/>
  <c r="F1494" i="1"/>
  <c r="G1494" i="1"/>
  <c r="C1495" i="1"/>
  <c r="E1495" i="1"/>
  <c r="F1495" i="1"/>
  <c r="G1495" i="1"/>
  <c r="C1496" i="1"/>
  <c r="E1496" i="1"/>
  <c r="F1496" i="1"/>
  <c r="G1496" i="1"/>
  <c r="C1497" i="1"/>
  <c r="E1497" i="1"/>
  <c r="F1497" i="1"/>
  <c r="G1497" i="1"/>
  <c r="C1498" i="1"/>
  <c r="E1498" i="1"/>
  <c r="F1498" i="1"/>
  <c r="G1498" i="1"/>
  <c r="C1499" i="1"/>
  <c r="E1499" i="1"/>
  <c r="F1499" i="1"/>
  <c r="G1499" i="1"/>
  <c r="C1500" i="1"/>
  <c r="E1500" i="1"/>
  <c r="F1500" i="1"/>
  <c r="G1500" i="1"/>
  <c r="C1501" i="1"/>
  <c r="E1501" i="1"/>
  <c r="F1501" i="1"/>
  <c r="G1501" i="1"/>
  <c r="C1502" i="1"/>
  <c r="E1502" i="1"/>
  <c r="F1502" i="1"/>
  <c r="G1502" i="1"/>
  <c r="C1503" i="1"/>
  <c r="E1503" i="1"/>
  <c r="F1503" i="1"/>
  <c r="G1503" i="1"/>
  <c r="C1504" i="1"/>
  <c r="E1504" i="1"/>
  <c r="F1504" i="1"/>
  <c r="G1504" i="1"/>
  <c r="C1505" i="1"/>
  <c r="E1505" i="1"/>
  <c r="F1505" i="1"/>
  <c r="G1505" i="1"/>
  <c r="C1506" i="1"/>
  <c r="E1506" i="1"/>
  <c r="F1506" i="1"/>
  <c r="G1506" i="1"/>
  <c r="C1507" i="1"/>
  <c r="E1507" i="1"/>
  <c r="F1507" i="1"/>
  <c r="G1507" i="1"/>
  <c r="C1508" i="1"/>
  <c r="E1508" i="1"/>
  <c r="F1508" i="1"/>
  <c r="G1508" i="1"/>
  <c r="C1509" i="1"/>
  <c r="E1509" i="1"/>
  <c r="F1509" i="1"/>
  <c r="G1509" i="1"/>
  <c r="C1510" i="1"/>
  <c r="E1510" i="1"/>
  <c r="F1510" i="1"/>
  <c r="G1510" i="1"/>
  <c r="C1511" i="1"/>
  <c r="E1511" i="1"/>
  <c r="F1511" i="1"/>
  <c r="G1511" i="1"/>
  <c r="C1512" i="1"/>
  <c r="E1512" i="1"/>
  <c r="F1512" i="1"/>
  <c r="G1512" i="1"/>
  <c r="C1513" i="1"/>
  <c r="E1513" i="1"/>
  <c r="F1513" i="1"/>
  <c r="G1513" i="1"/>
  <c r="C1514" i="1"/>
  <c r="E1514" i="1"/>
  <c r="F1514" i="1"/>
  <c r="G1514" i="1"/>
  <c r="C1515" i="1"/>
  <c r="E1515" i="1"/>
  <c r="F1515" i="1"/>
  <c r="G1515" i="1"/>
  <c r="C1516" i="1"/>
  <c r="E1516" i="1"/>
  <c r="F1516" i="1"/>
  <c r="G1516" i="1"/>
  <c r="C1517" i="1"/>
  <c r="E1517" i="1"/>
  <c r="F1517" i="1"/>
  <c r="G1517" i="1"/>
  <c r="C1518" i="1"/>
  <c r="E1518" i="1"/>
  <c r="F1518" i="1"/>
  <c r="G1518" i="1"/>
  <c r="C1519" i="1"/>
  <c r="E1519" i="1"/>
  <c r="F1519" i="1"/>
  <c r="G1519" i="1"/>
  <c r="C1520" i="1"/>
  <c r="E1520" i="1"/>
  <c r="F1520" i="1"/>
  <c r="G1520" i="1"/>
  <c r="C1521" i="1"/>
  <c r="E1521" i="1"/>
  <c r="F1521" i="1"/>
  <c r="G1521" i="1"/>
  <c r="C1522" i="1"/>
  <c r="E1522" i="1"/>
  <c r="F1522" i="1"/>
  <c r="G1522" i="1"/>
  <c r="C1523" i="1"/>
  <c r="E1523" i="1"/>
  <c r="F1523" i="1"/>
  <c r="G1523" i="1"/>
  <c r="C1524" i="1"/>
  <c r="E1524" i="1"/>
  <c r="F1524" i="1"/>
  <c r="G1524" i="1"/>
  <c r="C1525" i="1"/>
  <c r="E1525" i="1"/>
  <c r="F1525" i="1"/>
  <c r="G1525" i="1"/>
  <c r="C1526" i="1"/>
  <c r="E1526" i="1"/>
  <c r="F1526" i="1"/>
  <c r="G1526" i="1"/>
  <c r="C1527" i="1"/>
  <c r="E1527" i="1"/>
  <c r="F1527" i="1"/>
  <c r="G1527" i="1"/>
  <c r="C1528" i="1"/>
  <c r="E1528" i="1"/>
  <c r="F1528" i="1"/>
  <c r="G1528" i="1"/>
  <c r="C1529" i="1"/>
  <c r="E1529" i="1"/>
  <c r="F1529" i="1"/>
  <c r="G1529" i="1"/>
  <c r="C1530" i="1"/>
  <c r="E1530" i="1"/>
  <c r="F1530" i="1"/>
  <c r="G1530" i="1"/>
  <c r="C1531" i="1"/>
  <c r="E1531" i="1"/>
  <c r="F1531" i="1"/>
  <c r="G1531" i="1"/>
  <c r="C1532" i="1"/>
  <c r="E1532" i="1"/>
  <c r="F1532" i="1"/>
  <c r="G1532" i="1"/>
  <c r="C1533" i="1"/>
  <c r="E1533" i="1"/>
  <c r="F1533" i="1"/>
  <c r="G1533" i="1"/>
  <c r="C1534" i="1"/>
  <c r="E1534" i="1"/>
  <c r="F1534" i="1"/>
  <c r="G1534" i="1"/>
  <c r="C1535" i="1"/>
  <c r="E1535" i="1"/>
  <c r="F1535" i="1"/>
  <c r="G1535" i="1"/>
  <c r="C1536" i="1"/>
  <c r="E1536" i="1"/>
  <c r="F1536" i="1"/>
  <c r="G1536" i="1"/>
  <c r="C1537" i="1"/>
  <c r="E1537" i="1"/>
  <c r="F1537" i="1"/>
  <c r="G1537" i="1"/>
  <c r="C1538" i="1"/>
  <c r="E1538" i="1"/>
  <c r="F1538" i="1"/>
  <c r="G1538" i="1"/>
  <c r="C1539" i="1"/>
  <c r="E1539" i="1"/>
  <c r="F1539" i="1"/>
  <c r="G1539" i="1"/>
  <c r="C1540" i="1"/>
  <c r="E1540" i="1"/>
  <c r="F1540" i="1"/>
  <c r="G1540" i="1"/>
  <c r="C1541" i="1"/>
  <c r="E1541" i="1"/>
  <c r="F1541" i="1"/>
  <c r="G1541" i="1"/>
  <c r="C1542" i="1"/>
  <c r="E1542" i="1"/>
  <c r="F1542" i="1"/>
  <c r="G1542" i="1"/>
  <c r="C1543" i="1"/>
  <c r="E1543" i="1"/>
  <c r="F1543" i="1"/>
  <c r="G1543" i="1"/>
  <c r="C1544" i="1"/>
  <c r="E1544" i="1"/>
  <c r="F1544" i="1"/>
  <c r="G1544" i="1"/>
  <c r="C1545" i="1"/>
  <c r="E1545" i="1"/>
  <c r="F1545" i="1"/>
  <c r="G1545" i="1"/>
  <c r="C1546" i="1"/>
  <c r="E1546" i="1"/>
  <c r="F1546" i="1"/>
  <c r="G1546" i="1"/>
  <c r="C1547" i="1"/>
  <c r="E1547" i="1"/>
  <c r="F1547" i="1"/>
  <c r="G1547" i="1"/>
  <c r="C1548" i="1"/>
  <c r="E1548" i="1"/>
  <c r="F1548" i="1"/>
  <c r="G1548" i="1"/>
  <c r="C1549" i="1"/>
  <c r="E1549" i="1"/>
  <c r="F1549" i="1"/>
  <c r="G1549" i="1"/>
  <c r="C1550" i="1"/>
  <c r="E1550" i="1"/>
  <c r="F1550" i="1"/>
  <c r="G1550" i="1"/>
  <c r="C1551" i="1"/>
  <c r="E1551" i="1"/>
  <c r="F1551" i="1"/>
  <c r="G1551" i="1"/>
  <c r="C1552" i="1"/>
  <c r="E1552" i="1"/>
  <c r="F1552" i="1"/>
  <c r="G1552" i="1"/>
  <c r="C1553" i="1"/>
  <c r="E1553" i="1"/>
  <c r="F1553" i="1"/>
  <c r="G1553" i="1"/>
  <c r="C1554" i="1"/>
  <c r="E1554" i="1"/>
  <c r="F1554" i="1"/>
  <c r="G1554" i="1"/>
  <c r="C1555" i="1"/>
  <c r="E1555" i="1"/>
  <c r="F1555" i="1"/>
  <c r="G1555" i="1"/>
  <c r="C1556" i="1"/>
  <c r="E1556" i="1"/>
  <c r="F1556" i="1"/>
  <c r="G1556" i="1"/>
  <c r="C1557" i="1"/>
  <c r="E1557" i="1"/>
  <c r="F1557" i="1"/>
  <c r="G1557" i="1"/>
  <c r="C1558" i="1"/>
  <c r="E1558" i="1"/>
  <c r="F1558" i="1"/>
  <c r="G1558" i="1"/>
  <c r="C1559" i="1"/>
  <c r="E1559" i="1"/>
  <c r="F1559" i="1"/>
  <c r="G1559" i="1"/>
  <c r="C1560" i="1"/>
  <c r="E1560" i="1"/>
  <c r="F1560" i="1"/>
  <c r="G1560" i="1"/>
  <c r="C1561" i="1"/>
  <c r="E1561" i="1"/>
  <c r="F1561" i="1"/>
  <c r="G1561" i="1"/>
  <c r="C1562" i="1"/>
  <c r="E1562" i="1"/>
  <c r="F1562" i="1"/>
  <c r="G1562" i="1"/>
  <c r="C1563" i="1"/>
  <c r="E1563" i="1"/>
  <c r="F1563" i="1"/>
  <c r="G1563" i="1"/>
  <c r="C1564" i="1"/>
  <c r="E1564" i="1"/>
  <c r="F1564" i="1"/>
  <c r="G1564" i="1"/>
  <c r="C1565" i="1"/>
  <c r="E1565" i="1"/>
  <c r="F1565" i="1"/>
  <c r="G1565" i="1"/>
  <c r="C1566" i="1"/>
  <c r="E1566" i="1"/>
  <c r="F1566" i="1"/>
  <c r="G1566" i="1"/>
  <c r="C1567" i="1"/>
  <c r="E1567" i="1"/>
  <c r="F1567" i="1"/>
  <c r="G1567" i="1"/>
  <c r="C1568" i="1"/>
  <c r="E1568" i="1"/>
  <c r="F1568" i="1"/>
  <c r="G1568" i="1"/>
  <c r="C1569" i="1"/>
  <c r="E1569" i="1"/>
  <c r="F1569" i="1"/>
  <c r="G1569" i="1"/>
  <c r="C1570" i="1"/>
  <c r="E1570" i="1"/>
  <c r="F1570" i="1"/>
  <c r="G1570" i="1"/>
  <c r="C1571" i="1"/>
  <c r="E1571" i="1"/>
  <c r="F1571" i="1"/>
  <c r="G1571" i="1"/>
  <c r="C1572" i="1"/>
  <c r="E1572" i="1"/>
  <c r="F1572" i="1"/>
  <c r="G1572" i="1"/>
  <c r="C1573" i="1"/>
  <c r="E1573" i="1"/>
  <c r="F1573" i="1"/>
  <c r="G1573" i="1"/>
  <c r="C1574" i="1"/>
  <c r="E1574" i="1"/>
  <c r="F1574" i="1"/>
  <c r="G1574" i="1"/>
  <c r="C1575" i="1"/>
  <c r="E1575" i="1"/>
  <c r="F1575" i="1"/>
  <c r="G1575" i="1"/>
  <c r="C1576" i="1"/>
  <c r="E1576" i="1"/>
  <c r="F1576" i="1"/>
  <c r="G1576" i="1"/>
  <c r="C1577" i="1"/>
  <c r="E1577" i="1"/>
  <c r="F1577" i="1"/>
  <c r="G1577" i="1"/>
  <c r="C1578" i="1"/>
  <c r="E1578" i="1"/>
  <c r="F1578" i="1"/>
  <c r="G1578" i="1"/>
  <c r="C1579" i="1"/>
  <c r="E1579" i="1"/>
  <c r="F1579" i="1"/>
  <c r="G1579" i="1"/>
  <c r="C1580" i="1"/>
  <c r="E1580" i="1"/>
  <c r="F1580" i="1"/>
  <c r="G1580" i="1"/>
  <c r="C1581" i="1"/>
  <c r="E1581" i="1"/>
  <c r="F1581" i="1"/>
  <c r="G1581" i="1"/>
  <c r="C1582" i="1"/>
  <c r="E1582" i="1"/>
  <c r="F1582" i="1"/>
  <c r="G1582" i="1"/>
  <c r="C1583" i="1"/>
  <c r="E1583" i="1"/>
  <c r="F1583" i="1"/>
  <c r="G1583" i="1"/>
  <c r="C1584" i="1"/>
  <c r="E1584" i="1"/>
  <c r="F1584" i="1"/>
  <c r="G1584" i="1"/>
  <c r="C1585" i="1"/>
  <c r="E1585" i="1"/>
  <c r="F1585" i="1"/>
  <c r="G1585" i="1"/>
  <c r="C1586" i="1"/>
  <c r="E1586" i="1"/>
  <c r="F1586" i="1"/>
  <c r="G1586" i="1"/>
  <c r="C1587" i="1"/>
  <c r="E1587" i="1"/>
  <c r="F1587" i="1"/>
  <c r="G1587" i="1"/>
  <c r="C1588" i="1"/>
  <c r="E1588" i="1"/>
  <c r="F1588" i="1"/>
  <c r="G1588" i="1"/>
  <c r="C1589" i="1"/>
  <c r="E1589" i="1"/>
  <c r="F1589" i="1"/>
  <c r="G1589" i="1"/>
  <c r="C1590" i="1"/>
  <c r="E1590" i="1"/>
  <c r="F1590" i="1"/>
  <c r="G1590" i="1"/>
  <c r="C1591" i="1"/>
  <c r="E1591" i="1"/>
  <c r="F1591" i="1"/>
  <c r="G1591" i="1"/>
  <c r="C1592" i="1"/>
  <c r="E1592" i="1"/>
  <c r="F1592" i="1"/>
  <c r="G1592" i="1"/>
  <c r="C1593" i="1"/>
  <c r="E1593" i="1"/>
  <c r="F1593" i="1"/>
  <c r="G1593" i="1"/>
  <c r="C1594" i="1"/>
  <c r="E1594" i="1"/>
  <c r="F1594" i="1"/>
  <c r="G1594" i="1"/>
  <c r="C1595" i="1"/>
  <c r="E1595" i="1"/>
  <c r="F1595" i="1"/>
  <c r="G1595" i="1"/>
  <c r="C1596" i="1"/>
  <c r="E1596" i="1"/>
  <c r="F1596" i="1"/>
  <c r="G1596" i="1"/>
  <c r="C1597" i="1"/>
  <c r="E1597" i="1"/>
  <c r="F1597" i="1"/>
  <c r="G1597" i="1"/>
  <c r="C1598" i="1"/>
  <c r="E1598" i="1"/>
  <c r="F1598" i="1"/>
  <c r="G1598" i="1"/>
  <c r="C1599" i="1"/>
  <c r="E1599" i="1"/>
  <c r="F1599" i="1"/>
  <c r="G1599" i="1"/>
  <c r="C1600" i="1"/>
  <c r="E1600" i="1"/>
  <c r="F1600" i="1"/>
  <c r="G1600" i="1"/>
  <c r="C1601" i="1"/>
  <c r="E1601" i="1"/>
  <c r="F1601" i="1"/>
  <c r="G1601" i="1"/>
  <c r="C1602" i="1"/>
  <c r="E1602" i="1"/>
  <c r="F1602" i="1"/>
  <c r="G1602" i="1"/>
  <c r="C1603" i="1"/>
  <c r="E1603" i="1"/>
  <c r="F1603" i="1"/>
  <c r="G1603" i="1"/>
  <c r="C1604" i="1"/>
  <c r="E1604" i="1"/>
  <c r="F1604" i="1"/>
  <c r="G1604" i="1"/>
  <c r="C1605" i="1"/>
  <c r="E1605" i="1"/>
  <c r="F1605" i="1"/>
  <c r="G1605" i="1"/>
  <c r="C1606" i="1"/>
  <c r="E1606" i="1"/>
  <c r="F1606" i="1"/>
  <c r="G1606" i="1"/>
  <c r="C1607" i="1"/>
  <c r="E1607" i="1"/>
  <c r="F1607" i="1"/>
  <c r="G1607" i="1"/>
  <c r="C1608" i="1"/>
  <c r="E1608" i="1"/>
  <c r="F1608" i="1"/>
  <c r="G1608" i="1"/>
  <c r="C1609" i="1"/>
  <c r="E1609" i="1"/>
  <c r="F1609" i="1"/>
  <c r="G1609" i="1"/>
  <c r="C1610" i="1"/>
  <c r="E1610" i="1"/>
  <c r="F1610" i="1"/>
  <c r="G1610" i="1"/>
  <c r="C1611" i="1"/>
  <c r="E1611" i="1"/>
  <c r="F1611" i="1"/>
  <c r="G1611" i="1"/>
  <c r="C1612" i="1"/>
  <c r="E1612" i="1"/>
  <c r="F1612" i="1"/>
  <c r="G1612" i="1"/>
  <c r="C1613" i="1"/>
  <c r="E1613" i="1"/>
  <c r="F1613" i="1"/>
  <c r="G1613" i="1"/>
  <c r="C1614" i="1"/>
  <c r="E1614" i="1"/>
  <c r="F1614" i="1"/>
  <c r="G1614" i="1"/>
  <c r="C1615" i="1"/>
  <c r="E1615" i="1"/>
  <c r="F1615" i="1"/>
  <c r="G1615" i="1"/>
  <c r="C1616" i="1"/>
  <c r="E1616" i="1"/>
  <c r="F1616" i="1"/>
  <c r="G1616" i="1"/>
  <c r="C1617" i="1"/>
  <c r="E1617" i="1"/>
  <c r="F1617" i="1"/>
  <c r="G1617" i="1"/>
  <c r="C1618" i="1"/>
  <c r="E1618" i="1"/>
  <c r="F1618" i="1"/>
  <c r="G1618" i="1"/>
  <c r="C1619" i="1"/>
  <c r="E1619" i="1"/>
  <c r="F1619" i="1"/>
  <c r="G1619" i="1"/>
  <c r="C1620" i="1"/>
  <c r="E1620" i="1"/>
  <c r="F1620" i="1"/>
  <c r="G1620" i="1"/>
  <c r="C1621" i="1"/>
  <c r="E1621" i="1"/>
  <c r="F1621" i="1"/>
  <c r="G1621" i="1"/>
  <c r="C1622" i="1"/>
  <c r="E1622" i="1"/>
  <c r="F1622" i="1"/>
  <c r="G1622" i="1"/>
  <c r="C1623" i="1"/>
  <c r="E1623" i="1"/>
  <c r="F1623" i="1"/>
  <c r="G1623" i="1"/>
  <c r="C1624" i="1"/>
  <c r="E1624" i="1"/>
  <c r="F1624" i="1"/>
  <c r="G1624" i="1"/>
  <c r="C1625" i="1"/>
  <c r="E1625" i="1"/>
  <c r="F1625" i="1"/>
  <c r="G1625" i="1"/>
  <c r="C1626" i="1"/>
  <c r="E1626" i="1"/>
  <c r="F1626" i="1"/>
  <c r="G1626" i="1"/>
  <c r="C1627" i="1"/>
  <c r="E1627" i="1"/>
  <c r="F1627" i="1"/>
  <c r="G1627" i="1"/>
  <c r="C1628" i="1"/>
  <c r="E1628" i="1"/>
  <c r="F1628" i="1"/>
  <c r="G1628" i="1"/>
  <c r="C1629" i="1"/>
  <c r="E1629" i="1"/>
  <c r="F1629" i="1"/>
  <c r="G1629" i="1"/>
  <c r="C1630" i="1"/>
  <c r="E1630" i="1"/>
  <c r="F1630" i="1"/>
  <c r="G1630" i="1"/>
  <c r="C1631" i="1"/>
  <c r="E1631" i="1"/>
  <c r="F1631" i="1"/>
  <c r="G1631" i="1"/>
  <c r="C1632" i="1"/>
  <c r="E1632" i="1"/>
  <c r="F1632" i="1"/>
  <c r="G1632" i="1"/>
  <c r="C1633" i="1"/>
  <c r="E1633" i="1"/>
  <c r="F1633" i="1"/>
  <c r="G1633" i="1"/>
  <c r="C1634" i="1"/>
  <c r="E1634" i="1"/>
  <c r="F1634" i="1"/>
  <c r="G1634" i="1"/>
  <c r="C1635" i="1"/>
  <c r="E1635" i="1"/>
  <c r="F1635" i="1"/>
  <c r="G1635" i="1"/>
  <c r="C1636" i="1"/>
  <c r="E1636" i="1"/>
  <c r="F1636" i="1"/>
  <c r="G1636" i="1"/>
  <c r="C1637" i="1"/>
  <c r="E1637" i="1"/>
  <c r="F1637" i="1"/>
  <c r="G1637" i="1"/>
  <c r="C1638" i="1"/>
  <c r="E1638" i="1"/>
  <c r="F1638" i="1"/>
  <c r="G1638" i="1"/>
  <c r="C1639" i="1"/>
  <c r="E1639" i="1"/>
  <c r="F1639" i="1"/>
  <c r="G1639" i="1"/>
  <c r="C1640" i="1"/>
  <c r="E1640" i="1"/>
  <c r="F1640" i="1"/>
  <c r="G1640" i="1"/>
  <c r="C1641" i="1"/>
  <c r="E1641" i="1"/>
  <c r="F1641" i="1"/>
  <c r="G1641" i="1"/>
  <c r="C1642" i="1"/>
  <c r="E1642" i="1"/>
  <c r="F1642" i="1"/>
  <c r="G1642" i="1"/>
  <c r="C1643" i="1"/>
  <c r="E1643" i="1"/>
  <c r="F1643" i="1"/>
  <c r="G1643" i="1"/>
  <c r="C1644" i="1"/>
  <c r="E1644" i="1"/>
  <c r="F1644" i="1"/>
  <c r="G1644" i="1"/>
  <c r="C1645" i="1"/>
  <c r="E1645" i="1"/>
  <c r="F1645" i="1"/>
  <c r="G1645" i="1"/>
  <c r="C1646" i="1"/>
  <c r="E1646" i="1"/>
  <c r="F1646" i="1"/>
  <c r="G1646" i="1"/>
  <c r="C1647" i="1"/>
  <c r="E1647" i="1"/>
  <c r="F1647" i="1"/>
  <c r="G1647" i="1"/>
  <c r="C1648" i="1"/>
  <c r="E1648" i="1"/>
  <c r="F1648" i="1"/>
  <c r="G1648" i="1"/>
  <c r="C1649" i="1"/>
  <c r="E1649" i="1"/>
  <c r="F1649" i="1"/>
  <c r="G1649" i="1"/>
  <c r="C1650" i="1"/>
  <c r="E1650" i="1"/>
  <c r="F1650" i="1"/>
  <c r="G1650" i="1"/>
  <c r="C1651" i="1"/>
  <c r="E1651" i="1"/>
  <c r="F1651" i="1"/>
  <c r="G1651" i="1"/>
  <c r="C1652" i="1"/>
  <c r="E1652" i="1"/>
  <c r="F1652" i="1"/>
  <c r="G1652" i="1"/>
  <c r="C1653" i="1"/>
  <c r="E1653" i="1"/>
  <c r="F1653" i="1"/>
  <c r="G1653" i="1"/>
  <c r="C1654" i="1"/>
  <c r="E1654" i="1"/>
  <c r="F1654" i="1"/>
  <c r="G1654" i="1"/>
  <c r="C1655" i="1"/>
  <c r="E1655" i="1"/>
  <c r="F1655" i="1"/>
  <c r="G1655" i="1"/>
  <c r="C1656" i="1"/>
  <c r="E1656" i="1"/>
  <c r="F1656" i="1"/>
  <c r="G1656" i="1"/>
  <c r="C1657" i="1"/>
  <c r="E1657" i="1"/>
  <c r="F1657" i="1"/>
  <c r="G1657" i="1"/>
  <c r="C1658" i="1"/>
  <c r="E1658" i="1"/>
  <c r="F1658" i="1"/>
  <c r="G1658" i="1"/>
  <c r="C1659" i="1"/>
  <c r="E1659" i="1"/>
  <c r="F1659" i="1"/>
  <c r="G1659" i="1"/>
  <c r="C1660" i="1"/>
  <c r="E1660" i="1"/>
  <c r="F1660" i="1"/>
  <c r="G1660" i="1"/>
  <c r="C1661" i="1"/>
  <c r="E1661" i="1"/>
  <c r="F1661" i="1"/>
  <c r="G1661" i="1"/>
  <c r="C1662" i="1"/>
  <c r="E1662" i="1"/>
  <c r="F1662" i="1"/>
  <c r="G1662" i="1"/>
  <c r="C1663" i="1"/>
  <c r="E1663" i="1"/>
  <c r="F1663" i="1"/>
  <c r="G1663" i="1"/>
  <c r="C1664" i="1"/>
  <c r="E1664" i="1"/>
  <c r="F1664" i="1"/>
  <c r="G1664" i="1"/>
  <c r="C1665" i="1"/>
  <c r="E1665" i="1"/>
  <c r="F1665" i="1"/>
  <c r="G1665" i="1"/>
  <c r="C1666" i="1"/>
  <c r="E1666" i="1"/>
  <c r="F1666" i="1"/>
  <c r="G1666" i="1"/>
  <c r="C1667" i="1"/>
  <c r="E1667" i="1"/>
  <c r="F1667" i="1"/>
  <c r="G1667" i="1"/>
  <c r="C1668" i="1"/>
  <c r="E1668" i="1"/>
  <c r="F1668" i="1"/>
  <c r="G1668" i="1"/>
  <c r="C1669" i="1"/>
  <c r="E1669" i="1"/>
  <c r="F1669" i="1"/>
  <c r="G1669" i="1"/>
  <c r="C1670" i="1"/>
  <c r="E1670" i="1"/>
  <c r="F1670" i="1"/>
  <c r="G1670" i="1"/>
  <c r="C1671" i="1"/>
  <c r="E1671" i="1"/>
  <c r="F1671" i="1"/>
  <c r="G1671" i="1"/>
  <c r="C1672" i="1"/>
  <c r="E1672" i="1"/>
  <c r="F1672" i="1"/>
  <c r="G1672" i="1"/>
  <c r="C1673" i="1"/>
  <c r="E1673" i="1"/>
  <c r="F1673" i="1"/>
  <c r="G1673" i="1"/>
  <c r="C1674" i="1"/>
  <c r="E1674" i="1"/>
  <c r="F1674" i="1"/>
  <c r="G1674" i="1"/>
  <c r="C1675" i="1"/>
  <c r="E1675" i="1"/>
  <c r="F1675" i="1"/>
  <c r="G1675" i="1"/>
  <c r="C1676" i="1"/>
  <c r="E1676" i="1"/>
  <c r="F1676" i="1"/>
  <c r="G1676" i="1"/>
  <c r="C1677" i="1"/>
  <c r="E1677" i="1"/>
  <c r="F1677" i="1"/>
  <c r="G1677" i="1"/>
  <c r="C1678" i="1"/>
  <c r="E1678" i="1"/>
  <c r="F1678" i="1"/>
  <c r="G1678" i="1"/>
  <c r="C1679" i="1"/>
  <c r="E1679" i="1"/>
  <c r="F1679" i="1"/>
  <c r="G1679" i="1"/>
  <c r="C1680" i="1"/>
  <c r="E1680" i="1"/>
  <c r="F1680" i="1"/>
  <c r="G1680" i="1"/>
  <c r="C1681" i="1"/>
  <c r="E1681" i="1"/>
  <c r="F1681" i="1"/>
  <c r="G1681" i="1"/>
  <c r="C1682" i="1"/>
  <c r="E1682" i="1"/>
  <c r="F1682" i="1"/>
  <c r="G1682" i="1"/>
  <c r="C1683" i="1"/>
  <c r="E1683" i="1"/>
  <c r="F1683" i="1"/>
  <c r="G1683" i="1"/>
  <c r="C1684" i="1"/>
  <c r="E1684" i="1"/>
  <c r="F1684" i="1"/>
  <c r="G1684" i="1"/>
  <c r="C1685" i="1"/>
  <c r="E1685" i="1"/>
  <c r="F1685" i="1"/>
  <c r="G1685" i="1"/>
  <c r="C1686" i="1"/>
  <c r="E1686" i="1"/>
  <c r="F1686" i="1"/>
  <c r="G1686" i="1"/>
  <c r="C1687" i="1"/>
  <c r="E1687" i="1"/>
  <c r="F1687" i="1"/>
  <c r="G1687" i="1"/>
  <c r="C1688" i="1"/>
  <c r="E1688" i="1"/>
  <c r="F1688" i="1"/>
  <c r="G1688" i="1"/>
  <c r="C1689" i="1"/>
  <c r="E1689" i="1"/>
  <c r="F1689" i="1"/>
  <c r="G1689" i="1"/>
  <c r="C1690" i="1"/>
  <c r="E1690" i="1"/>
  <c r="F1690" i="1"/>
  <c r="G1690" i="1"/>
  <c r="C1691" i="1"/>
  <c r="E1691" i="1"/>
  <c r="F1691" i="1"/>
  <c r="G1691" i="1"/>
  <c r="C1692" i="1"/>
  <c r="E1692" i="1"/>
  <c r="F1692" i="1"/>
  <c r="G1692" i="1"/>
  <c r="C1693" i="1"/>
  <c r="E1693" i="1"/>
  <c r="F1693" i="1"/>
  <c r="G1693" i="1"/>
  <c r="C1694" i="1"/>
  <c r="E1694" i="1"/>
  <c r="F1694" i="1"/>
  <c r="G1694" i="1"/>
  <c r="C1695" i="1"/>
  <c r="E1695" i="1"/>
  <c r="F1695" i="1"/>
  <c r="G1695" i="1"/>
  <c r="C1696" i="1"/>
  <c r="E1696" i="1"/>
  <c r="F1696" i="1"/>
  <c r="G1696" i="1"/>
  <c r="C1697" i="1"/>
  <c r="E1697" i="1"/>
  <c r="F1697" i="1"/>
  <c r="G1697" i="1"/>
  <c r="C1698" i="1"/>
  <c r="E1698" i="1"/>
  <c r="F1698" i="1"/>
  <c r="G1698" i="1"/>
  <c r="C1699" i="1"/>
  <c r="E1699" i="1"/>
  <c r="F1699" i="1"/>
  <c r="G1699" i="1"/>
  <c r="C1700" i="1"/>
  <c r="E1700" i="1"/>
  <c r="F1700" i="1"/>
  <c r="G1700" i="1"/>
  <c r="C1701" i="1"/>
  <c r="E1701" i="1"/>
  <c r="F1701" i="1"/>
  <c r="G1701" i="1"/>
  <c r="C1702" i="1"/>
  <c r="E1702" i="1"/>
  <c r="F1702" i="1"/>
  <c r="G1702" i="1"/>
  <c r="C1703" i="1"/>
  <c r="E1703" i="1"/>
  <c r="F1703" i="1"/>
  <c r="G1703" i="1"/>
  <c r="C1704" i="1"/>
  <c r="E1704" i="1"/>
  <c r="F1704" i="1"/>
  <c r="G1704" i="1"/>
  <c r="C1705" i="1"/>
  <c r="E1705" i="1"/>
  <c r="F1705" i="1"/>
  <c r="G1705" i="1"/>
  <c r="C1706" i="1"/>
  <c r="E1706" i="1"/>
  <c r="F1706" i="1"/>
  <c r="G1706" i="1"/>
  <c r="C1707" i="1"/>
  <c r="E1707" i="1"/>
  <c r="F1707" i="1"/>
  <c r="G1707" i="1"/>
  <c r="C1708" i="1"/>
  <c r="E1708" i="1"/>
  <c r="F1708" i="1"/>
  <c r="G1708" i="1"/>
  <c r="C1709" i="1"/>
  <c r="E1709" i="1"/>
  <c r="F1709" i="1"/>
  <c r="G1709" i="1"/>
  <c r="C1710" i="1"/>
  <c r="E1710" i="1"/>
  <c r="F1710" i="1"/>
  <c r="G1710" i="1"/>
  <c r="C1711" i="1"/>
  <c r="E1711" i="1"/>
  <c r="F1711" i="1"/>
  <c r="G1711" i="1"/>
  <c r="C1712" i="1"/>
  <c r="E1712" i="1"/>
  <c r="F1712" i="1"/>
  <c r="G1712" i="1"/>
  <c r="C1713" i="1"/>
  <c r="E1713" i="1"/>
  <c r="F1713" i="1"/>
  <c r="G1713" i="1"/>
  <c r="C1714" i="1"/>
  <c r="E1714" i="1"/>
  <c r="F1714" i="1"/>
  <c r="G1714" i="1"/>
  <c r="C1715" i="1"/>
  <c r="E1715" i="1"/>
  <c r="F1715" i="1"/>
  <c r="G1715" i="1"/>
  <c r="C1716" i="1"/>
  <c r="E1716" i="1"/>
  <c r="F1716" i="1"/>
  <c r="G1716" i="1"/>
  <c r="C1717" i="1"/>
  <c r="E1717" i="1"/>
  <c r="F1717" i="1"/>
  <c r="G1717" i="1"/>
  <c r="C1718" i="1"/>
  <c r="E1718" i="1"/>
  <c r="F1718" i="1"/>
  <c r="G1718" i="1"/>
  <c r="C1719" i="1"/>
  <c r="E1719" i="1"/>
  <c r="F1719" i="1"/>
  <c r="G1719" i="1"/>
  <c r="C1720" i="1"/>
  <c r="E1720" i="1"/>
  <c r="F1720" i="1"/>
  <c r="G1720" i="1"/>
  <c r="C1721" i="1"/>
  <c r="E1721" i="1"/>
  <c r="F1721" i="1"/>
  <c r="G1721" i="1"/>
  <c r="C1722" i="1"/>
  <c r="E1722" i="1"/>
  <c r="F1722" i="1"/>
  <c r="G1722" i="1"/>
  <c r="C1723" i="1"/>
  <c r="E1723" i="1"/>
  <c r="F1723" i="1"/>
  <c r="G1723" i="1"/>
  <c r="C1724" i="1"/>
  <c r="E1724" i="1"/>
  <c r="F1724" i="1"/>
  <c r="G1724" i="1"/>
  <c r="C1725" i="1"/>
  <c r="E1725" i="1"/>
  <c r="F1725" i="1"/>
  <c r="G1725" i="1"/>
  <c r="C1726" i="1"/>
  <c r="E1726" i="1"/>
  <c r="F1726" i="1"/>
  <c r="G1726" i="1"/>
  <c r="C1727" i="1"/>
  <c r="E1727" i="1"/>
  <c r="F1727" i="1"/>
  <c r="G1727" i="1"/>
  <c r="C1728" i="1"/>
  <c r="E1728" i="1"/>
  <c r="F1728" i="1"/>
  <c r="G1728" i="1"/>
  <c r="C1729" i="1"/>
  <c r="E1729" i="1"/>
  <c r="F1729" i="1"/>
  <c r="G1729" i="1"/>
  <c r="C1730" i="1"/>
  <c r="E1730" i="1"/>
  <c r="F1730" i="1"/>
  <c r="G1730" i="1"/>
  <c r="C1731" i="1"/>
  <c r="E1731" i="1"/>
  <c r="F1731" i="1"/>
  <c r="G1731" i="1"/>
  <c r="C1732" i="1"/>
  <c r="E1732" i="1"/>
  <c r="F1732" i="1"/>
  <c r="G1732" i="1"/>
  <c r="C1733" i="1"/>
  <c r="E1733" i="1"/>
  <c r="F1733" i="1"/>
  <c r="G1733" i="1"/>
  <c r="C1734" i="1"/>
  <c r="E1734" i="1"/>
  <c r="F1734" i="1"/>
  <c r="G1734" i="1"/>
  <c r="C1735" i="1"/>
  <c r="E1735" i="1"/>
  <c r="F1735" i="1"/>
  <c r="G1735" i="1"/>
  <c r="C1736" i="1"/>
  <c r="E1736" i="1"/>
  <c r="F1736" i="1"/>
  <c r="G1736" i="1"/>
  <c r="C1737" i="1"/>
  <c r="E1737" i="1"/>
  <c r="F1737" i="1"/>
  <c r="G1737" i="1"/>
  <c r="C1738" i="1"/>
  <c r="E1738" i="1"/>
  <c r="F1738" i="1"/>
  <c r="G1738" i="1"/>
  <c r="C1739" i="1"/>
  <c r="E1739" i="1"/>
  <c r="F1739" i="1"/>
  <c r="G1739" i="1"/>
  <c r="C1740" i="1"/>
  <c r="E1740" i="1"/>
  <c r="F1740" i="1"/>
  <c r="G1740" i="1"/>
  <c r="C1741" i="1"/>
  <c r="E1741" i="1"/>
  <c r="F1741" i="1"/>
  <c r="G1741" i="1"/>
  <c r="C1742" i="1"/>
  <c r="E1742" i="1"/>
  <c r="F1742" i="1"/>
  <c r="G1742" i="1"/>
  <c r="C1743" i="1"/>
  <c r="E1743" i="1"/>
  <c r="F1743" i="1"/>
  <c r="G1743" i="1"/>
  <c r="C1744" i="1"/>
  <c r="E1744" i="1"/>
  <c r="F1744" i="1"/>
  <c r="G1744" i="1"/>
  <c r="C1745" i="1"/>
  <c r="E1745" i="1"/>
  <c r="F1745" i="1"/>
  <c r="G1745" i="1"/>
  <c r="C1746" i="1"/>
  <c r="E1746" i="1"/>
  <c r="F1746" i="1"/>
  <c r="G1746" i="1"/>
  <c r="C1747" i="1"/>
  <c r="E1747" i="1"/>
  <c r="F1747" i="1"/>
  <c r="G1747" i="1"/>
  <c r="C1748" i="1"/>
  <c r="E1748" i="1"/>
  <c r="F1748" i="1"/>
  <c r="G1748" i="1"/>
  <c r="C1749" i="1"/>
  <c r="E1749" i="1"/>
  <c r="F1749" i="1"/>
  <c r="G1749" i="1"/>
  <c r="C1750" i="1"/>
  <c r="E1750" i="1"/>
  <c r="F1750" i="1"/>
  <c r="G1750" i="1"/>
  <c r="C1751" i="1"/>
  <c r="E1751" i="1"/>
  <c r="F1751" i="1"/>
  <c r="G1751" i="1"/>
  <c r="C1752" i="1"/>
  <c r="E1752" i="1"/>
  <c r="F1752" i="1"/>
  <c r="G1752" i="1"/>
  <c r="C1753" i="1"/>
  <c r="E1753" i="1"/>
  <c r="F1753" i="1"/>
  <c r="G1753" i="1"/>
  <c r="C1754" i="1"/>
  <c r="E1754" i="1"/>
  <c r="F1754" i="1"/>
  <c r="G1754" i="1"/>
  <c r="C1755" i="1"/>
  <c r="E1755" i="1"/>
  <c r="F1755" i="1"/>
  <c r="G1755" i="1"/>
  <c r="C1756" i="1"/>
  <c r="E1756" i="1"/>
  <c r="F1756" i="1"/>
  <c r="G1756" i="1"/>
  <c r="C1757" i="1"/>
  <c r="E1757" i="1"/>
  <c r="F1757" i="1"/>
  <c r="G1757" i="1"/>
  <c r="C1758" i="1"/>
  <c r="E1758" i="1"/>
  <c r="F1758" i="1"/>
  <c r="G1758" i="1"/>
  <c r="C1759" i="1"/>
  <c r="E1759" i="1"/>
  <c r="F1759" i="1"/>
  <c r="G1759" i="1"/>
  <c r="C1760" i="1"/>
  <c r="E1760" i="1"/>
  <c r="F1760" i="1"/>
  <c r="G1760" i="1"/>
  <c r="C1761" i="1"/>
  <c r="E1761" i="1"/>
  <c r="F1761" i="1"/>
  <c r="G1761" i="1"/>
  <c r="C1762" i="1"/>
  <c r="E1762" i="1"/>
  <c r="F1762" i="1"/>
  <c r="G1762" i="1"/>
  <c r="C1763" i="1"/>
  <c r="E1763" i="1"/>
  <c r="F1763" i="1"/>
  <c r="G1763" i="1"/>
  <c r="C1764" i="1"/>
  <c r="E1764" i="1"/>
  <c r="F1764" i="1"/>
  <c r="G1764" i="1"/>
  <c r="C1765" i="1"/>
  <c r="E1765" i="1"/>
  <c r="F1765" i="1"/>
  <c r="G1765" i="1"/>
  <c r="C1766" i="1"/>
  <c r="E1766" i="1"/>
  <c r="F1766" i="1"/>
  <c r="G1766" i="1"/>
  <c r="C1767" i="1"/>
  <c r="E1767" i="1"/>
  <c r="F1767" i="1"/>
  <c r="G1767" i="1"/>
  <c r="C1768" i="1"/>
  <c r="E1768" i="1"/>
  <c r="F1768" i="1"/>
  <c r="G1768" i="1"/>
  <c r="C1769" i="1"/>
  <c r="E1769" i="1"/>
  <c r="F1769" i="1"/>
  <c r="G1769" i="1"/>
  <c r="C1770" i="1"/>
  <c r="E1770" i="1"/>
  <c r="F1770" i="1"/>
  <c r="G1770" i="1"/>
  <c r="C1771" i="1"/>
  <c r="E1771" i="1"/>
  <c r="F1771" i="1"/>
  <c r="G1771" i="1"/>
  <c r="C1772" i="1"/>
  <c r="E1772" i="1"/>
  <c r="F1772" i="1"/>
  <c r="G1772" i="1"/>
  <c r="C1773" i="1"/>
  <c r="E1773" i="1"/>
  <c r="F1773" i="1"/>
  <c r="G1773" i="1"/>
  <c r="C1774" i="1"/>
  <c r="E1774" i="1"/>
  <c r="F1774" i="1"/>
  <c r="G1774" i="1"/>
  <c r="C1775" i="1"/>
  <c r="E1775" i="1"/>
  <c r="F1775" i="1"/>
  <c r="G1775" i="1"/>
  <c r="C1776" i="1"/>
  <c r="E1776" i="1"/>
  <c r="F1776" i="1"/>
  <c r="G1776" i="1"/>
  <c r="C1777" i="1"/>
  <c r="E1777" i="1"/>
  <c r="F1777" i="1"/>
  <c r="G1777" i="1"/>
  <c r="C1778" i="1"/>
  <c r="E1778" i="1"/>
  <c r="F1778" i="1"/>
  <c r="G1778" i="1"/>
  <c r="C1779" i="1"/>
  <c r="E1779" i="1"/>
  <c r="F1779" i="1"/>
  <c r="G1779" i="1"/>
  <c r="C1780" i="1"/>
  <c r="E1780" i="1"/>
  <c r="F1780" i="1"/>
  <c r="G1780" i="1"/>
  <c r="C1781" i="1"/>
  <c r="E1781" i="1"/>
  <c r="F1781" i="1"/>
  <c r="G1781" i="1"/>
  <c r="C1782" i="1"/>
  <c r="E1782" i="1"/>
  <c r="F1782" i="1"/>
  <c r="G1782" i="1"/>
  <c r="C1783" i="1"/>
  <c r="E1783" i="1"/>
  <c r="F1783" i="1"/>
  <c r="G1783" i="1"/>
  <c r="C1784" i="1"/>
  <c r="E1784" i="1"/>
  <c r="F1784" i="1"/>
  <c r="G1784" i="1"/>
  <c r="C1785" i="1"/>
  <c r="E1785" i="1"/>
  <c r="F1785" i="1"/>
  <c r="G1785" i="1"/>
  <c r="C1786" i="1"/>
  <c r="E1786" i="1"/>
  <c r="F1786" i="1"/>
  <c r="G1786" i="1"/>
  <c r="C1787" i="1"/>
  <c r="E1787" i="1"/>
  <c r="F1787" i="1"/>
  <c r="G1787" i="1"/>
  <c r="C1788" i="1"/>
  <c r="E1788" i="1"/>
  <c r="F1788" i="1"/>
  <c r="G1788" i="1"/>
  <c r="C1789" i="1"/>
  <c r="E1789" i="1"/>
  <c r="F1789" i="1"/>
  <c r="G1789" i="1"/>
  <c r="C1790" i="1"/>
  <c r="E1790" i="1"/>
  <c r="F1790" i="1"/>
  <c r="G1790" i="1"/>
  <c r="C1791" i="1"/>
  <c r="E1791" i="1"/>
  <c r="F1791" i="1"/>
  <c r="G1791" i="1"/>
  <c r="C1792" i="1"/>
  <c r="E1792" i="1"/>
  <c r="F1792" i="1"/>
  <c r="G1792" i="1"/>
  <c r="C1793" i="1"/>
  <c r="E1793" i="1"/>
  <c r="F1793" i="1"/>
  <c r="G1793" i="1"/>
  <c r="C1794" i="1"/>
  <c r="E1794" i="1"/>
  <c r="F1794" i="1"/>
  <c r="G1794" i="1"/>
  <c r="C1795" i="1"/>
  <c r="E1795" i="1"/>
  <c r="F1795" i="1"/>
  <c r="G1795" i="1"/>
  <c r="C1796" i="1"/>
  <c r="E1796" i="1"/>
  <c r="F1796" i="1"/>
  <c r="G1796" i="1"/>
  <c r="C1797" i="1"/>
  <c r="E1797" i="1"/>
  <c r="F1797" i="1"/>
  <c r="G1797" i="1"/>
  <c r="C1798" i="1"/>
  <c r="E1798" i="1"/>
  <c r="F1798" i="1"/>
  <c r="G1798" i="1"/>
  <c r="C1799" i="1"/>
  <c r="E1799" i="1"/>
  <c r="F1799" i="1"/>
  <c r="G1799" i="1"/>
  <c r="C1800" i="1"/>
  <c r="E1800" i="1"/>
  <c r="F1800" i="1"/>
  <c r="G1800" i="1"/>
  <c r="C1801" i="1"/>
  <c r="E1801" i="1"/>
  <c r="F1801" i="1"/>
  <c r="G1801" i="1"/>
  <c r="C1802" i="1"/>
  <c r="E1802" i="1"/>
  <c r="F1802" i="1"/>
  <c r="G1802" i="1"/>
  <c r="C1803" i="1"/>
  <c r="E1803" i="1"/>
  <c r="F1803" i="1"/>
  <c r="G1803" i="1"/>
  <c r="C1804" i="1"/>
  <c r="E1804" i="1"/>
  <c r="F1804" i="1"/>
  <c r="G1804" i="1"/>
  <c r="C1805" i="1"/>
  <c r="E1805" i="1"/>
  <c r="F1805" i="1"/>
  <c r="G1805" i="1"/>
  <c r="C1806" i="1"/>
  <c r="E1806" i="1"/>
  <c r="F1806" i="1"/>
  <c r="G1806" i="1"/>
  <c r="C1807" i="1"/>
  <c r="E1807" i="1"/>
  <c r="F1807" i="1"/>
  <c r="G1807" i="1"/>
  <c r="C1808" i="1"/>
  <c r="E1808" i="1"/>
  <c r="F1808" i="1"/>
  <c r="G1808" i="1"/>
  <c r="C1809" i="1"/>
  <c r="E1809" i="1"/>
  <c r="F1809" i="1"/>
  <c r="G1809" i="1"/>
  <c r="C1810" i="1"/>
  <c r="E1810" i="1"/>
  <c r="F1810" i="1"/>
  <c r="G1810" i="1"/>
  <c r="C1811" i="1"/>
  <c r="E1811" i="1"/>
  <c r="F1811" i="1"/>
  <c r="G1811" i="1"/>
  <c r="C1812" i="1"/>
  <c r="E1812" i="1"/>
  <c r="F1812" i="1"/>
  <c r="G1812" i="1"/>
  <c r="C1813" i="1"/>
  <c r="E1813" i="1"/>
  <c r="F1813" i="1"/>
  <c r="G1813" i="1"/>
  <c r="C1814" i="1"/>
  <c r="E1814" i="1"/>
  <c r="F1814" i="1"/>
  <c r="G1814" i="1"/>
  <c r="C1815" i="1"/>
  <c r="E1815" i="1"/>
  <c r="F1815" i="1"/>
  <c r="G1815" i="1"/>
  <c r="C1816" i="1"/>
  <c r="E1816" i="1"/>
  <c r="F1816" i="1"/>
  <c r="G1816" i="1"/>
  <c r="C1817" i="1"/>
  <c r="E1817" i="1"/>
  <c r="F1817" i="1"/>
  <c r="G1817" i="1"/>
  <c r="C1818" i="1"/>
  <c r="E1818" i="1"/>
  <c r="F1818" i="1"/>
  <c r="G1818" i="1"/>
  <c r="C1819" i="1"/>
  <c r="E1819" i="1"/>
  <c r="F1819" i="1"/>
  <c r="G1819" i="1"/>
  <c r="C1820" i="1"/>
  <c r="E1820" i="1"/>
  <c r="F1820" i="1"/>
  <c r="G1820" i="1"/>
  <c r="C1821" i="1"/>
  <c r="E1821" i="1"/>
  <c r="F1821" i="1"/>
  <c r="G1821" i="1"/>
  <c r="C1822" i="1"/>
  <c r="E1822" i="1"/>
  <c r="F1822" i="1"/>
  <c r="G1822" i="1"/>
  <c r="C1823" i="1"/>
  <c r="E1823" i="1"/>
  <c r="F1823" i="1"/>
  <c r="G1823" i="1"/>
  <c r="C1824" i="1"/>
  <c r="E1824" i="1"/>
  <c r="F1824" i="1"/>
  <c r="G1824" i="1"/>
  <c r="C1825" i="1"/>
  <c r="E1825" i="1"/>
  <c r="F1825" i="1"/>
  <c r="G1825" i="1"/>
  <c r="C1826" i="1"/>
  <c r="E1826" i="1"/>
  <c r="F1826" i="1"/>
  <c r="G1826" i="1"/>
  <c r="C1827" i="1"/>
  <c r="E1827" i="1"/>
  <c r="F1827" i="1"/>
  <c r="G1827" i="1"/>
  <c r="C1828" i="1"/>
  <c r="E1828" i="1"/>
  <c r="F1828" i="1"/>
  <c r="G1828" i="1"/>
  <c r="C1829" i="1"/>
  <c r="E1829" i="1"/>
  <c r="F1829" i="1"/>
  <c r="G1829" i="1"/>
  <c r="C1830" i="1"/>
  <c r="E1830" i="1"/>
  <c r="F1830" i="1"/>
  <c r="G1830" i="1"/>
  <c r="C1831" i="1"/>
  <c r="E1831" i="1"/>
  <c r="F1831" i="1"/>
  <c r="G1831" i="1"/>
  <c r="C1832" i="1"/>
  <c r="E1832" i="1"/>
  <c r="F1832" i="1"/>
  <c r="G1832" i="1"/>
  <c r="C1833" i="1"/>
  <c r="E1833" i="1"/>
  <c r="F1833" i="1"/>
  <c r="G1833" i="1"/>
  <c r="C1834" i="1"/>
  <c r="E1834" i="1"/>
  <c r="F1834" i="1"/>
  <c r="G1834" i="1"/>
  <c r="C1835" i="1"/>
  <c r="E1835" i="1"/>
  <c r="F1835" i="1"/>
  <c r="G1835" i="1"/>
  <c r="C1836" i="1"/>
  <c r="E1836" i="1"/>
  <c r="F1836" i="1"/>
  <c r="G1836" i="1"/>
  <c r="C1837" i="1"/>
  <c r="E1837" i="1"/>
  <c r="F1837" i="1"/>
  <c r="G1837" i="1"/>
  <c r="C1838" i="1"/>
  <c r="E1838" i="1"/>
  <c r="F1838" i="1"/>
  <c r="G1838" i="1"/>
  <c r="C1839" i="1"/>
  <c r="E1839" i="1"/>
  <c r="F1839" i="1"/>
  <c r="G1839" i="1"/>
  <c r="C1840" i="1"/>
  <c r="E1840" i="1"/>
  <c r="F1840" i="1"/>
  <c r="G1840" i="1"/>
  <c r="C1841" i="1"/>
  <c r="E1841" i="1"/>
  <c r="F1841" i="1"/>
  <c r="G1841" i="1"/>
  <c r="C1842" i="1"/>
  <c r="E1842" i="1"/>
  <c r="F1842" i="1"/>
  <c r="G1842" i="1"/>
  <c r="C1843" i="1"/>
  <c r="E1843" i="1"/>
  <c r="F1843" i="1"/>
  <c r="G1843" i="1"/>
  <c r="C1844" i="1"/>
  <c r="E1844" i="1"/>
  <c r="F1844" i="1"/>
  <c r="G1844" i="1"/>
  <c r="C1845" i="1"/>
  <c r="E1845" i="1"/>
  <c r="F1845" i="1"/>
  <c r="G1845" i="1"/>
  <c r="C1846" i="1"/>
  <c r="E1846" i="1"/>
  <c r="F1846" i="1"/>
  <c r="G1846" i="1"/>
  <c r="C1847" i="1"/>
  <c r="E1847" i="1"/>
  <c r="F1847" i="1"/>
  <c r="G1847" i="1"/>
  <c r="C1848" i="1"/>
  <c r="E1848" i="1"/>
  <c r="F1848" i="1"/>
  <c r="G1848" i="1"/>
  <c r="C1849" i="1"/>
  <c r="E1849" i="1"/>
  <c r="F1849" i="1"/>
  <c r="G1849" i="1"/>
  <c r="C1850" i="1"/>
  <c r="E1850" i="1"/>
  <c r="F1850" i="1"/>
  <c r="G1850" i="1"/>
  <c r="C1851" i="1"/>
  <c r="E1851" i="1"/>
  <c r="F1851" i="1"/>
  <c r="G1851" i="1"/>
  <c r="C1852" i="1"/>
  <c r="E1852" i="1"/>
  <c r="F1852" i="1"/>
  <c r="G1852" i="1"/>
  <c r="C1853" i="1"/>
  <c r="E1853" i="1"/>
  <c r="F1853" i="1"/>
  <c r="G1853" i="1"/>
  <c r="C1854" i="1"/>
  <c r="E1854" i="1"/>
  <c r="F1854" i="1"/>
  <c r="G1854" i="1"/>
  <c r="C1855" i="1"/>
  <c r="E1855" i="1"/>
  <c r="F1855" i="1"/>
  <c r="G1855" i="1"/>
  <c r="C1856" i="1"/>
  <c r="E1856" i="1"/>
  <c r="F1856" i="1"/>
  <c r="G1856" i="1"/>
  <c r="C1857" i="1"/>
  <c r="E1857" i="1"/>
  <c r="F1857" i="1"/>
  <c r="G1857" i="1"/>
  <c r="C1858" i="1"/>
  <c r="E1858" i="1"/>
  <c r="F1858" i="1"/>
  <c r="G1858" i="1"/>
  <c r="C1859" i="1"/>
  <c r="E1859" i="1"/>
  <c r="F1859" i="1"/>
  <c r="G1859" i="1"/>
  <c r="C1860" i="1"/>
  <c r="E1860" i="1"/>
  <c r="F1860" i="1"/>
  <c r="G1860" i="1"/>
  <c r="C1861" i="1"/>
  <c r="E1861" i="1"/>
  <c r="F1861" i="1"/>
  <c r="G1861" i="1"/>
  <c r="C1862" i="1"/>
  <c r="E1862" i="1"/>
  <c r="F1862" i="1"/>
  <c r="G1862" i="1"/>
  <c r="C1863" i="1"/>
  <c r="E1863" i="1"/>
  <c r="F1863" i="1"/>
  <c r="G1863" i="1"/>
  <c r="C1864" i="1"/>
  <c r="E1864" i="1"/>
  <c r="F1864" i="1"/>
  <c r="G1864" i="1"/>
  <c r="C1865" i="1"/>
  <c r="E1865" i="1"/>
  <c r="F1865" i="1"/>
  <c r="G1865" i="1"/>
  <c r="C1866" i="1"/>
  <c r="E1866" i="1"/>
  <c r="F1866" i="1"/>
  <c r="G1866" i="1"/>
  <c r="C1867" i="1"/>
  <c r="E1867" i="1"/>
  <c r="F1867" i="1"/>
  <c r="G1867" i="1"/>
  <c r="C1868" i="1"/>
  <c r="E1868" i="1"/>
  <c r="F1868" i="1"/>
  <c r="G1868" i="1"/>
  <c r="C1869" i="1"/>
  <c r="E1869" i="1"/>
  <c r="F1869" i="1"/>
  <c r="G1869" i="1"/>
  <c r="C1870" i="1"/>
  <c r="E1870" i="1"/>
  <c r="F1870" i="1"/>
  <c r="G1870" i="1"/>
  <c r="C1871" i="1"/>
  <c r="E1871" i="1"/>
  <c r="F1871" i="1"/>
  <c r="G1871" i="1"/>
  <c r="C1872" i="1"/>
  <c r="E1872" i="1"/>
  <c r="F1872" i="1"/>
  <c r="G1872" i="1"/>
  <c r="C1873" i="1"/>
  <c r="E1873" i="1"/>
  <c r="F1873" i="1"/>
  <c r="G1873" i="1"/>
  <c r="C1874" i="1"/>
  <c r="E1874" i="1"/>
  <c r="F1874" i="1"/>
  <c r="G1874" i="1"/>
  <c r="C1875" i="1"/>
  <c r="E1875" i="1"/>
  <c r="F1875" i="1"/>
  <c r="G1875" i="1"/>
  <c r="C1876" i="1"/>
  <c r="E1876" i="1"/>
  <c r="F1876" i="1"/>
  <c r="G1876" i="1"/>
  <c r="C1877" i="1"/>
  <c r="E1877" i="1"/>
  <c r="F1877" i="1"/>
  <c r="G1877" i="1"/>
  <c r="C1878" i="1"/>
  <c r="E1878" i="1"/>
  <c r="F1878" i="1"/>
  <c r="G1878" i="1"/>
  <c r="C1879" i="1"/>
  <c r="E1879" i="1"/>
  <c r="F1879" i="1"/>
  <c r="G1879" i="1"/>
  <c r="C1880" i="1"/>
  <c r="E1880" i="1"/>
  <c r="F1880" i="1"/>
  <c r="G1880" i="1"/>
  <c r="C1881" i="1"/>
  <c r="E1881" i="1"/>
  <c r="F1881" i="1"/>
  <c r="G1881" i="1"/>
  <c r="C1882" i="1"/>
  <c r="E1882" i="1"/>
  <c r="F1882" i="1"/>
  <c r="G1882" i="1"/>
  <c r="C1883" i="1"/>
  <c r="E1883" i="1"/>
  <c r="F1883" i="1"/>
  <c r="G1883" i="1"/>
  <c r="C1884" i="1"/>
  <c r="E1884" i="1"/>
  <c r="F1884" i="1"/>
  <c r="G1884" i="1"/>
  <c r="C1885" i="1"/>
  <c r="E1885" i="1"/>
  <c r="F1885" i="1"/>
  <c r="G1885" i="1"/>
  <c r="C1886" i="1"/>
  <c r="E1886" i="1"/>
  <c r="F1886" i="1"/>
  <c r="G1886" i="1"/>
  <c r="C1887" i="1"/>
  <c r="E1887" i="1"/>
  <c r="F1887" i="1"/>
  <c r="G1887" i="1"/>
  <c r="C1888" i="1"/>
  <c r="E1888" i="1"/>
  <c r="F1888" i="1"/>
  <c r="G1888" i="1"/>
  <c r="C1889" i="1"/>
  <c r="E1889" i="1"/>
  <c r="F1889" i="1"/>
  <c r="G1889" i="1"/>
  <c r="C1890" i="1"/>
  <c r="E1890" i="1"/>
  <c r="F1890" i="1"/>
  <c r="G1890" i="1"/>
  <c r="C1891" i="1"/>
  <c r="E1891" i="1"/>
  <c r="F1891" i="1"/>
  <c r="G1891" i="1"/>
  <c r="C1892" i="1"/>
  <c r="E1892" i="1"/>
  <c r="F1892" i="1"/>
  <c r="G1892" i="1"/>
  <c r="C1893" i="1"/>
  <c r="E1893" i="1"/>
  <c r="F1893" i="1"/>
  <c r="G1893" i="1"/>
  <c r="C1894" i="1"/>
  <c r="E1894" i="1"/>
  <c r="F1894" i="1"/>
  <c r="G1894" i="1"/>
  <c r="C1895" i="1"/>
  <c r="E1895" i="1"/>
  <c r="F1895" i="1"/>
  <c r="G1895" i="1"/>
  <c r="C1896" i="1"/>
  <c r="E1896" i="1"/>
  <c r="F1896" i="1"/>
  <c r="G1896" i="1"/>
  <c r="C1897" i="1"/>
  <c r="E1897" i="1"/>
  <c r="F1897" i="1"/>
  <c r="G1897" i="1"/>
  <c r="C1898" i="1"/>
  <c r="E1898" i="1"/>
  <c r="F1898" i="1"/>
  <c r="G1898" i="1"/>
  <c r="C1899" i="1"/>
  <c r="E1899" i="1"/>
  <c r="F1899" i="1"/>
  <c r="G1899" i="1"/>
  <c r="C1900" i="1"/>
  <c r="E1900" i="1"/>
  <c r="F1900" i="1"/>
  <c r="G1900" i="1"/>
  <c r="C1901" i="1"/>
  <c r="E1901" i="1"/>
  <c r="F1901" i="1"/>
  <c r="G1901" i="1"/>
  <c r="C1902" i="1"/>
  <c r="E1902" i="1"/>
  <c r="F1902" i="1"/>
  <c r="G1902" i="1"/>
  <c r="C1903" i="1"/>
  <c r="E1903" i="1"/>
  <c r="F1903" i="1"/>
  <c r="G1903" i="1"/>
  <c r="C1904" i="1"/>
  <c r="E1904" i="1"/>
  <c r="F1904" i="1"/>
  <c r="G1904" i="1"/>
  <c r="C1905" i="1"/>
  <c r="E1905" i="1"/>
  <c r="F1905" i="1"/>
  <c r="G1905" i="1"/>
  <c r="C1906" i="1"/>
  <c r="E1906" i="1"/>
  <c r="F1906" i="1"/>
  <c r="G1906" i="1"/>
  <c r="C1907" i="1"/>
  <c r="E1907" i="1"/>
  <c r="F1907" i="1"/>
  <c r="G1907" i="1"/>
  <c r="C1908" i="1"/>
  <c r="E1908" i="1"/>
  <c r="F1908" i="1"/>
  <c r="G1908" i="1"/>
  <c r="C1909" i="1"/>
  <c r="E1909" i="1"/>
  <c r="F1909" i="1"/>
  <c r="G1909" i="1"/>
  <c r="C1910" i="1"/>
  <c r="E1910" i="1"/>
  <c r="F1910" i="1"/>
  <c r="G1910" i="1"/>
  <c r="C1911" i="1"/>
  <c r="E1911" i="1"/>
  <c r="F1911" i="1"/>
  <c r="G1911" i="1"/>
  <c r="C1912" i="1"/>
  <c r="E1912" i="1"/>
  <c r="F1912" i="1"/>
  <c r="G1912" i="1"/>
  <c r="C1913" i="1"/>
  <c r="E1913" i="1"/>
  <c r="F1913" i="1"/>
  <c r="G1913" i="1"/>
  <c r="C1914" i="1"/>
  <c r="E1914" i="1"/>
  <c r="F1914" i="1"/>
  <c r="G1914" i="1"/>
  <c r="H2" i="29"/>
  <c r="I2" i="29" s="1"/>
  <c r="H3" i="29"/>
  <c r="I3" i="29" s="1"/>
  <c r="H4" i="29"/>
  <c r="I4" i="29" s="1"/>
  <c r="H5" i="29"/>
  <c r="I5" i="29" s="1"/>
  <c r="H6" i="29"/>
  <c r="I6" i="29" s="1"/>
  <c r="H7" i="29"/>
  <c r="I7" i="29" s="1"/>
  <c r="H8" i="29"/>
  <c r="I8" i="29" s="1"/>
  <c r="H9" i="29"/>
  <c r="I9" i="29" s="1"/>
  <c r="H10" i="29"/>
  <c r="I10" i="29" s="1"/>
  <c r="H11" i="29"/>
  <c r="I11" i="29" s="1"/>
  <c r="H12" i="29"/>
  <c r="I12" i="29" s="1"/>
  <c r="H13" i="29"/>
  <c r="I13" i="29" s="1"/>
  <c r="H14" i="29"/>
  <c r="I14" i="29" s="1"/>
  <c r="H15" i="29"/>
  <c r="I15" i="29" s="1"/>
  <c r="H16" i="29"/>
  <c r="I16" i="29" s="1"/>
  <c r="H17" i="29"/>
  <c r="I17" i="29" s="1"/>
  <c r="H18" i="29"/>
  <c r="I18" i="29" s="1"/>
  <c r="H19" i="29"/>
  <c r="I19" i="29" s="1"/>
  <c r="H20" i="29"/>
  <c r="I20" i="29" s="1"/>
  <c r="H21" i="29"/>
  <c r="I21" i="29" s="1"/>
  <c r="H22" i="29"/>
  <c r="I22" i="29" s="1"/>
  <c r="H23" i="29"/>
  <c r="I23" i="29" s="1"/>
  <c r="H24" i="29"/>
  <c r="I24" i="29" s="1"/>
  <c r="H25" i="29"/>
  <c r="I25" i="29" s="1"/>
  <c r="H26" i="29"/>
  <c r="I26" i="29" s="1"/>
  <c r="H27" i="29"/>
  <c r="I27" i="29" s="1"/>
  <c r="H28" i="29"/>
  <c r="I28" i="29" s="1"/>
  <c r="H29" i="29"/>
  <c r="I29" i="29" s="1"/>
  <c r="H30" i="29"/>
  <c r="I30" i="29" s="1"/>
  <c r="H31" i="29"/>
  <c r="I31" i="29" s="1"/>
  <c r="H32" i="29"/>
  <c r="I32" i="29" s="1"/>
  <c r="H33" i="29"/>
  <c r="I33" i="29" s="1"/>
  <c r="H34" i="29"/>
  <c r="I34" i="29" s="1"/>
  <c r="H35" i="29"/>
  <c r="I35" i="29" s="1"/>
  <c r="H36" i="29"/>
  <c r="I36" i="29" s="1"/>
  <c r="H37" i="29"/>
  <c r="I37" i="29" s="1"/>
  <c r="H38" i="29"/>
  <c r="I38" i="29" s="1"/>
  <c r="H39" i="29"/>
  <c r="I39" i="29" s="1"/>
  <c r="H40" i="29"/>
  <c r="I40" i="29" s="1"/>
  <c r="H41" i="29"/>
  <c r="I41" i="29" s="1"/>
  <c r="H42" i="29"/>
  <c r="I42" i="29" s="1"/>
  <c r="H43" i="29"/>
  <c r="I43" i="29" s="1"/>
  <c r="H44" i="29"/>
  <c r="I44" i="29" s="1"/>
  <c r="H45" i="29"/>
  <c r="I45" i="29" s="1"/>
  <c r="H46" i="29"/>
  <c r="I46" i="29" s="1"/>
  <c r="H47" i="29"/>
  <c r="I47" i="29" s="1"/>
  <c r="H48" i="29"/>
  <c r="I48" i="29" s="1"/>
  <c r="H49" i="29"/>
  <c r="I49" i="29" s="1"/>
  <c r="H50" i="29"/>
  <c r="I50" i="29" s="1"/>
  <c r="H51" i="29"/>
  <c r="I51" i="29" s="1"/>
  <c r="H52" i="29"/>
  <c r="I52" i="29" s="1"/>
  <c r="H53" i="29"/>
  <c r="I53" i="29" s="1"/>
  <c r="H54" i="29"/>
  <c r="I54" i="29" s="1"/>
  <c r="H55" i="29"/>
  <c r="I55" i="29" s="1"/>
  <c r="H56" i="29"/>
  <c r="I56" i="29" s="1"/>
  <c r="H57" i="29"/>
  <c r="I57" i="29" s="1"/>
  <c r="H58" i="29"/>
  <c r="I58" i="29" s="1"/>
  <c r="H59" i="29"/>
  <c r="I59" i="29" s="1"/>
  <c r="H60" i="29"/>
  <c r="I60" i="29" s="1"/>
  <c r="H61" i="29"/>
  <c r="I61" i="29" s="1"/>
  <c r="H62" i="29"/>
  <c r="I62" i="29" s="1"/>
  <c r="H63" i="29"/>
  <c r="I63" i="29" s="1"/>
  <c r="H64" i="29"/>
  <c r="I64" i="29" s="1"/>
  <c r="H65" i="29"/>
  <c r="I65" i="29" s="1"/>
  <c r="H66" i="29"/>
  <c r="I66" i="29" s="1"/>
  <c r="H67" i="29"/>
  <c r="I67" i="29" s="1"/>
  <c r="H68" i="29"/>
  <c r="I68" i="29" s="1"/>
  <c r="H69" i="29"/>
  <c r="I69" i="29" s="1"/>
  <c r="H70" i="29"/>
  <c r="I70" i="29" s="1"/>
  <c r="H71" i="29"/>
  <c r="I71" i="29" s="1"/>
  <c r="H72" i="29"/>
  <c r="I72" i="29" s="1"/>
  <c r="H73" i="29"/>
  <c r="I73" i="29" s="1"/>
  <c r="H74" i="29"/>
  <c r="I74" i="29" s="1"/>
  <c r="H75" i="29"/>
  <c r="I75" i="29" s="1"/>
  <c r="H76" i="29"/>
  <c r="I76" i="29" s="1"/>
  <c r="H77" i="29"/>
  <c r="I77" i="29" s="1"/>
  <c r="H78" i="29"/>
  <c r="I78" i="29" s="1"/>
  <c r="H79" i="29"/>
  <c r="I79" i="29" s="1"/>
  <c r="H80" i="29"/>
  <c r="I80" i="29" s="1"/>
  <c r="H81" i="29"/>
  <c r="I81" i="29" s="1"/>
  <c r="H82" i="29"/>
  <c r="I82" i="29" s="1"/>
  <c r="H83" i="29"/>
  <c r="I83" i="29" s="1"/>
  <c r="H84" i="29"/>
  <c r="I84" i="29" s="1"/>
  <c r="H85" i="29"/>
  <c r="I85" i="29" s="1"/>
  <c r="H86" i="29"/>
  <c r="I86" i="29" s="1"/>
  <c r="H87" i="29"/>
  <c r="I87" i="29" s="1"/>
  <c r="H88" i="29"/>
  <c r="I88" i="29" s="1"/>
  <c r="H89" i="29"/>
  <c r="I89" i="29" s="1"/>
  <c r="H90" i="29"/>
  <c r="I90" i="29" s="1"/>
  <c r="H91" i="29"/>
  <c r="I91" i="29" s="1"/>
  <c r="H92" i="29"/>
  <c r="I92" i="29" s="1"/>
  <c r="H93" i="29"/>
  <c r="I93" i="29" s="1"/>
  <c r="H94" i="29"/>
  <c r="I94" i="29" s="1"/>
  <c r="H95" i="29"/>
  <c r="I95" i="29" s="1"/>
  <c r="H96" i="29"/>
  <c r="I96" i="29" s="1"/>
  <c r="H97" i="29"/>
  <c r="I97" i="29" s="1"/>
  <c r="H98" i="29"/>
  <c r="I98" i="29" s="1"/>
  <c r="H99" i="29"/>
  <c r="I99" i="29" s="1"/>
  <c r="H100" i="29"/>
  <c r="I100" i="29" s="1"/>
  <c r="H101" i="29"/>
  <c r="I101" i="29" s="1"/>
  <c r="H102" i="29"/>
  <c r="I102" i="29" s="1"/>
  <c r="H103" i="29"/>
  <c r="I103" i="29" s="1"/>
  <c r="H104" i="29"/>
  <c r="I104" i="29" s="1"/>
  <c r="H105" i="29"/>
  <c r="I105" i="29" s="1"/>
  <c r="H106" i="29"/>
  <c r="I106" i="29" s="1"/>
  <c r="H107" i="29"/>
  <c r="I107" i="29" s="1"/>
  <c r="H108" i="29"/>
  <c r="I108" i="29" s="1"/>
  <c r="H109" i="29"/>
  <c r="I109" i="29" s="1"/>
  <c r="H110" i="29"/>
  <c r="I110" i="29" s="1"/>
  <c r="H111" i="29"/>
  <c r="I111" i="29" s="1"/>
  <c r="H112" i="29"/>
  <c r="I112" i="29" s="1"/>
  <c r="H113" i="29"/>
  <c r="I113" i="29" s="1"/>
  <c r="H114" i="29"/>
  <c r="I114" i="29" s="1"/>
  <c r="H115" i="29"/>
  <c r="I115" i="29" s="1"/>
  <c r="H116" i="29"/>
  <c r="I116" i="29" s="1"/>
  <c r="H117" i="29"/>
  <c r="I117" i="29" s="1"/>
  <c r="H118" i="29"/>
  <c r="I118" i="29" s="1"/>
  <c r="H119" i="29"/>
  <c r="I119" i="29" s="1"/>
  <c r="H120" i="29"/>
  <c r="I120" i="29" s="1"/>
  <c r="H121" i="29"/>
  <c r="I121" i="29" s="1"/>
  <c r="H122" i="29"/>
  <c r="I122" i="29" s="1"/>
  <c r="H123" i="29"/>
  <c r="I123" i="29" s="1"/>
  <c r="H124" i="29"/>
  <c r="I124" i="29" s="1"/>
  <c r="H125" i="29"/>
  <c r="I125" i="29" s="1"/>
  <c r="H126" i="29"/>
  <c r="I126" i="29" s="1"/>
  <c r="H127" i="29"/>
  <c r="I127" i="29" s="1"/>
  <c r="H128" i="29"/>
  <c r="I128" i="29" s="1"/>
  <c r="H129" i="29"/>
  <c r="I129" i="29" s="1"/>
  <c r="H130" i="29"/>
  <c r="I130" i="29" s="1"/>
  <c r="H131" i="29"/>
  <c r="I131" i="29" s="1"/>
  <c r="H132" i="29"/>
  <c r="I132" i="29" s="1"/>
  <c r="H133" i="29"/>
  <c r="I133" i="29" s="1"/>
  <c r="H134" i="29"/>
  <c r="I134" i="29" s="1"/>
  <c r="H135" i="29"/>
  <c r="I135" i="29" s="1"/>
  <c r="H136" i="29"/>
  <c r="I136" i="29" s="1"/>
  <c r="H137" i="29"/>
  <c r="I137" i="29" s="1"/>
  <c r="H138" i="29"/>
  <c r="I138" i="29" s="1"/>
  <c r="H139" i="29"/>
  <c r="I139" i="29" s="1"/>
  <c r="H140" i="29"/>
  <c r="I140" i="29" s="1"/>
  <c r="H141" i="29"/>
  <c r="I141" i="29" s="1"/>
  <c r="H142" i="29"/>
  <c r="I142" i="29" s="1"/>
  <c r="H143" i="29"/>
  <c r="I143" i="29" s="1"/>
  <c r="H144" i="29"/>
  <c r="I144" i="29" s="1"/>
  <c r="H145" i="29"/>
  <c r="I145" i="29" s="1"/>
  <c r="H146" i="29"/>
  <c r="I146" i="29" s="1"/>
  <c r="H147" i="29"/>
  <c r="I147" i="29" s="1"/>
  <c r="H148" i="29"/>
  <c r="I148" i="29" s="1"/>
  <c r="H149" i="29"/>
  <c r="I149" i="29" s="1"/>
  <c r="H150" i="29"/>
  <c r="I150" i="29" s="1"/>
  <c r="H151" i="29"/>
  <c r="I151" i="29" s="1"/>
  <c r="H152" i="29"/>
  <c r="I152" i="29" s="1"/>
  <c r="H153" i="29"/>
  <c r="I153" i="29" s="1"/>
  <c r="H154" i="29"/>
  <c r="I154" i="29" s="1"/>
  <c r="H155" i="29"/>
  <c r="I155" i="29" s="1"/>
  <c r="H156" i="29"/>
  <c r="I156" i="29" s="1"/>
  <c r="H157" i="29"/>
  <c r="I157" i="29" s="1"/>
  <c r="H158" i="29"/>
  <c r="I158" i="29" s="1"/>
  <c r="H159" i="29"/>
  <c r="I159" i="29" s="1"/>
  <c r="H160" i="29"/>
  <c r="I160" i="29" s="1"/>
  <c r="H161" i="29"/>
  <c r="I161" i="29" s="1"/>
  <c r="H162" i="29"/>
  <c r="I162" i="29" s="1"/>
  <c r="H163" i="29"/>
  <c r="I163" i="29" s="1"/>
  <c r="H164" i="29"/>
  <c r="I164" i="29" s="1"/>
  <c r="H165" i="29"/>
  <c r="I165" i="29" s="1"/>
  <c r="H166" i="29"/>
  <c r="I166" i="29" s="1"/>
  <c r="H167" i="29"/>
  <c r="I167" i="29" s="1"/>
  <c r="H168" i="29"/>
  <c r="I168" i="29" s="1"/>
  <c r="H169" i="29"/>
  <c r="I169" i="29" s="1"/>
  <c r="H170" i="29"/>
  <c r="I170" i="29" s="1"/>
  <c r="H171" i="29"/>
  <c r="I171" i="29" s="1"/>
  <c r="H172" i="29"/>
  <c r="I172" i="29" s="1"/>
  <c r="H173" i="29"/>
  <c r="I173" i="29" s="1"/>
  <c r="H174" i="29"/>
  <c r="I174" i="29" s="1"/>
  <c r="H175" i="29"/>
  <c r="I175" i="29" s="1"/>
  <c r="H176" i="29"/>
  <c r="I176" i="29" s="1"/>
  <c r="H177" i="29"/>
  <c r="I177" i="29" s="1"/>
  <c r="H178" i="29"/>
  <c r="I178" i="29" s="1"/>
  <c r="H179" i="29"/>
  <c r="I179" i="29" s="1"/>
  <c r="H180" i="29"/>
  <c r="I180" i="29" s="1"/>
  <c r="H181" i="29"/>
  <c r="I181" i="29" s="1"/>
  <c r="H182" i="29"/>
  <c r="I182" i="29" s="1"/>
  <c r="H183" i="29"/>
  <c r="I183" i="29" s="1"/>
  <c r="H184" i="29"/>
  <c r="I184" i="29" s="1"/>
  <c r="H185" i="29"/>
  <c r="I185" i="29" s="1"/>
  <c r="H186" i="29"/>
  <c r="I186" i="29" s="1"/>
  <c r="H187" i="29"/>
  <c r="I187" i="29" s="1"/>
  <c r="H188" i="29"/>
  <c r="I188" i="29" s="1"/>
  <c r="H189" i="29"/>
  <c r="I189" i="29" s="1"/>
  <c r="H190" i="29"/>
  <c r="I190" i="29" s="1"/>
  <c r="H191" i="29"/>
  <c r="I191" i="29" s="1"/>
  <c r="H192" i="29"/>
  <c r="I192" i="29" s="1"/>
  <c r="H193" i="29"/>
  <c r="I193" i="29" s="1"/>
  <c r="H194" i="29"/>
  <c r="I194" i="29" s="1"/>
  <c r="H195" i="29"/>
  <c r="I195" i="29" s="1"/>
  <c r="H196" i="29"/>
  <c r="I196" i="29" s="1"/>
  <c r="H197" i="29"/>
  <c r="I197" i="29" s="1"/>
  <c r="H198" i="29"/>
  <c r="I198" i="29" s="1"/>
  <c r="H199" i="29"/>
  <c r="I199" i="29" s="1"/>
  <c r="H200" i="29"/>
  <c r="I200" i="29" s="1"/>
  <c r="H201" i="29"/>
  <c r="I201" i="29" s="1"/>
  <c r="H202" i="29"/>
  <c r="I202" i="29" s="1"/>
  <c r="H203" i="29"/>
  <c r="I203" i="29" s="1"/>
  <c r="H204" i="29"/>
  <c r="I204" i="29" s="1"/>
  <c r="H205" i="29"/>
  <c r="I205" i="29" s="1"/>
  <c r="H206" i="29"/>
  <c r="I206" i="29" s="1"/>
  <c r="H207" i="29"/>
  <c r="I207" i="29" s="1"/>
  <c r="H208" i="29"/>
  <c r="I208" i="29" s="1"/>
  <c r="H209" i="29"/>
  <c r="I209" i="29" s="1"/>
  <c r="H210" i="29"/>
  <c r="I210" i="29" s="1"/>
  <c r="H211" i="29"/>
  <c r="I211" i="29" s="1"/>
  <c r="H212" i="29"/>
  <c r="I212" i="29" s="1"/>
  <c r="H213" i="29"/>
  <c r="I213" i="29" s="1"/>
  <c r="H214" i="29"/>
  <c r="I214" i="29" s="1"/>
  <c r="H215" i="29"/>
  <c r="I215" i="29" s="1"/>
  <c r="H216" i="29"/>
  <c r="I216" i="29" s="1"/>
  <c r="H217" i="29"/>
  <c r="I217" i="29" s="1"/>
  <c r="H218" i="29"/>
  <c r="I218" i="29" s="1"/>
  <c r="H219" i="29"/>
  <c r="I219" i="29" s="1"/>
  <c r="H220" i="29"/>
  <c r="I220" i="29" s="1"/>
  <c r="H221" i="29"/>
  <c r="I221" i="29" s="1"/>
  <c r="H222" i="29"/>
  <c r="I222" i="29" s="1"/>
  <c r="H223" i="29"/>
  <c r="I223" i="29" s="1"/>
  <c r="H224" i="29"/>
  <c r="I224" i="29" s="1"/>
  <c r="H225" i="29"/>
  <c r="I225" i="29" s="1"/>
  <c r="H226" i="29"/>
  <c r="I226" i="29" s="1"/>
  <c r="H227" i="29"/>
  <c r="I227" i="29" s="1"/>
  <c r="H228" i="29"/>
  <c r="I228" i="29" s="1"/>
  <c r="H229" i="29"/>
  <c r="I229" i="29" s="1"/>
  <c r="H230" i="29"/>
  <c r="I230" i="29" s="1"/>
  <c r="H231" i="29"/>
  <c r="I231" i="29" s="1"/>
  <c r="H232" i="29"/>
  <c r="I232" i="29" s="1"/>
  <c r="H233" i="29"/>
  <c r="I233" i="29" s="1"/>
  <c r="H234" i="29"/>
  <c r="I234" i="29" s="1"/>
  <c r="H235" i="29"/>
  <c r="I235" i="29" s="1"/>
  <c r="H236" i="29"/>
  <c r="I236" i="29" s="1"/>
  <c r="H237" i="29"/>
  <c r="I237" i="29" s="1"/>
  <c r="H238" i="29"/>
  <c r="I238" i="29" s="1"/>
  <c r="H239" i="29"/>
  <c r="I239" i="29" s="1"/>
  <c r="H240" i="29"/>
  <c r="I240" i="29" s="1"/>
  <c r="H241" i="29"/>
  <c r="I241" i="29" s="1"/>
  <c r="H242" i="29"/>
  <c r="I242" i="29" s="1"/>
  <c r="H243" i="29"/>
  <c r="I243" i="29" s="1"/>
  <c r="H244" i="29"/>
  <c r="I244" i="29" s="1"/>
  <c r="H245" i="29"/>
  <c r="I245" i="29" s="1"/>
  <c r="H246" i="29"/>
  <c r="I246" i="29" s="1"/>
  <c r="H247" i="29"/>
  <c r="I247" i="29" s="1"/>
  <c r="H248" i="29"/>
  <c r="I248" i="29" s="1"/>
  <c r="H249" i="29"/>
  <c r="I249" i="29" s="1"/>
  <c r="H250" i="29"/>
  <c r="I250" i="29" s="1"/>
  <c r="H251" i="29"/>
  <c r="I251" i="29" s="1"/>
  <c r="H252" i="29"/>
  <c r="I252" i="29" s="1"/>
  <c r="H253" i="29"/>
  <c r="I253" i="29" s="1"/>
  <c r="H254" i="29"/>
  <c r="I254" i="29" s="1"/>
  <c r="H255" i="29"/>
  <c r="I255" i="29" s="1"/>
  <c r="H256" i="29"/>
  <c r="I256" i="29" s="1"/>
  <c r="H257" i="29"/>
  <c r="I257" i="29" s="1"/>
  <c r="H258" i="29"/>
  <c r="I258" i="29" s="1"/>
  <c r="H259" i="29"/>
  <c r="I259" i="29" s="1"/>
  <c r="H260" i="29"/>
  <c r="I260" i="29" s="1"/>
  <c r="H261" i="29"/>
  <c r="I261" i="29" s="1"/>
  <c r="H262" i="29"/>
  <c r="I262" i="29" s="1"/>
  <c r="H263" i="29"/>
  <c r="I263" i="29" s="1"/>
  <c r="H264" i="29"/>
  <c r="I264" i="29" s="1"/>
  <c r="H265" i="29"/>
  <c r="I265" i="29" s="1"/>
  <c r="H266" i="29"/>
  <c r="I266" i="29" s="1"/>
  <c r="H267" i="29"/>
  <c r="I267" i="29" s="1"/>
  <c r="H268" i="29"/>
  <c r="I268" i="29" s="1"/>
  <c r="H269" i="29"/>
  <c r="I269" i="29" s="1"/>
  <c r="H270" i="29"/>
  <c r="I270" i="29" s="1"/>
  <c r="H271" i="29"/>
  <c r="I271" i="29" s="1"/>
  <c r="H272" i="29"/>
  <c r="I272" i="29" s="1"/>
  <c r="H273" i="29"/>
  <c r="I273" i="29" s="1"/>
  <c r="H274" i="29"/>
  <c r="I274" i="29" s="1"/>
  <c r="H275" i="29"/>
  <c r="I275" i="29" s="1"/>
  <c r="H276" i="29"/>
  <c r="I276" i="29" s="1"/>
  <c r="H277" i="29"/>
  <c r="I277" i="29" s="1"/>
  <c r="H278" i="29"/>
  <c r="I278" i="29" s="1"/>
  <c r="H279" i="29"/>
  <c r="I279" i="29" s="1"/>
  <c r="H280" i="29"/>
  <c r="I280" i="29" s="1"/>
  <c r="H281" i="29"/>
  <c r="I281" i="29" s="1"/>
  <c r="H282" i="29"/>
  <c r="I282" i="29" s="1"/>
  <c r="H283" i="29"/>
  <c r="I283" i="29" s="1"/>
  <c r="H284" i="29"/>
  <c r="I284" i="29" s="1"/>
  <c r="H285" i="29"/>
  <c r="I285" i="29" s="1"/>
  <c r="H286" i="29"/>
  <c r="I286" i="29" s="1"/>
  <c r="H287" i="29"/>
  <c r="I287" i="29" s="1"/>
  <c r="H288" i="29"/>
  <c r="I288" i="29" s="1"/>
  <c r="H289" i="29"/>
  <c r="I289" i="29" s="1"/>
  <c r="H290" i="29"/>
  <c r="I290" i="29" s="1"/>
  <c r="H291" i="29"/>
  <c r="I291" i="29" s="1"/>
  <c r="H292" i="29"/>
  <c r="I292" i="29" s="1"/>
  <c r="H293" i="29"/>
  <c r="I293" i="29" s="1"/>
  <c r="H294" i="29"/>
  <c r="I294" i="29" s="1"/>
  <c r="H295" i="29"/>
  <c r="I295" i="29" s="1"/>
  <c r="H296" i="29"/>
  <c r="I296" i="29" s="1"/>
  <c r="H297" i="29"/>
  <c r="I297" i="29" s="1"/>
  <c r="H298" i="29"/>
  <c r="I298" i="29" s="1"/>
  <c r="H299" i="29"/>
  <c r="I299" i="29" s="1"/>
  <c r="H300" i="29"/>
  <c r="I300" i="29" s="1"/>
  <c r="H301" i="29"/>
  <c r="I301" i="29" s="1"/>
  <c r="H302" i="29"/>
  <c r="I302" i="29" s="1"/>
  <c r="H303" i="29"/>
  <c r="I303" i="29" s="1"/>
  <c r="H304" i="29"/>
  <c r="I304" i="29" s="1"/>
  <c r="H305" i="29"/>
  <c r="I305" i="29" s="1"/>
  <c r="H306" i="29"/>
  <c r="I306" i="29" s="1"/>
  <c r="H307" i="29"/>
  <c r="I307" i="29" s="1"/>
  <c r="H308" i="29"/>
  <c r="I308" i="29" s="1"/>
  <c r="H309" i="29"/>
  <c r="I309" i="29" s="1"/>
  <c r="H310" i="29"/>
  <c r="I310" i="29" s="1"/>
  <c r="H311" i="29"/>
  <c r="I311" i="29" s="1"/>
  <c r="H312" i="29"/>
  <c r="I312" i="29" s="1"/>
  <c r="H313" i="29"/>
  <c r="I313" i="29" s="1"/>
  <c r="H314" i="29"/>
  <c r="I314" i="29" s="1"/>
  <c r="H315" i="29"/>
  <c r="I315" i="29" s="1"/>
  <c r="H316" i="29"/>
  <c r="I316" i="29" s="1"/>
  <c r="H317" i="29"/>
  <c r="I317" i="29" s="1"/>
  <c r="H318" i="29"/>
  <c r="I318" i="29" s="1"/>
  <c r="H319" i="29"/>
  <c r="I319" i="29" s="1"/>
  <c r="H320" i="29"/>
  <c r="I320" i="29" s="1"/>
  <c r="H321" i="29"/>
  <c r="I321" i="29" s="1"/>
  <c r="H322" i="29"/>
  <c r="I322" i="29" s="1"/>
  <c r="H323" i="29"/>
  <c r="I323" i="29" s="1"/>
  <c r="H324" i="29"/>
  <c r="I324" i="29" s="1"/>
  <c r="H325" i="29"/>
  <c r="I325" i="29" s="1"/>
  <c r="H326" i="29"/>
  <c r="I326" i="29" s="1"/>
  <c r="H327" i="29"/>
  <c r="I327" i="29" s="1"/>
  <c r="H328" i="29"/>
  <c r="I328" i="29" s="1"/>
  <c r="H329" i="29"/>
  <c r="I329" i="29" s="1"/>
  <c r="H330" i="29"/>
  <c r="I330" i="29" s="1"/>
  <c r="H331" i="29"/>
  <c r="I331" i="29" s="1"/>
  <c r="H332" i="29"/>
  <c r="I332" i="29" s="1"/>
  <c r="H333" i="29"/>
  <c r="I333" i="29" s="1"/>
  <c r="H334" i="29"/>
  <c r="I334" i="29" s="1"/>
  <c r="H335" i="29"/>
  <c r="I335" i="29" s="1"/>
  <c r="H336" i="29"/>
  <c r="I336" i="29" s="1"/>
  <c r="H337" i="29"/>
  <c r="I337" i="29" s="1"/>
  <c r="H338" i="29"/>
  <c r="I338" i="29" s="1"/>
  <c r="H339" i="29"/>
  <c r="I339" i="29" s="1"/>
  <c r="H340" i="29"/>
  <c r="I340" i="29" s="1"/>
  <c r="H341" i="29"/>
  <c r="I341" i="29" s="1"/>
  <c r="H342" i="29"/>
  <c r="I342" i="29" s="1"/>
  <c r="H343" i="29"/>
  <c r="I343" i="29" s="1"/>
  <c r="H344" i="29"/>
  <c r="I344" i="29" s="1"/>
  <c r="H345" i="29"/>
  <c r="I345" i="29" s="1"/>
  <c r="H346" i="29"/>
  <c r="I346" i="29" s="1"/>
  <c r="H347" i="29"/>
  <c r="I347" i="29" s="1"/>
  <c r="H348" i="29"/>
  <c r="I348" i="29" s="1"/>
  <c r="H349" i="29"/>
  <c r="I349" i="29" s="1"/>
  <c r="H350" i="29"/>
  <c r="I350" i="29" s="1"/>
  <c r="H351" i="29"/>
  <c r="I351" i="29" s="1"/>
  <c r="H352" i="29"/>
  <c r="I352" i="29" s="1"/>
  <c r="H353" i="29"/>
  <c r="I353" i="29" s="1"/>
  <c r="H354" i="29"/>
  <c r="I354" i="29" s="1"/>
  <c r="H355" i="29"/>
  <c r="I355" i="29" s="1"/>
  <c r="H356" i="29"/>
  <c r="I356" i="29" s="1"/>
  <c r="H357" i="29"/>
  <c r="I357" i="29" s="1"/>
  <c r="H358" i="29"/>
  <c r="I358" i="29" s="1"/>
  <c r="H359" i="29"/>
  <c r="I359" i="29" s="1"/>
  <c r="H360" i="29"/>
  <c r="I360" i="29" s="1"/>
  <c r="H361" i="29"/>
  <c r="I361" i="29" s="1"/>
  <c r="H362" i="29"/>
  <c r="I362" i="29" s="1"/>
  <c r="H363" i="29"/>
  <c r="I363" i="29" s="1"/>
  <c r="H364" i="29"/>
  <c r="I364" i="29" s="1"/>
  <c r="H365" i="29"/>
  <c r="I365" i="29" s="1"/>
  <c r="H366" i="29"/>
  <c r="I366" i="29" s="1"/>
  <c r="H367" i="29"/>
  <c r="I367" i="29" s="1"/>
  <c r="H368" i="29"/>
  <c r="I368" i="29" s="1"/>
  <c r="H369" i="29"/>
  <c r="I369" i="29" s="1"/>
  <c r="H370" i="29"/>
  <c r="I370" i="29" s="1"/>
  <c r="H371" i="29"/>
  <c r="I371" i="29" s="1"/>
  <c r="H372" i="29"/>
  <c r="I372" i="29" s="1"/>
  <c r="H373" i="29"/>
  <c r="I373" i="29" s="1"/>
  <c r="H374" i="29"/>
  <c r="I374" i="29" s="1"/>
  <c r="H375" i="29"/>
  <c r="I375" i="29" s="1"/>
  <c r="H376" i="29"/>
  <c r="I376" i="29" s="1"/>
  <c r="H377" i="29"/>
  <c r="I377" i="29" s="1"/>
  <c r="H378" i="29"/>
  <c r="I378" i="29" s="1"/>
  <c r="H379" i="29"/>
  <c r="I379" i="29" s="1"/>
  <c r="H380" i="29"/>
  <c r="I380" i="29" s="1"/>
  <c r="H381" i="29"/>
  <c r="I381" i="29" s="1"/>
  <c r="H382" i="29"/>
  <c r="I382" i="29" s="1"/>
  <c r="H383" i="29"/>
  <c r="I383" i="29" s="1"/>
  <c r="H384" i="29"/>
  <c r="I384" i="29" s="1"/>
  <c r="H385" i="29"/>
  <c r="I385" i="29" s="1"/>
  <c r="H386" i="29"/>
  <c r="I386" i="29" s="1"/>
  <c r="H387" i="29"/>
  <c r="I387" i="29" s="1"/>
  <c r="H388" i="29"/>
  <c r="I388" i="29" s="1"/>
  <c r="H389" i="29"/>
  <c r="I389" i="29" s="1"/>
  <c r="H390" i="29"/>
  <c r="I390" i="29" s="1"/>
  <c r="H391" i="29"/>
  <c r="I391" i="29" s="1"/>
  <c r="H392" i="29"/>
  <c r="I392" i="29" s="1"/>
  <c r="H393" i="29"/>
  <c r="I393" i="29" s="1"/>
  <c r="H394" i="29"/>
  <c r="I394" i="29" s="1"/>
  <c r="H395" i="29"/>
  <c r="I395" i="29" s="1"/>
  <c r="H396" i="29"/>
  <c r="I396" i="29" s="1"/>
  <c r="H397" i="29"/>
  <c r="I397" i="29" s="1"/>
  <c r="H398" i="29"/>
  <c r="I398" i="29" s="1"/>
  <c r="H399" i="29"/>
  <c r="I399" i="29" s="1"/>
  <c r="H400" i="29"/>
  <c r="I400" i="29" s="1"/>
  <c r="H401" i="29"/>
  <c r="I401" i="29" s="1"/>
  <c r="H402" i="29"/>
  <c r="I402" i="29" s="1"/>
  <c r="H403" i="29"/>
  <c r="I403" i="29" s="1"/>
  <c r="H404" i="29"/>
  <c r="I404" i="29" s="1"/>
  <c r="H405" i="29"/>
  <c r="I405" i="29" s="1"/>
  <c r="H406" i="29"/>
  <c r="I406" i="29" s="1"/>
  <c r="H407" i="29"/>
  <c r="I407" i="29" s="1"/>
  <c r="H408" i="29"/>
  <c r="I408" i="29" s="1"/>
  <c r="H409" i="29"/>
  <c r="I409" i="29" s="1"/>
  <c r="H410" i="29"/>
  <c r="I410" i="29" s="1"/>
  <c r="H411" i="29"/>
  <c r="I411" i="29" s="1"/>
  <c r="H412" i="29"/>
  <c r="I412" i="29" s="1"/>
  <c r="H413" i="29"/>
  <c r="I413" i="29" s="1"/>
  <c r="H414" i="29"/>
  <c r="I414" i="29" s="1"/>
  <c r="H415" i="29"/>
  <c r="I415" i="29" s="1"/>
  <c r="H416" i="29"/>
  <c r="I416" i="29" s="1"/>
  <c r="H417" i="29"/>
  <c r="I417" i="29" s="1"/>
  <c r="H418" i="29"/>
  <c r="I418" i="29" s="1"/>
  <c r="H419" i="29"/>
  <c r="I419" i="29" s="1"/>
  <c r="H420" i="29"/>
  <c r="I420" i="29" s="1"/>
  <c r="H421" i="29"/>
  <c r="I421" i="29" s="1"/>
  <c r="H422" i="29"/>
  <c r="I422" i="29" s="1"/>
  <c r="H423" i="29"/>
  <c r="I423" i="29" s="1"/>
  <c r="H424" i="29"/>
  <c r="I424" i="29" s="1"/>
  <c r="H425" i="29"/>
  <c r="I425" i="29" s="1"/>
  <c r="H426" i="29"/>
  <c r="I426" i="29" s="1"/>
  <c r="H427" i="29"/>
  <c r="I427" i="29" s="1"/>
  <c r="H428" i="29"/>
  <c r="I428" i="29" s="1"/>
  <c r="H429" i="29"/>
  <c r="I429" i="29" s="1"/>
  <c r="H430" i="29"/>
  <c r="I430" i="29" s="1"/>
  <c r="H431" i="29"/>
  <c r="I431" i="29" s="1"/>
  <c r="H432" i="29"/>
  <c r="I432" i="29" s="1"/>
  <c r="H433" i="29"/>
  <c r="I433" i="29" s="1"/>
  <c r="H434" i="29"/>
  <c r="I434" i="29" s="1"/>
  <c r="H435" i="29"/>
  <c r="I435" i="29" s="1"/>
  <c r="H436" i="29"/>
  <c r="I436" i="29" s="1"/>
  <c r="H437" i="29"/>
  <c r="I437" i="29" s="1"/>
  <c r="H438" i="29"/>
  <c r="I438" i="29" s="1"/>
  <c r="H439" i="29"/>
  <c r="I439" i="29" s="1"/>
  <c r="H440" i="29"/>
  <c r="I440" i="29" s="1"/>
  <c r="H441" i="29"/>
  <c r="I441" i="29" s="1"/>
  <c r="H442" i="29"/>
  <c r="I442" i="29" s="1"/>
  <c r="H443" i="29"/>
  <c r="I443" i="29" s="1"/>
  <c r="H444" i="29"/>
  <c r="I444" i="29" s="1"/>
  <c r="H445" i="29"/>
  <c r="I445" i="29" s="1"/>
  <c r="H446" i="29"/>
  <c r="I446" i="29" s="1"/>
  <c r="H447" i="29"/>
  <c r="I447" i="29" s="1"/>
  <c r="H448" i="29"/>
  <c r="I448" i="29" s="1"/>
  <c r="H449" i="29"/>
  <c r="I449" i="29" s="1"/>
  <c r="H450" i="29"/>
  <c r="I450" i="29" s="1"/>
  <c r="H451" i="29"/>
  <c r="I451" i="29" s="1"/>
  <c r="H452" i="29"/>
  <c r="I452" i="29" s="1"/>
  <c r="H453" i="29"/>
  <c r="I453" i="29" s="1"/>
  <c r="H454" i="29"/>
  <c r="I454" i="29" s="1"/>
  <c r="H455" i="29"/>
  <c r="I455" i="29" s="1"/>
  <c r="H456" i="29"/>
  <c r="I456" i="29" s="1"/>
  <c r="H457" i="29"/>
  <c r="I457" i="29" s="1"/>
  <c r="H458" i="29"/>
  <c r="I458" i="29" s="1"/>
  <c r="H459" i="29"/>
  <c r="I459" i="29" s="1"/>
  <c r="H460" i="29"/>
  <c r="I460" i="29" s="1"/>
  <c r="H461" i="29"/>
  <c r="I461" i="29" s="1"/>
  <c r="H462" i="29"/>
  <c r="I462" i="29" s="1"/>
  <c r="H463" i="29"/>
  <c r="I463" i="29" s="1"/>
  <c r="H464" i="29"/>
  <c r="I464" i="29" s="1"/>
  <c r="H465" i="29"/>
  <c r="I465" i="29" s="1"/>
  <c r="H466" i="29"/>
  <c r="I466" i="29" s="1"/>
  <c r="H467" i="29"/>
  <c r="I467" i="29" s="1"/>
  <c r="H468" i="29"/>
  <c r="I468" i="29" s="1"/>
  <c r="H469" i="29"/>
  <c r="I469" i="29" s="1"/>
  <c r="H470" i="29"/>
  <c r="I470" i="29" s="1"/>
  <c r="H471" i="29"/>
  <c r="I471" i="29" s="1"/>
  <c r="H472" i="29"/>
  <c r="I472" i="29" s="1"/>
  <c r="H473" i="29"/>
  <c r="I473" i="29" s="1"/>
  <c r="H474" i="29"/>
  <c r="I474" i="29" s="1"/>
  <c r="H475" i="29"/>
  <c r="I475" i="29" s="1"/>
  <c r="H476" i="29"/>
  <c r="I476" i="29" s="1"/>
  <c r="H477" i="29"/>
  <c r="I477" i="29" s="1"/>
  <c r="H478" i="29"/>
  <c r="I478" i="29" s="1"/>
  <c r="H479" i="29"/>
  <c r="I479" i="29" s="1"/>
  <c r="H480" i="29"/>
  <c r="I480" i="29" s="1"/>
  <c r="H481" i="29"/>
  <c r="I481" i="29" s="1"/>
  <c r="H482" i="29"/>
  <c r="I482" i="29" s="1"/>
  <c r="H483" i="29"/>
  <c r="I483" i="29" s="1"/>
  <c r="H484" i="29"/>
  <c r="I484" i="29" s="1"/>
  <c r="H485" i="29"/>
  <c r="I485" i="29" s="1"/>
  <c r="H486" i="29"/>
  <c r="I486" i="29" s="1"/>
  <c r="H487" i="29"/>
  <c r="I487" i="29" s="1"/>
  <c r="H488" i="29"/>
  <c r="I488" i="29" s="1"/>
  <c r="H489" i="29"/>
  <c r="I489" i="29" s="1"/>
  <c r="H490" i="29"/>
  <c r="I490" i="29" s="1"/>
  <c r="H491" i="29"/>
  <c r="I491" i="29" s="1"/>
  <c r="H492" i="29"/>
  <c r="I492" i="29" s="1"/>
  <c r="H493" i="29"/>
  <c r="I493" i="29" s="1"/>
  <c r="H494" i="29"/>
  <c r="I494" i="29" s="1"/>
  <c r="H495" i="29"/>
  <c r="I495" i="29" s="1"/>
  <c r="H496" i="29"/>
  <c r="I496" i="29" s="1"/>
  <c r="H497" i="29"/>
  <c r="I497" i="29" s="1"/>
  <c r="H498" i="29"/>
  <c r="I498" i="29" s="1"/>
  <c r="H499" i="29"/>
  <c r="I499" i="29" s="1"/>
  <c r="H500" i="29"/>
  <c r="I500" i="29" s="1"/>
  <c r="H501" i="29"/>
  <c r="I501" i="29" s="1"/>
  <c r="H502" i="29"/>
  <c r="I502" i="29" s="1"/>
  <c r="H503" i="29"/>
  <c r="I503" i="29" s="1"/>
  <c r="H504" i="29"/>
  <c r="I504" i="29" s="1"/>
  <c r="H505" i="29"/>
  <c r="I505" i="29" s="1"/>
  <c r="H506" i="29"/>
  <c r="I506" i="29" s="1"/>
  <c r="H507" i="29"/>
  <c r="I507" i="29" s="1"/>
  <c r="H508" i="29"/>
  <c r="I508" i="29" s="1"/>
  <c r="H509" i="29"/>
  <c r="I509" i="29" s="1"/>
  <c r="H510" i="29"/>
  <c r="I510" i="29" s="1"/>
  <c r="H511" i="29"/>
  <c r="I511" i="29" s="1"/>
  <c r="H512" i="29"/>
  <c r="I512" i="29" s="1"/>
  <c r="H513" i="29"/>
  <c r="I513" i="29" s="1"/>
  <c r="H514" i="29"/>
  <c r="I514" i="29" s="1"/>
  <c r="H515" i="29"/>
  <c r="I515" i="29" s="1"/>
  <c r="H516" i="29"/>
  <c r="I516" i="29" s="1"/>
  <c r="H517" i="29"/>
  <c r="I517" i="29" s="1"/>
  <c r="H518" i="29"/>
  <c r="I518" i="29" s="1"/>
  <c r="H519" i="29"/>
  <c r="I519" i="29" s="1"/>
  <c r="H520" i="29"/>
  <c r="I520" i="29" s="1"/>
  <c r="H521" i="29"/>
  <c r="I521" i="29" s="1"/>
  <c r="H522" i="29"/>
  <c r="I522" i="29" s="1"/>
  <c r="H523" i="29"/>
  <c r="I523" i="29" s="1"/>
  <c r="H524" i="29"/>
  <c r="I524" i="29" s="1"/>
  <c r="H525" i="29"/>
  <c r="I525" i="29" s="1"/>
  <c r="H526" i="29"/>
  <c r="I526" i="29" s="1"/>
  <c r="H527" i="29"/>
  <c r="I527" i="29" s="1"/>
  <c r="H528" i="29"/>
  <c r="I528" i="29" s="1"/>
  <c r="H529" i="29"/>
  <c r="I529" i="29" s="1"/>
  <c r="H530" i="29"/>
  <c r="I530" i="29" s="1"/>
  <c r="H531" i="29"/>
  <c r="I531" i="29" s="1"/>
  <c r="H532" i="29"/>
  <c r="I532" i="29" s="1"/>
  <c r="H533" i="29"/>
  <c r="I533" i="29" s="1"/>
  <c r="H534" i="29"/>
  <c r="I534" i="29" s="1"/>
  <c r="H535" i="29"/>
  <c r="I535" i="29" s="1"/>
  <c r="H536" i="29"/>
  <c r="I536" i="29" s="1"/>
  <c r="H537" i="29"/>
  <c r="I537" i="29" s="1"/>
  <c r="H538" i="29"/>
  <c r="I538" i="29" s="1"/>
  <c r="H539" i="29"/>
  <c r="I539" i="29" s="1"/>
  <c r="H540" i="29"/>
  <c r="I540" i="29" s="1"/>
  <c r="H541" i="29"/>
  <c r="I541" i="29" s="1"/>
  <c r="H542" i="29"/>
  <c r="I542" i="29" s="1"/>
  <c r="H543" i="29"/>
  <c r="I543" i="29" s="1"/>
  <c r="H544" i="29"/>
  <c r="I544" i="29" s="1"/>
  <c r="H545" i="29"/>
  <c r="I545" i="29" s="1"/>
  <c r="H546" i="29"/>
  <c r="I546" i="29" s="1"/>
  <c r="H547" i="29"/>
  <c r="I547" i="29" s="1"/>
  <c r="H548" i="29"/>
  <c r="I548" i="29" s="1"/>
  <c r="H549" i="29"/>
  <c r="I549" i="29" s="1"/>
  <c r="H550" i="29"/>
  <c r="I550" i="29" s="1"/>
  <c r="H551" i="29"/>
  <c r="I551" i="29" s="1"/>
  <c r="H552" i="29"/>
  <c r="I552" i="29" s="1"/>
  <c r="H553" i="29"/>
  <c r="I553" i="29" s="1"/>
  <c r="H554" i="29"/>
  <c r="I554" i="29" s="1"/>
  <c r="H555" i="29"/>
  <c r="I555" i="29" s="1"/>
  <c r="H556" i="29"/>
  <c r="I556" i="29" s="1"/>
  <c r="H557" i="29"/>
  <c r="I557" i="29" s="1"/>
  <c r="H558" i="29"/>
  <c r="I558" i="29" s="1"/>
  <c r="H559" i="29"/>
  <c r="I559" i="29" s="1"/>
  <c r="H560" i="29"/>
  <c r="I560" i="29" s="1"/>
  <c r="H561" i="29"/>
  <c r="I561" i="29" s="1"/>
  <c r="H562" i="29"/>
  <c r="I562" i="29" s="1"/>
  <c r="H563" i="29"/>
  <c r="I563" i="29" s="1"/>
  <c r="H564" i="29"/>
  <c r="I564" i="29" s="1"/>
  <c r="H565" i="29"/>
  <c r="I565" i="29" s="1"/>
  <c r="H566" i="29"/>
  <c r="I566" i="29" s="1"/>
  <c r="H567" i="29"/>
  <c r="I567" i="29" s="1"/>
  <c r="H568" i="29"/>
  <c r="I568" i="29" s="1"/>
  <c r="H569" i="29"/>
  <c r="I569" i="29" s="1"/>
  <c r="H570" i="29"/>
  <c r="I570" i="29" s="1"/>
  <c r="H571" i="29"/>
  <c r="I571" i="29" s="1"/>
  <c r="H572" i="29"/>
  <c r="I572" i="29" s="1"/>
  <c r="H573" i="29"/>
  <c r="I573" i="29" s="1"/>
  <c r="H574" i="29"/>
  <c r="I574" i="29" s="1"/>
  <c r="H575" i="29"/>
  <c r="I575" i="29" s="1"/>
  <c r="H576" i="29"/>
  <c r="I576" i="29" s="1"/>
  <c r="H577" i="29"/>
  <c r="I577" i="29" s="1"/>
  <c r="H578" i="29"/>
  <c r="I578" i="29" s="1"/>
  <c r="H579" i="29"/>
  <c r="I579" i="29" s="1"/>
  <c r="H580" i="29"/>
  <c r="I580" i="29" s="1"/>
  <c r="H581" i="29"/>
  <c r="I581" i="29" s="1"/>
  <c r="H582" i="29"/>
  <c r="I582" i="29" s="1"/>
  <c r="H583" i="29"/>
  <c r="I583" i="29" s="1"/>
  <c r="H584" i="29"/>
  <c r="I584" i="29" s="1"/>
  <c r="H585" i="29"/>
  <c r="I585" i="29" s="1"/>
  <c r="H586" i="29"/>
  <c r="I586" i="29" s="1"/>
  <c r="H587" i="29"/>
  <c r="I587" i="29" s="1"/>
  <c r="H588" i="29"/>
  <c r="I588" i="29" s="1"/>
  <c r="H589" i="29"/>
  <c r="I589" i="29" s="1"/>
  <c r="H590" i="29"/>
  <c r="I590" i="29" s="1"/>
  <c r="H591" i="29"/>
  <c r="I591" i="29" s="1"/>
  <c r="H592" i="29"/>
  <c r="I592" i="29" s="1"/>
  <c r="H593" i="29"/>
  <c r="I593" i="29" s="1"/>
  <c r="H594" i="29"/>
  <c r="I594" i="29" s="1"/>
  <c r="H595" i="29"/>
  <c r="I595" i="29" s="1"/>
  <c r="H596" i="29"/>
  <c r="I596" i="29" s="1"/>
  <c r="H597" i="29"/>
  <c r="I597" i="29" s="1"/>
  <c r="H598" i="29"/>
  <c r="I598" i="29" s="1"/>
  <c r="H599" i="29"/>
  <c r="I599" i="29" s="1"/>
  <c r="H600" i="29"/>
  <c r="I600" i="29" s="1"/>
  <c r="H601" i="29"/>
  <c r="I601" i="29" s="1"/>
  <c r="H602" i="29"/>
  <c r="I602" i="29" s="1"/>
  <c r="H603" i="29"/>
  <c r="I603" i="29" s="1"/>
  <c r="H604" i="29"/>
  <c r="I604" i="29" s="1"/>
  <c r="H605" i="29"/>
  <c r="I605" i="29" s="1"/>
  <c r="H606" i="29"/>
  <c r="I606" i="29" s="1"/>
  <c r="H607" i="29"/>
  <c r="I607" i="29" s="1"/>
  <c r="H608" i="29"/>
  <c r="I608" i="29" s="1"/>
  <c r="H609" i="29"/>
  <c r="I609" i="29" s="1"/>
  <c r="H610" i="29"/>
  <c r="I610" i="29" s="1"/>
  <c r="H611" i="29"/>
  <c r="I611" i="29" s="1"/>
  <c r="H612" i="29"/>
  <c r="I612" i="29" s="1"/>
  <c r="H613" i="29"/>
  <c r="I613" i="29" s="1"/>
  <c r="H614" i="29"/>
  <c r="I614" i="29" s="1"/>
  <c r="H615" i="29"/>
  <c r="I615" i="29" s="1"/>
  <c r="H616" i="29"/>
  <c r="I616" i="29" s="1"/>
  <c r="H617" i="29"/>
  <c r="I617" i="29" s="1"/>
  <c r="H618" i="29"/>
  <c r="I618" i="29" s="1"/>
  <c r="H619" i="29"/>
  <c r="I619" i="29" s="1"/>
  <c r="H620" i="29"/>
  <c r="I620" i="29" s="1"/>
  <c r="H621" i="29"/>
  <c r="I621" i="29" s="1"/>
  <c r="H622" i="29"/>
  <c r="I622" i="29" s="1"/>
  <c r="H623" i="29"/>
  <c r="I623" i="29" s="1"/>
  <c r="H624" i="29"/>
  <c r="I624" i="29" s="1"/>
  <c r="H625" i="29"/>
  <c r="I625" i="29" s="1"/>
  <c r="H626" i="29"/>
  <c r="I626" i="29" s="1"/>
  <c r="H627" i="29"/>
  <c r="I627" i="29" s="1"/>
  <c r="H628" i="29"/>
  <c r="I628" i="29" s="1"/>
  <c r="H629" i="29"/>
  <c r="I629" i="29" s="1"/>
  <c r="H630" i="29"/>
  <c r="I630" i="29" s="1"/>
  <c r="H631" i="29"/>
  <c r="I631" i="29" s="1"/>
  <c r="H632" i="29"/>
  <c r="I632" i="29" s="1"/>
  <c r="H633" i="29"/>
  <c r="I633" i="29" s="1"/>
  <c r="H634" i="29"/>
  <c r="I634" i="29" s="1"/>
  <c r="H635" i="29"/>
  <c r="I635" i="29" s="1"/>
  <c r="H636" i="29"/>
  <c r="I636" i="29" s="1"/>
  <c r="H637" i="29"/>
  <c r="I637" i="29" s="1"/>
  <c r="H638" i="29"/>
  <c r="I638" i="29" s="1"/>
  <c r="H639" i="29"/>
  <c r="I639" i="29" s="1"/>
  <c r="H640" i="29"/>
  <c r="I640" i="29" s="1"/>
  <c r="H641" i="29"/>
  <c r="I641" i="29" s="1"/>
  <c r="H642" i="29"/>
  <c r="I642" i="29" s="1"/>
  <c r="H643" i="29"/>
  <c r="I643" i="29" s="1"/>
  <c r="H644" i="29"/>
  <c r="I644" i="29" s="1"/>
  <c r="H645" i="29"/>
  <c r="I645" i="29" s="1"/>
  <c r="H646" i="29"/>
  <c r="I646" i="29" s="1"/>
  <c r="H647" i="29"/>
  <c r="I647" i="29" s="1"/>
  <c r="H648" i="29"/>
  <c r="I648" i="29" s="1"/>
  <c r="H649" i="29"/>
  <c r="I649" i="29" s="1"/>
  <c r="H650" i="29"/>
  <c r="I650" i="29" s="1"/>
  <c r="H651" i="29"/>
  <c r="I651" i="29" s="1"/>
  <c r="H652" i="29"/>
  <c r="I652" i="29" s="1"/>
  <c r="H653" i="29"/>
  <c r="I653" i="29" s="1"/>
  <c r="H654" i="29"/>
  <c r="I654" i="29" s="1"/>
  <c r="H655" i="29"/>
  <c r="I655" i="29" s="1"/>
  <c r="H656" i="29"/>
  <c r="I656" i="29" s="1"/>
  <c r="H657" i="29"/>
  <c r="I657" i="29" s="1"/>
  <c r="H658" i="29"/>
  <c r="I658" i="29" s="1"/>
  <c r="H659" i="29"/>
  <c r="I659" i="29" s="1"/>
  <c r="H660" i="29"/>
  <c r="I660" i="29" s="1"/>
  <c r="H661" i="29"/>
  <c r="I661" i="29" s="1"/>
  <c r="H662" i="29"/>
  <c r="I662" i="29" s="1"/>
  <c r="H663" i="29"/>
  <c r="I663" i="29" s="1"/>
  <c r="H664" i="29"/>
  <c r="I664" i="29" s="1"/>
  <c r="H665" i="29"/>
  <c r="I665" i="29" s="1"/>
  <c r="H666" i="29"/>
  <c r="I666" i="29" s="1"/>
  <c r="H667" i="29"/>
  <c r="I667" i="29" s="1"/>
  <c r="H668" i="29"/>
  <c r="I668" i="29" s="1"/>
  <c r="H669" i="29"/>
  <c r="I669" i="29" s="1"/>
  <c r="H670" i="29"/>
  <c r="I670" i="29" s="1"/>
  <c r="H671" i="29"/>
  <c r="I671" i="29" s="1"/>
  <c r="H672" i="29"/>
  <c r="I672" i="29" s="1"/>
  <c r="H673" i="29"/>
  <c r="I673" i="29" s="1"/>
  <c r="H674" i="29"/>
  <c r="I674" i="29" s="1"/>
  <c r="H675" i="29"/>
  <c r="I675" i="29" s="1"/>
  <c r="H676" i="29"/>
  <c r="I676" i="29" s="1"/>
  <c r="H677" i="29"/>
  <c r="I677" i="29" s="1"/>
  <c r="H678" i="29"/>
  <c r="I678" i="29" s="1"/>
  <c r="H679" i="29"/>
  <c r="I679" i="29" s="1"/>
  <c r="H680" i="29"/>
  <c r="I680" i="29" s="1"/>
  <c r="H681" i="29"/>
  <c r="I681" i="29" s="1"/>
  <c r="H682" i="29"/>
  <c r="I682" i="29" s="1"/>
  <c r="H683" i="29"/>
  <c r="I683" i="29" s="1"/>
  <c r="H684" i="29"/>
  <c r="I684" i="29" s="1"/>
  <c r="H685" i="29"/>
  <c r="I685" i="29" s="1"/>
  <c r="H686" i="29"/>
  <c r="I686" i="29" s="1"/>
  <c r="H687" i="29"/>
  <c r="I687" i="29" s="1"/>
  <c r="H688" i="29"/>
  <c r="I688" i="29" s="1"/>
  <c r="H689" i="29"/>
  <c r="I689" i="29" s="1"/>
  <c r="H690" i="29"/>
  <c r="I690" i="29" s="1"/>
  <c r="H691" i="29"/>
  <c r="I691" i="29" s="1"/>
  <c r="H692" i="29"/>
  <c r="I692" i="29" s="1"/>
  <c r="H693" i="29"/>
  <c r="I693" i="29" s="1"/>
  <c r="H694" i="29"/>
  <c r="I694" i="29" s="1"/>
  <c r="H695" i="29"/>
  <c r="I695" i="29" s="1"/>
  <c r="H696" i="29"/>
  <c r="I696" i="29" s="1"/>
  <c r="H697" i="29"/>
  <c r="I697" i="29" s="1"/>
  <c r="H698" i="29"/>
  <c r="I698" i="29" s="1"/>
  <c r="H699" i="29"/>
  <c r="I699" i="29" s="1"/>
  <c r="H700" i="29"/>
  <c r="I700" i="29" s="1"/>
  <c r="H701" i="29"/>
  <c r="I701" i="29" s="1"/>
  <c r="H702" i="29"/>
  <c r="I702" i="29" s="1"/>
  <c r="H703" i="29"/>
  <c r="I703" i="29" s="1"/>
  <c r="H704" i="29"/>
  <c r="I704" i="29" s="1"/>
  <c r="H705" i="29"/>
  <c r="I705" i="29" s="1"/>
  <c r="H706" i="29"/>
  <c r="I706" i="29" s="1"/>
  <c r="H707" i="29"/>
  <c r="I707" i="29" s="1"/>
  <c r="H708" i="29"/>
  <c r="I708" i="29" s="1"/>
  <c r="H709" i="29"/>
  <c r="I709" i="29" s="1"/>
  <c r="H710" i="29"/>
  <c r="I710" i="29" s="1"/>
  <c r="H711" i="29"/>
  <c r="I711" i="29" s="1"/>
  <c r="H712" i="29"/>
  <c r="I712" i="29" s="1"/>
  <c r="H713" i="29"/>
  <c r="I713" i="29" s="1"/>
  <c r="H714" i="29"/>
  <c r="I714" i="29" s="1"/>
  <c r="H715" i="29"/>
  <c r="I715" i="29" s="1"/>
  <c r="H716" i="29"/>
  <c r="I716" i="29" s="1"/>
  <c r="H717" i="29"/>
  <c r="I717" i="29" s="1"/>
  <c r="H718" i="29"/>
  <c r="I718" i="29" s="1"/>
  <c r="H719" i="29"/>
  <c r="I719" i="29" s="1"/>
  <c r="H720" i="29"/>
  <c r="I720" i="29" s="1"/>
  <c r="H721" i="29"/>
  <c r="I721" i="29" s="1"/>
  <c r="H722" i="29"/>
  <c r="I722" i="29" s="1"/>
  <c r="H723" i="29"/>
  <c r="I723" i="29" s="1"/>
  <c r="H724" i="29"/>
  <c r="I724" i="29" s="1"/>
  <c r="H725" i="29"/>
  <c r="I725" i="29" s="1"/>
  <c r="H726" i="29"/>
  <c r="I726" i="29" s="1"/>
  <c r="H727" i="29"/>
  <c r="I727" i="29" s="1"/>
  <c r="H728" i="29"/>
  <c r="I728" i="29" s="1"/>
  <c r="H729" i="29"/>
  <c r="I729" i="29" s="1"/>
  <c r="H730" i="29"/>
  <c r="I730" i="29" s="1"/>
  <c r="H731" i="29"/>
  <c r="I731" i="29" s="1"/>
  <c r="H732" i="29"/>
  <c r="I732" i="29" s="1"/>
  <c r="H733" i="29"/>
  <c r="I733" i="29" s="1"/>
  <c r="H734" i="29"/>
  <c r="I734" i="29" s="1"/>
  <c r="H735" i="29"/>
  <c r="I735" i="29" s="1"/>
  <c r="H736" i="29"/>
  <c r="I736" i="29" s="1"/>
  <c r="H737" i="29"/>
  <c r="I737" i="29" s="1"/>
  <c r="H738" i="29"/>
  <c r="I738" i="29" s="1"/>
  <c r="H739" i="29"/>
  <c r="I739" i="29" s="1"/>
  <c r="H740" i="29"/>
  <c r="I740" i="29" s="1"/>
  <c r="H741" i="29"/>
  <c r="I741" i="29" s="1"/>
  <c r="H742" i="29"/>
  <c r="I742" i="29" s="1"/>
  <c r="H743" i="29"/>
  <c r="I743" i="29" s="1"/>
  <c r="H744" i="29"/>
  <c r="I744" i="29" s="1"/>
  <c r="H745" i="29"/>
  <c r="I745" i="29" s="1"/>
  <c r="H746" i="29"/>
  <c r="I746" i="29" s="1"/>
  <c r="H747" i="29"/>
  <c r="I747" i="29" s="1"/>
  <c r="H748" i="29"/>
  <c r="I748" i="29" s="1"/>
  <c r="H749" i="29"/>
  <c r="I749" i="29" s="1"/>
  <c r="H750" i="29"/>
  <c r="I750" i="29" s="1"/>
  <c r="H751" i="29"/>
  <c r="I751" i="29" s="1"/>
</calcChain>
</file>

<file path=xl/sharedStrings.xml><?xml version="1.0" encoding="utf-8"?>
<sst xmlns="http://schemas.openxmlformats.org/spreadsheetml/2006/main" count="8242" uniqueCount="1720">
  <si>
    <t>Date_Heure_Panne</t>
  </si>
  <si>
    <t>Cell_ID</t>
  </si>
  <si>
    <t>Duree_Panne_Min</t>
  </si>
  <si>
    <t>Statut_Resolution</t>
  </si>
  <si>
    <t>ANT-0465</t>
  </si>
  <si>
    <t>Résolu</t>
  </si>
  <si>
    <t>ANT-0004</t>
  </si>
  <si>
    <t>ANT-0977</t>
  </si>
  <si>
    <t>Non Résolu</t>
  </si>
  <si>
    <t>ANT-0740</t>
  </si>
  <si>
    <t>En Cours</t>
  </si>
  <si>
    <t>ANT-0897</t>
  </si>
  <si>
    <t>ANT-0737</t>
  </si>
  <si>
    <t>ANT-0270</t>
  </si>
  <si>
    <t>ANT-0996</t>
  </si>
  <si>
    <t>ANT-0513</t>
  </si>
  <si>
    <t>ANT-0781</t>
  </si>
  <si>
    <t>ANT-0183</t>
  </si>
  <si>
    <t>ANT-0520</t>
  </si>
  <si>
    <t>ANT-0935</t>
  </si>
  <si>
    <t>ANT-0109</t>
  </si>
  <si>
    <t>ANT-0892</t>
  </si>
  <si>
    <t>ANT-0641</t>
  </si>
  <si>
    <t>ANT-0306</t>
  </si>
  <si>
    <t>ANT-0862</t>
  </si>
  <si>
    <t>ANT-0655</t>
  </si>
  <si>
    <t>ANT-0624</t>
  </si>
  <si>
    <t>ANT-0204</t>
  </si>
  <si>
    <t>ANT-0157</t>
  </si>
  <si>
    <t>ANT-0383</t>
  </si>
  <si>
    <t>ANT-0166</t>
  </si>
  <si>
    <t>ANT-0553</t>
  </si>
  <si>
    <t>ANT-0798</t>
  </si>
  <si>
    <t>ANT-0945</t>
  </si>
  <si>
    <t>ANT-0544</t>
  </si>
  <si>
    <t>ANT-0941</t>
  </si>
  <si>
    <t>ANT-0001</t>
  </si>
  <si>
    <t>ANT-0614</t>
  </si>
  <si>
    <t>ANT-0332</t>
  </si>
  <si>
    <t>ANT-0501</t>
  </si>
  <si>
    <t>ANT-0020</t>
  </si>
  <si>
    <t>ANT-0115</t>
  </si>
  <si>
    <t>ANT-0952</t>
  </si>
  <si>
    <t>ANT-0372</t>
  </si>
  <si>
    <t>ANT-0900</t>
  </si>
  <si>
    <t>ANT-0852</t>
  </si>
  <si>
    <t>ANT-0315</t>
  </si>
  <si>
    <t>ANT-0246</t>
  </si>
  <si>
    <t>ANT-0060</t>
  </si>
  <si>
    <t>ANT-0247</t>
  </si>
  <si>
    <t>ANT-0581</t>
  </si>
  <si>
    <t>ANT-0970</t>
  </si>
  <si>
    <t>ANT-0650</t>
  </si>
  <si>
    <t>ANT-0874</t>
  </si>
  <si>
    <t>ANT-0271</t>
  </si>
  <si>
    <t>ANT-0518</t>
  </si>
  <si>
    <t>ANT-0258</t>
  </si>
  <si>
    <t>ANT-0928</t>
  </si>
  <si>
    <t>ANT-0930</t>
  </si>
  <si>
    <t>ANT-0867</t>
  </si>
  <si>
    <t>ANT-0053</t>
  </si>
  <si>
    <t>ANT-0095</t>
  </si>
  <si>
    <t>ANT-0434</t>
  </si>
  <si>
    <t>ANT-0850</t>
  </si>
  <si>
    <t>ANT-0284</t>
  </si>
  <si>
    <t>ANT-0046</t>
  </si>
  <si>
    <t>ANT-0342</t>
  </si>
  <si>
    <t>ANT-0790</t>
  </si>
  <si>
    <t>ANT-0134</t>
  </si>
  <si>
    <t>ANT-0653</t>
  </si>
  <si>
    <t>ANT-0269</t>
  </si>
  <si>
    <t>ANT-0760</t>
  </si>
  <si>
    <t>ANT-0453</t>
  </si>
  <si>
    <t>ANT-0565</t>
  </si>
  <si>
    <t>ANT-0723</t>
  </si>
  <si>
    <t>ANT-0438</t>
  </si>
  <si>
    <t>ANT-0575</t>
  </si>
  <si>
    <t>ANT-0010</t>
  </si>
  <si>
    <t>ANT-0078</t>
  </si>
  <si>
    <t>ANT-0968</t>
  </si>
  <si>
    <t>ANT-0905</t>
  </si>
  <si>
    <t>ANT-0708</t>
  </si>
  <si>
    <t>ANT-0926</t>
  </si>
  <si>
    <t>ANT-0153</t>
  </si>
  <si>
    <t>ANT-0559</t>
  </si>
  <si>
    <t>ANT-0037</t>
  </si>
  <si>
    <t>ANT-0855</t>
  </si>
  <si>
    <t>ANT-0379</t>
  </si>
  <si>
    <t>ANT-0597</t>
  </si>
  <si>
    <t>ANT-0566</t>
  </si>
  <si>
    <t>ANT-0152</t>
  </si>
  <si>
    <t>ANT-0441</t>
  </si>
  <si>
    <t>ANT-0131</t>
  </si>
  <si>
    <t>ANT-0043</t>
  </si>
  <si>
    <t>ANT-0316</t>
  </si>
  <si>
    <t>ANT-0573</t>
  </si>
  <si>
    <t>ANT-0610</t>
  </si>
  <si>
    <t>ANT-0325</t>
  </si>
  <si>
    <t>ANT-0973</t>
  </si>
  <si>
    <t>ANT-0774</t>
  </si>
  <si>
    <t>ANT-0913</t>
  </si>
  <si>
    <t>ANT-0454</t>
  </si>
  <si>
    <t>ANT-0628</t>
  </si>
  <si>
    <t>ANT-0835</t>
  </si>
  <si>
    <t>ANT-0914</t>
  </si>
  <si>
    <t>ANT-0517</t>
  </si>
  <si>
    <t>ANT-0437</t>
  </si>
  <si>
    <t>ANT-0851</t>
  </si>
  <si>
    <t>ANT-0929</t>
  </si>
  <si>
    <t>ANT-0562</t>
  </si>
  <si>
    <t>ANT-0457</t>
  </si>
  <si>
    <t>ANT-0919</t>
  </si>
  <si>
    <t>ANT-0163</t>
  </si>
  <si>
    <t>ANT-0762</t>
  </si>
  <si>
    <t>ANT-0883</t>
  </si>
  <si>
    <t>ANT-0487</t>
  </si>
  <si>
    <t>ANT-0461</t>
  </si>
  <si>
    <t>ANT-0266</t>
  </si>
  <si>
    <t>ANT-0770</t>
  </si>
  <si>
    <t>ANT-0254</t>
  </si>
  <si>
    <t>ANT-0861</t>
  </si>
  <si>
    <t>ANT-0785</t>
  </si>
  <si>
    <t>ANT-0797</t>
  </si>
  <si>
    <t>ANT-0534</t>
  </si>
  <si>
    <t>ANT-0497</t>
  </si>
  <si>
    <t>ANT-0642</t>
  </si>
  <si>
    <t>ANT-0245</t>
  </si>
  <si>
    <t>ANT-0282</t>
  </si>
  <si>
    <t>ANT-0451</t>
  </si>
  <si>
    <t>ANT-0080</t>
  </si>
  <si>
    <t>ANT-0731</t>
  </si>
  <si>
    <t>ANT-0293</t>
  </si>
  <si>
    <t>ANT-0287</t>
  </si>
  <si>
    <t>ANT-0902</t>
  </si>
  <si>
    <t>ANT-0611</t>
  </si>
  <si>
    <t>ANT-0719</t>
  </si>
  <si>
    <t>ANT-0283</t>
  </si>
  <si>
    <t>ANT-0570</t>
  </si>
  <si>
    <t>ANT-0011</t>
  </si>
  <si>
    <t>ANT-0530</t>
  </si>
  <si>
    <t>ANT-0971</t>
  </si>
  <si>
    <t>ANT-0196</t>
  </si>
  <si>
    <t>ANT-0088</t>
  </si>
  <si>
    <t>ANT-0248</t>
  </si>
  <si>
    <t>ANT-0738</t>
  </si>
  <si>
    <t>ANT-0417</t>
  </si>
  <si>
    <t>ANT-0569</t>
  </si>
  <si>
    <t>ANT-0777</t>
  </si>
  <si>
    <t>ANT-0488</t>
  </si>
  <si>
    <t>ANT-0662</t>
  </si>
  <si>
    <t>ANT-0729</t>
  </si>
  <si>
    <t>ANT-0503</t>
  </si>
  <si>
    <t>ANT-0459</t>
  </si>
  <si>
    <t>ANT-0812</t>
  </si>
  <si>
    <t>ANT-0018</t>
  </si>
  <si>
    <t>ANT-0096</t>
  </si>
  <si>
    <t>ANT-0302</t>
  </si>
  <si>
    <t>ANT-0227</t>
  </si>
  <si>
    <t>ANT-0415</t>
  </si>
  <si>
    <t>ANT-0709</t>
  </si>
  <si>
    <t>ANT-0250</t>
  </si>
  <si>
    <t>ANT-0314</t>
  </si>
  <si>
    <t>ANT-0680</t>
  </si>
  <si>
    <t>ANT-0596</t>
  </si>
  <si>
    <t>ANT-0378</t>
  </si>
  <si>
    <t>ANT-0485</t>
  </si>
  <si>
    <t>ANT-0567</t>
  </si>
  <si>
    <t>ANT-0353</t>
  </si>
  <si>
    <t>ANT-0436</t>
  </si>
  <si>
    <t>ANT-0764</t>
  </si>
  <si>
    <t>ANT-0564</t>
  </si>
  <si>
    <t>ANT-0339</t>
  </si>
  <si>
    <t>ANT-0259</t>
  </si>
  <si>
    <t>ANT-0119</t>
  </si>
  <si>
    <t>ANT-0994</t>
  </si>
  <si>
    <t>ANT-0792</t>
  </si>
  <si>
    <t>ANT-0414</t>
  </si>
  <si>
    <t>ANT-0886</t>
  </si>
  <si>
    <t>ANT-0527</t>
  </si>
  <si>
    <t>ANT-0845</t>
  </si>
  <si>
    <t>ANT-0002</t>
  </si>
  <si>
    <t>ANT-0674</t>
  </si>
  <si>
    <t>ANT-0891</t>
  </si>
  <si>
    <t>ANT-0556</t>
  </si>
  <si>
    <t>ANT-0474</t>
  </si>
  <si>
    <t>ANT-0424</t>
  </si>
  <si>
    <t>ANT-0056</t>
  </si>
  <si>
    <t>ANT-0193</t>
  </si>
  <si>
    <t>ANT-0531</t>
  </si>
  <si>
    <t>ANT-0371</t>
  </si>
  <si>
    <t>ANT-0638</t>
  </si>
  <si>
    <t>ANT-0775</t>
  </si>
  <si>
    <t>ANT-0511</t>
  </si>
  <si>
    <t>ANT-0779</t>
  </si>
  <si>
    <t>ANT-0209</t>
  </si>
  <si>
    <t>ANT-0274</t>
  </si>
  <si>
    <t>ANT-0563</t>
  </si>
  <si>
    <t>ANT-0135</t>
  </si>
  <si>
    <t>ANT-0950</t>
  </si>
  <si>
    <t>ANT-0295</t>
  </si>
  <si>
    <t>ANT-0449</t>
  </si>
  <si>
    <t>ANT-0716</t>
  </si>
  <si>
    <t>ANT-0125</t>
  </si>
  <si>
    <t>ANT-0030</t>
  </si>
  <si>
    <t>ANT-0997</t>
  </si>
  <si>
    <t>ANT-0646</t>
  </si>
  <si>
    <t>ANT-0819</t>
  </si>
  <si>
    <t>ANT-0727</t>
  </si>
  <si>
    <t>ANT-0739</t>
  </si>
  <si>
    <t>ANT-0786</t>
  </si>
  <si>
    <t>ANT-0698</t>
  </si>
  <si>
    <t>ANT-0859</t>
  </si>
  <si>
    <t>ANT-0141</t>
  </si>
  <si>
    <t>ANT-0644</t>
  </si>
  <si>
    <t>ANT-0100</t>
  </si>
  <si>
    <t>ANT-0643</t>
  </si>
  <si>
    <t>ANT-0041</t>
  </si>
  <si>
    <t>ANT-0317</t>
  </si>
  <si>
    <t>ANT-0808</t>
  </si>
  <si>
    <t>ANT-0452</t>
  </si>
  <si>
    <t>ANT-0035</t>
  </si>
  <si>
    <t>ANT-0594</t>
  </si>
  <si>
    <t>ANT-0374</t>
  </si>
  <si>
    <t>ANT-0750</t>
  </si>
  <si>
    <t>ANT-0093</t>
  </si>
  <si>
    <t>ANT-0932</t>
  </si>
  <si>
    <t>ANT-0303</t>
  </si>
  <si>
    <t>ANT-0335</t>
  </si>
  <si>
    <t>ANT-0766</t>
  </si>
  <si>
    <t>ANT-0426</t>
  </si>
  <si>
    <t>ANT-0180</t>
  </si>
  <si>
    <t>ANT-0206</t>
  </si>
  <si>
    <t>ANT-0136</t>
  </si>
  <si>
    <t>ANT-0806</t>
  </si>
  <si>
    <t>ANT-0898</t>
  </si>
  <si>
    <t>ANT-0995</t>
  </si>
  <si>
    <t>ANT-0375</t>
  </si>
  <si>
    <t>ANT-0514</t>
  </si>
  <si>
    <t>ANT-0936</t>
  </si>
  <si>
    <t>ANT-0280</t>
  </si>
  <si>
    <t>ANT-0169</t>
  </si>
  <si>
    <t>ANT-0264</t>
  </si>
  <si>
    <t>ANT-0967</t>
  </si>
  <si>
    <t>ANT-0494</t>
  </si>
  <si>
    <t>ANT-0991</t>
  </si>
  <si>
    <t>ANT-0826</t>
  </si>
  <si>
    <t>ANT-0111</t>
  </si>
  <si>
    <t>ANT-0730</t>
  </si>
  <si>
    <t>ANT-0455</t>
  </si>
  <si>
    <t>ANT-0076</t>
  </si>
  <si>
    <t>ANT-0921</t>
  </si>
  <si>
    <t>ANT-0083</t>
  </si>
  <si>
    <t>ANT-0330</t>
  </si>
  <si>
    <t>ANT-0623</t>
  </si>
  <si>
    <t>ANT-0068</t>
  </si>
  <si>
    <t>ANT-0130</t>
  </si>
  <si>
    <t>ANT-0640</t>
  </si>
  <si>
    <t>ANT-0649</t>
  </si>
  <si>
    <t>ANT-0600</t>
  </si>
  <si>
    <t>ANT-0333</t>
  </si>
  <si>
    <t>ANT-0391</t>
  </si>
  <si>
    <t>ANT-0612</t>
  </si>
  <si>
    <t>ANT-0620</t>
  </si>
  <si>
    <t>ANT-0102</t>
  </si>
  <si>
    <t>ANT-0813</t>
  </si>
  <si>
    <t>ANT-0118</t>
  </si>
  <si>
    <t>ANT-0656</t>
  </si>
  <si>
    <t>ANT-0428</t>
  </si>
  <si>
    <t>ANT-0022</t>
  </si>
  <si>
    <t>ANT-0990</t>
  </si>
  <si>
    <t>ANT-0176</t>
  </si>
  <si>
    <t>ANT-0821</t>
  </si>
  <si>
    <t>ANT-0633</t>
  </si>
  <si>
    <t>ANT-0472</t>
  </si>
  <si>
    <t>ANT-0707</t>
  </si>
  <si>
    <t>ANT-0942</t>
  </si>
  <si>
    <t>ANT-0091</t>
  </si>
  <si>
    <t>ANT-0448</t>
  </si>
  <si>
    <t>ANT-0865</t>
  </si>
  <si>
    <t>ANT-0447</t>
  </si>
  <si>
    <t>ANT-0604</t>
  </si>
  <si>
    <t>ANT-0411</t>
  </si>
  <si>
    <t>ANT-0537</t>
  </si>
  <si>
    <t>ANT-0081</t>
  </si>
  <si>
    <t>ANT-0406</t>
  </si>
  <si>
    <t>22/10/2023 02:17</t>
  </si>
  <si>
    <t>ANT-0318</t>
  </si>
  <si>
    <t>ANT-0348</t>
  </si>
  <si>
    <t>ANT-0173</t>
  </si>
  <si>
    <t>ANT-0079</t>
  </si>
  <si>
    <t>ANT-0523</t>
  </si>
  <si>
    <t>ANT-0989</t>
  </si>
  <si>
    <t>ANT-0829</t>
  </si>
  <si>
    <t>ANT-0804</t>
  </si>
  <si>
    <t>ANT-0481</t>
  </si>
  <si>
    <t>ANT-0856</t>
  </si>
  <si>
    <t>ANT-0199</t>
  </si>
  <si>
    <t>ANT-0377</t>
  </si>
  <si>
    <t>ANT-0695</t>
  </si>
  <si>
    <t>ANT-0585</t>
  </si>
  <si>
    <t>ANT-0473</t>
  </si>
  <si>
    <t>ANT-0788</t>
  </si>
  <si>
    <t>ANT-0289</t>
  </si>
  <si>
    <t>ANT-0392</t>
  </si>
  <si>
    <t>ANT-0515</t>
  </si>
  <si>
    <t>ANT-0541</t>
  </si>
  <si>
    <t>ANT-0429</t>
  </si>
  <si>
    <t>ANT-0837</t>
  </si>
  <si>
    <t>ANT-0205</t>
  </si>
  <si>
    <t>ANT-0142</t>
  </si>
  <si>
    <t>ANT-0894</t>
  </si>
  <si>
    <t>ANT-0257</t>
  </si>
  <si>
    <t>ANT-0054</t>
  </si>
  <si>
    <t>ANT-0657</t>
  </si>
  <si>
    <t>ANT-0493</t>
  </si>
  <si>
    <t>ANT-0896</t>
  </si>
  <si>
    <t>ANT-0381</t>
  </si>
  <si>
    <t>ANT-0568</t>
  </si>
  <si>
    <t>ANT-0957</t>
  </si>
  <si>
    <t>ANT-0106</t>
  </si>
  <si>
    <t>ANT-0529</t>
  </si>
  <si>
    <t>ANT-0872</t>
  </si>
  <si>
    <t>ANT-0128</t>
  </si>
  <si>
    <t>ANT-0292</t>
  </si>
  <si>
    <t>ANT-0086</t>
  </si>
  <si>
    <t>ANT-0360</t>
  </si>
  <si>
    <t>ANT-0458</t>
  </si>
  <si>
    <t>ANT-0044</t>
  </si>
  <si>
    <t>ant-0745</t>
  </si>
  <si>
    <t>ANT-0934</t>
  </si>
  <si>
    <t>ANT-0362</t>
  </si>
  <si>
    <t>ANT-0630</t>
  </si>
  <si>
    <t>ANT-0446</t>
  </si>
  <si>
    <t>ANT-0811</t>
  </si>
  <si>
    <t>ANT-0059</t>
  </si>
  <si>
    <t>ANT-0077</t>
  </si>
  <si>
    <t>ANT-0688</t>
  </si>
  <si>
    <t>ANT-0416</t>
  </si>
  <si>
    <t>ANT-0373</t>
  </si>
  <si>
    <t>ANT-0526</t>
  </si>
  <si>
    <t>ANT-0768</t>
  </si>
  <si>
    <t>ANT-0696</t>
  </si>
  <si>
    <t>ANT-0164</t>
  </si>
  <si>
    <t>ANT-0976</t>
  </si>
  <si>
    <t>ANT-0032</t>
  </si>
  <si>
    <t>ANT-0147</t>
  </si>
  <si>
    <t>ANT-0870</t>
  </si>
  <si>
    <t>ANT-0801</t>
  </si>
  <si>
    <t>ANT-0036</t>
  </si>
  <si>
    <t>ANT-0069</t>
  </si>
  <si>
    <t>ANT-0242</t>
  </si>
  <si>
    <t>ANT-0661</t>
  </si>
  <si>
    <t>ANT-0126</t>
  </si>
  <si>
    <t>ANT-0145</t>
  </si>
  <si>
    <t>ANT-0052</t>
  </si>
  <si>
    <t>ANT-0298</t>
  </si>
  <si>
    <t>ANT-0969</t>
  </si>
  <si>
    <t>ANT-0394</t>
  </si>
  <si>
    <t>ANT-0885</t>
  </si>
  <si>
    <t>ANT-0631</t>
  </si>
  <si>
    <t>ANT-0255</t>
  </si>
  <si>
    <t>ANT-0986</t>
  </si>
  <si>
    <t>ANT-0887</t>
  </si>
  <si>
    <t>ANT-0924</t>
  </si>
  <si>
    <t>ANT-0834</t>
  </si>
  <si>
    <t>ANT-0336</t>
  </si>
  <si>
    <t>ANT-0592</t>
  </si>
  <si>
    <t>ANT-0321</t>
  </si>
  <si>
    <t>ANT-0195</t>
  </si>
  <si>
    <t>ANT-0782</t>
  </si>
  <si>
    <t>ANT-0528</t>
  </si>
  <si>
    <t>ANT-0479</t>
  </si>
  <si>
    <t>ANT-0901</t>
  </si>
  <si>
    <t>ANT-0510</t>
  </si>
  <si>
    <t>ANT-0024</t>
  </si>
  <si>
    <t>ANT-0403</t>
  </si>
  <si>
    <t>ant-0518</t>
  </si>
  <si>
    <t>ANT-0469</t>
  </si>
  <si>
    <t>ANT-0221</t>
  </si>
  <si>
    <t>ANT-0598</t>
  </si>
  <si>
    <t>ANT-0686</t>
  </si>
  <si>
    <t>ANT-0927</t>
  </si>
  <si>
    <t>ANT-0232</t>
  </si>
  <si>
    <t>ANT-0654</t>
  </si>
  <si>
    <t>ANT-0239</t>
  </si>
  <si>
    <t>ANT-0103</t>
  </si>
  <si>
    <t>ANT-0735</t>
  </si>
  <si>
    <t>ANT-0484</t>
  </si>
  <si>
    <t>ANT-0006</t>
  </si>
  <si>
    <t>ANT-0988</t>
  </si>
  <si>
    <t>ANT-0162</t>
  </si>
  <si>
    <t>ANT-0669</t>
  </si>
  <si>
    <t>ANT-0958</t>
  </si>
  <si>
    <t>ANT-0489</t>
  </si>
  <si>
    <t>ANT-0667</t>
  </si>
  <si>
    <t>ANT-0329</t>
  </si>
  <si>
    <t>ANT-0061</t>
  </si>
  <si>
    <t>ANT-0092</t>
  </si>
  <si>
    <t>ANT-0668</t>
  </si>
  <si>
    <t>ANT-0588</t>
  </si>
  <si>
    <t>ANT-0238</t>
  </si>
  <si>
    <t>ANT-0548</t>
  </si>
  <si>
    <t>ANT-0757</t>
  </si>
  <si>
    <t>ANT-0670</t>
  </si>
  <si>
    <t>ANT-0881</t>
  </si>
  <si>
    <t>ANT-0357</t>
  </si>
  <si>
    <t>ANT-0122</t>
  </si>
  <si>
    <t>ANT-0551</t>
  </si>
  <si>
    <t>ANT-0542</t>
  </si>
  <si>
    <t>ANT-0746</t>
  </si>
  <si>
    <t>ANT-0229</t>
  </si>
  <si>
    <t>ANT-0475</t>
  </si>
  <si>
    <t>ANT-0690</t>
  </si>
  <si>
    <t>ANT-0558</t>
  </si>
  <si>
    <t>ANT-0435</t>
  </si>
  <si>
    <t>ANT-0545</t>
  </si>
  <si>
    <t>ANT-0389</t>
  </si>
  <si>
    <t>ANT-0844</t>
  </si>
  <si>
    <t>ANT-0236</t>
  </si>
  <si>
    <t>ANT-0355</t>
  </si>
  <si>
    <t>ANT-0159</t>
  </si>
  <si>
    <t>ANT-0194</t>
  </si>
  <si>
    <t>ANT-0960</t>
  </si>
  <si>
    <t>ANT-0743</t>
  </si>
  <si>
    <t>ANT-0784</t>
  </si>
  <si>
    <t>ANT-0116</t>
  </si>
  <si>
    <t>ANT-0033</t>
  </si>
  <si>
    <t>ANT-0677</t>
  </si>
  <si>
    <t>ANT-0430</t>
  </si>
  <si>
    <t>ANT-0007</t>
  </si>
  <si>
    <t>ANT-0422</t>
  </si>
  <si>
    <t>ANT-0013</t>
  </si>
  <si>
    <t>ANT-0543</t>
  </si>
  <si>
    <t>ANT-0549</t>
  </si>
  <si>
    <t>ANT-0294</t>
  </si>
  <si>
    <t>ANT-0833</t>
  </si>
  <si>
    <t>ANT-0715</t>
  </si>
  <si>
    <t>ANT-0691</t>
  </si>
  <si>
    <t>ANT-0963</t>
  </si>
  <si>
    <t>ANT-0184</t>
  </si>
  <si>
    <t>ANT-0110</t>
  </si>
  <si>
    <t>ANT-0099</t>
  </si>
  <si>
    <t>ANT-0197</t>
  </si>
  <si>
    <t>ANT-0635</t>
  </si>
  <si>
    <t>ANT-0540</t>
  </si>
  <si>
    <t>ANT-0363</t>
  </si>
  <si>
    <t>ANT-0815</t>
  </si>
  <si>
    <t>ANT-0407</t>
  </si>
  <si>
    <t>ANT-0983</t>
  </si>
  <si>
    <t>ANT-0471</t>
  </si>
  <si>
    <t>ANT-0579</t>
  </si>
  <si>
    <t>ANT-0714</t>
  </si>
  <si>
    <t>ANT-0308</t>
  </si>
  <si>
    <t>ANT-0701</t>
  </si>
  <si>
    <t>ANT-0848</t>
  </si>
  <si>
    <t>ANT-0869</t>
  </si>
  <si>
    <t>ANT-0334</t>
  </si>
  <si>
    <t>ANT-0386</t>
  </si>
  <si>
    <t>ANT-0288</t>
  </si>
  <si>
    <t>ANT-0805</t>
  </si>
  <si>
    <t>ANT-0117</t>
  </si>
  <si>
    <t>ANT-0955</t>
  </si>
  <si>
    <t>ANT-0578</t>
  </si>
  <si>
    <t>ANT-0607</t>
  </si>
  <si>
    <t>ANT-0185</t>
  </si>
  <si>
    <t>ANT-0699</t>
  </si>
  <si>
    <t>ANT-0787</t>
  </si>
  <si>
    <t>ANT-0028</t>
  </si>
  <si>
    <t>ANT-0745</t>
  </si>
  <si>
    <t>ANT-0966</t>
  </si>
  <si>
    <t>ANT-0726</t>
  </si>
  <si>
    <t>ANT-0215</t>
  </si>
  <si>
    <t>ANT-0817</t>
  </si>
  <si>
    <t>ANT-0299</t>
  </si>
  <si>
    <t>ANT-0710</t>
  </si>
  <si>
    <t>ANT-0071</t>
  </si>
  <si>
    <t>ANT-0839</t>
  </si>
  <si>
    <t>ANT-0419</t>
  </si>
  <si>
    <t>ANT-0512</t>
  </si>
  <si>
    <t>ANT-0143</t>
  </si>
  <si>
    <t>ANT-0311</t>
  </si>
  <si>
    <t>ANT-0231</t>
  </si>
  <si>
    <t>ANT-0296</t>
  </si>
  <si>
    <t>ANT-0800</t>
  </si>
  <si>
    <t>ANT-0580</t>
  </si>
  <si>
    <t>ANT-0761</t>
  </si>
  <si>
    <t>ANT-0508</t>
  </si>
  <si>
    <t>ANT-0524</t>
  </si>
  <si>
    <t>ANT-0587</t>
  </si>
  <si>
    <t>ANT-0275</t>
  </si>
  <si>
    <t>ANT-0794</t>
  </si>
  <si>
    <t>ANT-0557</t>
  </si>
  <si>
    <t>ANT-0376</t>
  </si>
  <si>
    <t>ANT-0843</t>
  </si>
  <si>
    <t>ANT-0560</t>
  </si>
  <si>
    <t>ANT-0224</t>
  </si>
  <si>
    <t>ANT-0105</t>
  </si>
  <si>
    <t>ANT-0754</t>
  </si>
  <si>
    <t>ANT-0305</t>
  </si>
  <si>
    <t>ANT-0034</t>
  </si>
  <si>
    <t>ANT-0090</t>
  </si>
  <si>
    <t>ANT-0450</t>
  </si>
  <si>
    <t>ANT-0964</t>
  </si>
  <si>
    <t>ANT-0868</t>
  </si>
  <si>
    <t>ANT-0675</t>
  </si>
  <si>
    <t>ANT-0309</t>
  </si>
  <si>
    <t>ANT-0211</t>
  </si>
  <si>
    <t>ANT-0622</t>
  </si>
  <si>
    <t>ANT-0522</t>
  </si>
  <si>
    <t>ANT-0402</t>
  </si>
  <si>
    <t>ANT-0803</t>
  </si>
  <si>
    <t>ANT-0920</t>
  </si>
  <si>
    <t>ANT-0978</t>
  </si>
  <si>
    <t>ANT-0507</t>
  </si>
  <si>
    <t>ANT-0396</t>
  </si>
  <si>
    <t>ANT-0609</t>
  </si>
  <si>
    <t>ANT-0073</t>
  </si>
  <si>
    <t>ANT-0911</t>
  </si>
  <si>
    <t>ANT-0370</t>
  </si>
  <si>
    <t>ANT-0397</t>
  </si>
  <si>
    <t>ANT-0882</t>
  </si>
  <si>
    <t>ANT-0244</t>
  </si>
  <si>
    <t>ANT-0504</t>
  </si>
  <si>
    <t>ANT-0985</t>
  </si>
  <si>
    <t>ANT-0062</t>
  </si>
  <si>
    <t>ANT-0146</t>
  </si>
  <si>
    <t>ANT-0045</t>
  </si>
  <si>
    <t>ANT-0944</t>
  </si>
  <si>
    <t>ANT-0866</t>
  </si>
  <si>
    <t>ANT-0533</t>
  </si>
  <si>
    <t>ANT-0423</t>
  </si>
  <si>
    <t>ANT-0718</t>
  </si>
  <si>
    <t>ANT-0918</t>
  </si>
  <si>
    <t>ANT-0382</t>
  </si>
  <si>
    <t>ANT-0470</t>
  </si>
  <si>
    <t>ANT-0998</t>
  </si>
  <si>
    <t>ANT-0087</t>
  </si>
  <si>
    <t>ANT-0595</t>
  </si>
  <si>
    <t>ANT-0098</t>
  </si>
  <si>
    <t>ANT-0137</t>
  </si>
  <si>
    <t>ANT-0840</t>
  </si>
  <si>
    <t>ANT-0404</t>
  </si>
  <si>
    <t>ANT-0582</t>
  </si>
  <si>
    <t>ANT-0064</t>
  </si>
  <si>
    <t>ANT-0679</t>
  </si>
  <si>
    <t>ANT-0243</t>
  </si>
  <si>
    <t>ANT-0268</t>
  </si>
  <si>
    <t>ANT-0326</t>
  </si>
  <si>
    <t>ANT-0903</t>
  </si>
  <si>
    <t>ANT-0021</t>
  </si>
  <si>
    <t>ANT-0276</t>
  </si>
  <si>
    <t>ANT-0155</t>
  </si>
  <si>
    <t>ANT-0771</t>
  </si>
  <si>
    <t>ANT-0684</t>
  </si>
  <si>
    <t>ANT-0685</t>
  </si>
  <si>
    <t>ANT-0828</t>
  </si>
  <si>
    <t>ANT-0555</t>
  </si>
  <si>
    <t>ANT-0233</t>
  </si>
  <si>
    <t>ANT-0063</t>
  </si>
  <si>
    <t>ANT-0536</t>
  </si>
  <si>
    <t>ANT-0704</t>
  </si>
  <si>
    <t>ANT-0888</t>
  </si>
  <si>
    <t>ANT-0959</t>
  </si>
  <si>
    <t>ANT-0307</t>
  </si>
  <si>
    <t>ANT-0405</t>
  </si>
  <si>
    <t>ANT-0925</t>
  </si>
  <si>
    <t>ANT-0875</t>
  </si>
  <si>
    <t>ANT-0732</t>
  </si>
  <si>
    <t>ANT-0923</t>
  </si>
  <si>
    <t>ANT-0820</t>
  </si>
  <si>
    <t>ANT-0586</t>
  </si>
  <si>
    <t>ANT-0639</t>
  </si>
  <si>
    <t>ANT-0599</t>
  </si>
  <si>
    <t>ANT-0008</t>
  </si>
  <si>
    <t>ANT-0864</t>
  </si>
  <si>
    <t>ANT-0860</t>
  </si>
  <si>
    <t>ANT-0384</t>
  </si>
  <si>
    <t>ANT-0663</t>
  </si>
  <si>
    <t>ANT-0290</t>
  </si>
  <si>
    <t>ANT-0066</t>
  </si>
  <si>
    <t>ANT-0345</t>
  </si>
  <si>
    <t>ANT-0672</t>
  </si>
  <si>
    <t>ANT-0154</t>
  </si>
  <si>
    <t>ANT-0922</t>
  </si>
  <si>
    <t>ANT-0825</t>
  </si>
  <si>
    <t>ANT-0050</t>
  </si>
  <si>
    <t>ANT-0427</t>
  </si>
  <si>
    <t>ANT-0390</t>
  </si>
  <si>
    <t>ANT-0127</t>
  </si>
  <si>
    <t>ANT-0561</t>
  </si>
  <si>
    <t>ANT-0486</t>
  </si>
  <si>
    <t>ant-0719</t>
  </si>
  <si>
    <t>ANT-0712</t>
  </si>
  <si>
    <t>ANT-0703</t>
  </si>
  <si>
    <t>ANT-0431</t>
  </si>
  <si>
    <t>ANT-0678</t>
  </si>
  <si>
    <t>ANT-0104</t>
  </si>
  <si>
    <t>ANT-0277</t>
  </si>
  <si>
    <t>ANT-0621</t>
  </si>
  <si>
    <t>ANT-0108</t>
  </si>
  <si>
    <t>ANT-0121</t>
  </si>
  <si>
    <t>ANT-0019</t>
  </si>
  <si>
    <t>ANT-0571</t>
  </si>
  <si>
    <t>ANT-0846</t>
  </si>
  <si>
    <t>ANT-0094</t>
  </si>
  <si>
    <t>ANT-0619</t>
  </si>
  <si>
    <t>ANT-0987</t>
  </si>
  <si>
    <t>ANT-0634</t>
  </si>
  <si>
    <t>ANT-0312</t>
  </si>
  <si>
    <t>ANT-0912</t>
  </si>
  <si>
    <t>ANT-0521</t>
  </si>
  <si>
    <t>ANT-0576</t>
  </si>
  <si>
    <t>ANT-0212</t>
  </si>
  <si>
    <t>ANT-0671</t>
  </si>
  <si>
    <t>ANT-0468</t>
  </si>
  <si>
    <t>ANT-0974</t>
  </si>
  <si>
    <t>ANT-0350</t>
  </si>
  <si>
    <t>ANT-0466</t>
  </si>
  <si>
    <t>ANT-0340</t>
  </si>
  <si>
    <t>ANT-0574</t>
  </si>
  <si>
    <t>ANT-0615</t>
  </si>
  <si>
    <t>ANT-0753</t>
  </si>
  <si>
    <t>ANT-0123</t>
  </si>
  <si>
    <t>ANT-0387</t>
  </si>
  <si>
    <t>ANT-0042</t>
  </si>
  <si>
    <t>ANT-0439</t>
  </si>
  <si>
    <t>17/10/2023 05:44</t>
  </si>
  <si>
    <t>ANT-0286</t>
  </si>
  <si>
    <t>ANT-0165</t>
  </si>
  <si>
    <t>ANT-0262</t>
  </si>
  <si>
    <t>ANT-0478</t>
  </si>
  <si>
    <t>ANT-0158</t>
  </si>
  <si>
    <t>ANT-0951</t>
  </si>
  <si>
    <t>ANT-0331</t>
  </si>
  <si>
    <t>ANT-0793</t>
  </si>
  <si>
    <t>ant-0309</t>
  </si>
  <si>
    <t>ANT-0809</t>
  </si>
  <si>
    <t>ANT-0367</t>
  </si>
  <si>
    <t>ANT-0075</t>
  </si>
  <si>
    <t>ANT-0725</t>
  </si>
  <si>
    <t>ANT-0539</t>
  </si>
  <si>
    <t>ANT-0226</t>
  </si>
  <si>
    <t>ANT-0980</t>
  </si>
  <si>
    <t>ANT-0189</t>
  </si>
  <si>
    <t>ANT-0070</t>
  </si>
  <si>
    <t>ANT-0186</t>
  </si>
  <si>
    <t>ANT-0873</t>
  </si>
  <si>
    <t>ANT-0101</t>
  </si>
  <si>
    <t>ANT-0203</t>
  </si>
  <si>
    <t>ANT-0744</t>
  </si>
  <si>
    <t>ANT-0499</t>
  </si>
  <si>
    <t>ANT-0975</t>
  </si>
  <si>
    <t>ANT-0366</t>
  </si>
  <si>
    <t>ANT-0132</t>
  </si>
  <si>
    <t>ANT-0241</t>
  </si>
  <si>
    <t>ANT-0756</t>
  </si>
  <si>
    <t>ANT-0368</t>
  </si>
  <si>
    <t>ANT-0606</t>
  </si>
  <si>
    <t>ANT-0029</t>
  </si>
  <si>
    <t>ANT-0721</t>
  </si>
  <si>
    <t>ANT-0361</t>
  </si>
  <si>
    <t>ANT-0577</t>
  </si>
  <si>
    <t>ANT-0972</t>
  </si>
  <si>
    <t>ANT-0857</t>
  </si>
  <si>
    <t>ANT-0830</t>
  </si>
  <si>
    <t>ANT-0505</t>
  </si>
  <si>
    <t>ANT-0039</t>
  </si>
  <si>
    <t>ANT-0058</t>
  </si>
  <si>
    <t>ANT-0617</t>
  </si>
  <si>
    <t>ANT-0225</t>
  </si>
  <si>
    <t>ANT-0490</t>
  </si>
  <si>
    <t>ANT-0191</t>
  </si>
  <si>
    <t>ANT-0149</t>
  </si>
  <si>
    <t>ANT-0012</t>
  </si>
  <si>
    <t>ANT-0089</t>
  </si>
  <si>
    <t>ANT-0017</t>
  </si>
  <si>
    <t>ANT-0139</t>
  </si>
  <si>
    <t>ANT-0016</t>
  </si>
  <si>
    <t>ANT-0009</t>
  </si>
  <si>
    <t>ANT-0074</t>
  </si>
  <si>
    <t>ANT-0047</t>
  </si>
  <si>
    <t>ANT-0187</t>
  </si>
  <si>
    <t>ANT-0097</t>
  </si>
  <si>
    <t>ANT-0175</t>
  </si>
  <si>
    <t>ANT-0170</t>
  </si>
  <si>
    <t>ANT-0168</t>
  </si>
  <si>
    <t>ANT-0031</t>
  </si>
  <si>
    <t>ANT-0138</t>
  </si>
  <si>
    <t>ANT-0140</t>
  </si>
  <si>
    <t>ANT-0040</t>
  </si>
  <si>
    <t>ANT-0049</t>
  </si>
  <si>
    <t>ANT-0005</t>
  </si>
  <si>
    <t>ANT-0026</t>
  </si>
  <si>
    <t>ANT-0181</t>
  </si>
  <si>
    <t>ant-0013</t>
  </si>
  <si>
    <t>ANT-0190</t>
  </si>
  <si>
    <t>ANT-0113</t>
  </si>
  <si>
    <t>ant-0199</t>
  </si>
  <si>
    <t>ANT-0015</t>
  </si>
  <si>
    <t>ANT-0129</t>
  </si>
  <si>
    <t>ANT-0148</t>
  </si>
  <si>
    <t>ANT-0082</t>
  </si>
  <si>
    <t>ANT-0198</t>
  </si>
  <si>
    <t>ANT-0057</t>
  </si>
  <si>
    <t>ant-0152</t>
  </si>
  <si>
    <t>ANT-0161</t>
  </si>
  <si>
    <t>ANT-0174</t>
  </si>
  <si>
    <t>ANT-0172</t>
  </si>
  <si>
    <t>ANT-0179</t>
  </si>
  <si>
    <t>ANT-0107</t>
  </si>
  <si>
    <t>ANT-0048</t>
  </si>
  <si>
    <t>ANT-0182</t>
  </si>
  <si>
    <t>ANT-0144</t>
  </si>
  <si>
    <t>ANT-0085</t>
  </si>
  <si>
    <t>ANT-0014</t>
  </si>
  <si>
    <t>ant-0155</t>
  </si>
  <si>
    <t>ANT-0151</t>
  </si>
  <si>
    <t>ant-0055</t>
  </si>
  <si>
    <t>30/10/2023 13:51</t>
  </si>
  <si>
    <t>ANT-0192</t>
  </si>
  <si>
    <t>ANT-0120</t>
  </si>
  <si>
    <t>ANT-0167</t>
  </si>
  <si>
    <t>ant-0092</t>
  </si>
  <si>
    <t>ANT-0067</t>
  </si>
  <si>
    <t>ANT-0038</t>
  </si>
  <si>
    <t>ANT-0150</t>
  </si>
  <si>
    <t>ANT-0051</t>
  </si>
  <si>
    <t>ANT-0188</t>
  </si>
  <si>
    <t>ant-0016</t>
  </si>
  <si>
    <t>ANT-0003</t>
  </si>
  <si>
    <t>ANT-0171</t>
  </si>
  <si>
    <t>ANT-0124</t>
  </si>
  <si>
    <t>ant-0125</t>
  </si>
  <si>
    <t>ant-0111</t>
  </si>
  <si>
    <t>ANT-0025</t>
  </si>
  <si>
    <t>ANT-0065</t>
  </si>
  <si>
    <t>ANT-0112</t>
  </si>
  <si>
    <t>ANT-0055</t>
  </si>
  <si>
    <t>ANT-0178</t>
  </si>
  <si>
    <t>ANT-0072</t>
  </si>
  <si>
    <t>10/10/2023 15:30</t>
  </si>
  <si>
    <t>15/10/2023 10:11</t>
  </si>
  <si>
    <t>25/10/2023 16:24</t>
  </si>
  <si>
    <t>ant-0085</t>
  </si>
  <si>
    <t>ANT-0177</t>
  </si>
  <si>
    <t>ant-0014</t>
  </si>
  <si>
    <t>ANT-0084</t>
  </si>
  <si>
    <t>27/10/2023 04:31</t>
  </si>
  <si>
    <t>ANT-0114</t>
  </si>
  <si>
    <t>ANT-0027</t>
  </si>
  <si>
    <t>ANT-0023</t>
  </si>
  <si>
    <t>ant-0075</t>
  </si>
  <si>
    <t>ant-0100</t>
  </si>
  <si>
    <t>ANT-0200</t>
  </si>
  <si>
    <t>ant-0127</t>
  </si>
  <si>
    <t>ant-0030</t>
  </si>
  <si>
    <t>ANT-0133</t>
  </si>
  <si>
    <t>ant-0022</t>
  </si>
  <si>
    <t>ant-0090</t>
  </si>
  <si>
    <t>ant-0043</t>
  </si>
  <si>
    <t>Province RDC</t>
  </si>
  <si>
    <t>Haut-Uele</t>
  </si>
  <si>
    <t>Kwilu</t>
  </si>
  <si>
    <t>Tanganyika</t>
  </si>
  <si>
    <t>Tshopo</t>
  </si>
  <si>
    <t>Maniema</t>
  </si>
  <si>
    <t>Kinshasa</t>
  </si>
  <si>
    <t>Tshuapa</t>
  </si>
  <si>
    <t>Kasai-Central</t>
  </si>
  <si>
    <t>Nord-Kivu</t>
  </si>
  <si>
    <t>Nord-Ubangi</t>
  </si>
  <si>
    <t>Sud-Kivu</t>
  </si>
  <si>
    <t>Sud-Ubangi</t>
  </si>
  <si>
    <t>Lomami</t>
  </si>
  <si>
    <t>Kasai</t>
  </si>
  <si>
    <t>Equateur</t>
  </si>
  <si>
    <t>Kasai-Oriental</t>
  </si>
  <si>
    <t>Bas-Uele</t>
  </si>
  <si>
    <t>Ituri</t>
  </si>
  <si>
    <t>Lualaba</t>
  </si>
  <si>
    <t>Mai-Ndombe</t>
  </si>
  <si>
    <t>Haut-Lomami</t>
  </si>
  <si>
    <t>Haut-Katanga</t>
  </si>
  <si>
    <t>Kongo-Central</t>
  </si>
  <si>
    <t>Kwango</t>
  </si>
  <si>
    <t>Sankuru</t>
  </si>
  <si>
    <t>Mongala</t>
  </si>
  <si>
    <t>ID_Antenne</t>
  </si>
  <si>
    <t>Province_RDC</t>
  </si>
  <si>
    <t>Latitude</t>
  </si>
  <si>
    <t>Longitude</t>
  </si>
  <si>
    <t>Technologie</t>
  </si>
  <si>
    <t>Equipementier</t>
  </si>
  <si>
    <t>5G</t>
  </si>
  <si>
    <t>Ericsson</t>
  </si>
  <si>
    <t>4G</t>
  </si>
  <si>
    <t>Huawei</t>
  </si>
  <si>
    <t>3G</t>
  </si>
  <si>
    <t>ZTE</t>
  </si>
  <si>
    <t>ANT-0880</t>
  </si>
  <si>
    <t>ANT-0847</t>
  </si>
  <si>
    <t>ANT-0552</t>
  </si>
  <si>
    <t>ANT-0202</t>
  </si>
  <si>
    <t>ANT-0752</t>
  </si>
  <si>
    <t>Nokia</t>
  </si>
  <si>
    <t>ANT-0908</t>
  </si>
  <si>
    <t>ANT-0647</t>
  </si>
  <si>
    <t>ANT-0593</t>
  </si>
  <si>
    <t>ANT-0605</t>
  </si>
  <si>
    <t>ANT-0218</t>
  </si>
  <si>
    <t>ANT-0267</t>
  </si>
  <si>
    <t>ANT-0916</t>
  </si>
  <si>
    <t>ANT-0993</t>
  </si>
  <si>
    <t>ANT-0791</t>
  </si>
  <si>
    <t>ANT-0751</t>
  </si>
  <si>
    <t>ANT-0878</t>
  </si>
  <si>
    <t>ANT-0476</t>
  </si>
  <si>
    <t>ANT-0629</t>
  </si>
  <si>
    <t>ANT-0776</t>
  </si>
  <si>
    <t>ANT-0676</t>
  </si>
  <si>
    <t>ANT-0496</t>
  </si>
  <si>
    <t>ANT-0780</t>
  </si>
  <si>
    <t>ANT-0500</t>
  </si>
  <si>
    <t>ANT-0240</t>
  </si>
  <si>
    <t>ANT-0398</t>
  </si>
  <si>
    <t>ANT-0665</t>
  </si>
  <si>
    <t>ANT-0281</t>
  </si>
  <si>
    <t>ANT-0584</t>
  </si>
  <si>
    <t>ANT-0962</t>
  </si>
  <si>
    <t>ANT-0388</t>
  </si>
  <si>
    <t>ANT-0602</t>
  </si>
  <si>
    <t>ANT-0884</t>
  </si>
  <si>
    <t>ANT-0354</t>
  </si>
  <si>
    <t>ANT-0948</t>
  </si>
  <si>
    <t>ANT-0933</t>
  </si>
  <si>
    <t>ANT-0659</t>
  </si>
  <si>
    <t>ANT-0217</t>
  </si>
  <si>
    <t>ANT-0939</t>
  </si>
  <si>
    <t>ANT-0858</t>
  </si>
  <si>
    <t>ANT-0425</t>
  </si>
  <si>
    <t>ANT-0831</t>
  </si>
  <si>
    <t>ANT-0692</t>
  </si>
  <si>
    <t>ANT-0491</t>
  </si>
  <si>
    <t>ANT-0216</t>
  </si>
  <si>
    <t>ANT-0421</t>
  </si>
  <si>
    <t>ANT-0645</t>
  </si>
  <si>
    <t>ANT-0525</t>
  </si>
  <si>
    <t>ANT-0265</t>
  </si>
  <si>
    <t>ANT-0876</t>
  </si>
  <si>
    <t>ANT-0871</t>
  </si>
  <si>
    <t>ANT-0982</t>
  </si>
  <si>
    <t>ANT-0291</t>
  </si>
  <si>
    <t xml:space="preserve">ANT-0222 </t>
  </si>
  <si>
    <t>ANT-0460</t>
  </si>
  <si>
    <t>ANT-1000</t>
  </si>
  <si>
    <t>ANT-0483</t>
  </si>
  <si>
    <t>ANT-0616</t>
  </si>
  <si>
    <t>ANT-0956</t>
  </si>
  <si>
    <t>ANT-0742</t>
  </si>
  <si>
    <t>ANT-0351</t>
  </si>
  <si>
    <t>ANT-0832</t>
  </si>
  <si>
    <t>ANT-0395</t>
  </si>
  <si>
    <t>ANT-0208</t>
  </si>
  <si>
    <t>ANT-0516</t>
  </si>
  <si>
    <t>ANT-0796</t>
  </si>
  <si>
    <t>ANT-0789</t>
  </si>
  <si>
    <t>ANT-0618</t>
  </si>
  <si>
    <t>ANT-0899</t>
  </si>
  <si>
    <t>ANT-0442</t>
  </si>
  <si>
    <t>ANT-0535</t>
  </si>
  <si>
    <t>ANT-0380</t>
  </si>
  <si>
    <t>ANT-0938</t>
  </si>
  <si>
    <t>ANT-0440</t>
  </si>
  <si>
    <t>ANT-0235</t>
  </si>
  <si>
    <t>ANT-0359</t>
  </si>
  <si>
    <t>ANT-0954</t>
  </si>
  <si>
    <t>ANT-0590</t>
  </si>
  <si>
    <t>ANT-0261</t>
  </si>
  <si>
    <t>ANT-0802</t>
  </si>
  <si>
    <t>ANT-0613</t>
  </si>
  <si>
    <t xml:space="preserve">ANT-0739 </t>
  </si>
  <si>
    <t>ANT-0385</t>
  </si>
  <si>
    <t>ANT-0705</t>
  </si>
  <si>
    <t>ANT-0324</t>
  </si>
  <si>
    <t>ANT-0849</t>
  </si>
  <si>
    <t>ANT-0260</t>
  </si>
  <si>
    <t>ANT-0627</t>
  </si>
  <si>
    <t>ANT-0495</t>
  </si>
  <si>
    <t>ANT-0741</t>
  </si>
  <si>
    <t>ANT-0697</t>
  </si>
  <si>
    <t>ANT-0408</t>
  </si>
  <si>
    <t>ANT-0841</t>
  </si>
  <si>
    <t>ANT-0220</t>
  </si>
  <si>
    <t>ANT-0347</t>
  </si>
  <si>
    <t>ANT-0937</t>
  </si>
  <si>
    <t>ANT-0822</t>
  </si>
  <si>
    <t>ANT-0399</t>
  </si>
  <si>
    <t>ANT-0652</t>
  </si>
  <si>
    <t>ANT-0758</t>
  </si>
  <si>
    <t>ANT-0889</t>
  </si>
  <si>
    <t>ANT-0228</t>
  </si>
  <si>
    <t>ANT-0682</t>
  </si>
  <si>
    <t>ANT-0895</t>
  </si>
  <si>
    <t>ANT-0207</t>
  </si>
  <si>
    <t>ANT-0907</t>
  </si>
  <si>
    <t>ANT-0947</t>
  </si>
  <si>
    <t>ANT-0915</t>
  </si>
  <si>
    <t>ANT-0369</t>
  </si>
  <si>
    <t>ANT-0940</t>
  </si>
  <si>
    <t>ANT-0893</t>
  </si>
  <si>
    <t xml:space="preserve">ANT-0089 </t>
  </si>
  <si>
    <t>ANT-0410</t>
  </si>
  <si>
    <t>ANT-0981</t>
  </si>
  <si>
    <t>ANT-0810</t>
  </si>
  <si>
    <t>ANT-0601</t>
  </si>
  <si>
    <t>ANT-0946</t>
  </si>
  <si>
    <t>ANT-0681</t>
  </si>
  <si>
    <t>ANT-0356</t>
  </si>
  <si>
    <t>ANT-0589</t>
  </si>
  <si>
    <t>ANT-0636</t>
  </si>
  <si>
    <t>ANT-0519</t>
  </si>
  <si>
    <t>ANT-0702</t>
  </si>
  <si>
    <t>ANT-0603</t>
  </si>
  <si>
    <t>ANT-0755</t>
  </si>
  <si>
    <t>ANT-0349</t>
  </si>
  <si>
    <t>ANT-0827</t>
  </si>
  <si>
    <t>ANT-0706</t>
  </si>
  <si>
    <t>ANT-0625</t>
  </si>
  <si>
    <t>ANT-0409</t>
  </si>
  <si>
    <t>ANT-0917</t>
  </si>
  <si>
    <t>ANT-0984</t>
  </si>
  <si>
    <t>ANT-0890</t>
  </si>
  <si>
    <t>ANT-0322</t>
  </si>
  <si>
    <t>ANT-0272</t>
  </si>
  <si>
    <t>ANT-0736</t>
  </si>
  <si>
    <t>ANT-0769</t>
  </si>
  <si>
    <t>ANT-0256</t>
  </si>
  <si>
    <t>ANT-0365</t>
  </si>
  <si>
    <t>ANT-0160</t>
  </si>
  <si>
    <t>ANT-0824</t>
  </si>
  <si>
    <t>ANT-0863</t>
  </si>
  <si>
    <t>ANT-0910</t>
  </si>
  <si>
    <t>ANT-0323</t>
  </si>
  <si>
    <t>ANT-0648</t>
  </si>
  <si>
    <t>ANT-0694</t>
  </si>
  <si>
    <t>ANT-0482</t>
  </si>
  <si>
    <t>ANT-0352</t>
  </si>
  <si>
    <t>ANT-0904</t>
  </si>
  <si>
    <t>Province_Client</t>
  </si>
  <si>
    <t>Anciennete_Mois</t>
  </si>
  <si>
    <t>Type_Forfait</t>
  </si>
  <si>
    <t>Duree_Cumulee_Panne_Min</t>
  </si>
  <si>
    <t>CLI-00007</t>
  </si>
  <si>
    <t>Bloqué 5Go</t>
  </si>
  <si>
    <t>CLI-00009</t>
  </si>
  <si>
    <t>Pro Monde</t>
  </si>
  <si>
    <t>CLI-00011</t>
  </si>
  <si>
    <t>Illimité 50Go</t>
  </si>
  <si>
    <t>CLI-00012</t>
  </si>
  <si>
    <t>CLI-00017</t>
  </si>
  <si>
    <t>CLI-00022</t>
  </si>
  <si>
    <t>Premium 5G 150Go</t>
  </si>
  <si>
    <t>CLI-00028</t>
  </si>
  <si>
    <t>CLI-00029</t>
  </si>
  <si>
    <t>CLI-00033</t>
  </si>
  <si>
    <t>CLI-00034</t>
  </si>
  <si>
    <t>CLI-00037</t>
  </si>
  <si>
    <t>CLI-00039</t>
  </si>
  <si>
    <t>CLI-00041</t>
  </si>
  <si>
    <t>CLI-00043</t>
  </si>
  <si>
    <t>CLI-00044</t>
  </si>
  <si>
    <t>CLI-00045</t>
  </si>
  <si>
    <t>CLI-00048</t>
  </si>
  <si>
    <t>CLI-00054</t>
  </si>
  <si>
    <t>CLI-00055</t>
  </si>
  <si>
    <t>CLI-00057</t>
  </si>
  <si>
    <t>CLI-00059</t>
  </si>
  <si>
    <t>CLI-00060</t>
  </si>
  <si>
    <t>CLI-00070</t>
  </si>
  <si>
    <t>CLI-00072</t>
  </si>
  <si>
    <t>CLI-00074</t>
  </si>
  <si>
    <t>CLI-00076</t>
  </si>
  <si>
    <t>CLI-00083</t>
  </si>
  <si>
    <t>CLI-00084</t>
  </si>
  <si>
    <t>CLI-00085</t>
  </si>
  <si>
    <t>CLI-00087</t>
  </si>
  <si>
    <t>CLI-00090</t>
  </si>
  <si>
    <t>CLI-00091</t>
  </si>
  <si>
    <t>CLI-00093</t>
  </si>
  <si>
    <t>CLI-00094</t>
  </si>
  <si>
    <t>CLI-00098</t>
  </si>
  <si>
    <t>CLI-00100</t>
  </si>
  <si>
    <t>CLI-00102</t>
  </si>
  <si>
    <t>CLI-00105</t>
  </si>
  <si>
    <t>CLI-00107</t>
  </si>
  <si>
    <t>CLI-00109</t>
  </si>
  <si>
    <t>CLI-00112</t>
  </si>
  <si>
    <t>CLI-00114</t>
  </si>
  <si>
    <t>CLI-00115</t>
  </si>
  <si>
    <t>CLI-00121</t>
  </si>
  <si>
    <t>CLI-00125</t>
  </si>
  <si>
    <t>CLI-00131</t>
  </si>
  <si>
    <t>CLI-00136</t>
  </si>
  <si>
    <t>CLI-00145</t>
  </si>
  <si>
    <t>CLI-00150</t>
  </si>
  <si>
    <t>CLI-00157</t>
  </si>
  <si>
    <t>CLI-00158</t>
  </si>
  <si>
    <t>CLI-00161</t>
  </si>
  <si>
    <t>CLI-00163</t>
  </si>
  <si>
    <t>CLI-00165</t>
  </si>
  <si>
    <t>CLI-00167</t>
  </si>
  <si>
    <t>CLI-00168</t>
  </si>
  <si>
    <t>CLI-00169</t>
  </si>
  <si>
    <t>CLI-00171</t>
  </si>
  <si>
    <t>CLI-00172</t>
  </si>
  <si>
    <t>CLI-00173</t>
  </si>
  <si>
    <t>CLI-00176</t>
  </si>
  <si>
    <t>CLI-00177</t>
  </si>
  <si>
    <t>CLI-00180</t>
  </si>
  <si>
    <t>CLI-00183</t>
  </si>
  <si>
    <t>CLI-00184</t>
  </si>
  <si>
    <t>CLI-00185</t>
  </si>
  <si>
    <t>CLI-00190</t>
  </si>
  <si>
    <t>CLI-00191</t>
  </si>
  <si>
    <t>CLI-00192</t>
  </si>
  <si>
    <t>CLI-00194</t>
  </si>
  <si>
    <t>CLI-00196</t>
  </si>
  <si>
    <t>CLI-00197</t>
  </si>
  <si>
    <t>CLI-00206</t>
  </si>
  <si>
    <t>CLI-00211</t>
  </si>
  <si>
    <t>CLI-00218</t>
  </si>
  <si>
    <t>CLI-00219</t>
  </si>
  <si>
    <t>CLI-00221</t>
  </si>
  <si>
    <t>CLI-00227</t>
  </si>
  <si>
    <t>CLI-00230</t>
  </si>
  <si>
    <t>CLI-00231</t>
  </si>
  <si>
    <t>CLI-00232</t>
  </si>
  <si>
    <t>CLI-00234</t>
  </si>
  <si>
    <t>CLI-00238</t>
  </si>
  <si>
    <t>CLI-00239</t>
  </si>
  <si>
    <t>CLI-00240</t>
  </si>
  <si>
    <t>CLI-00241</t>
  </si>
  <si>
    <t>CLI-00243</t>
  </si>
  <si>
    <t>CLI-00247</t>
  </si>
  <si>
    <t>CLI-00248</t>
  </si>
  <si>
    <t>CLI-00250</t>
  </si>
  <si>
    <t>CLI-00251</t>
  </si>
  <si>
    <t>CLI-00254</t>
  </si>
  <si>
    <t>CLI-00257</t>
  </si>
  <si>
    <t>CLI-00262</t>
  </si>
  <si>
    <t>CLI-00265</t>
  </si>
  <si>
    <t>CLI-00267</t>
  </si>
  <si>
    <t>CLI-00269</t>
  </si>
  <si>
    <t>CLI-00271</t>
  </si>
  <si>
    <t>CLI-00273</t>
  </si>
  <si>
    <t>CLI-00274</t>
  </si>
  <si>
    <t>CLI-00277</t>
  </si>
  <si>
    <t>CLI-00279</t>
  </si>
  <si>
    <t>CLI-00280</t>
  </si>
  <si>
    <t>CLI-00288</t>
  </si>
  <si>
    <t>CLI-00291</t>
  </si>
  <si>
    <t>CLI-00296</t>
  </si>
  <si>
    <t>CLI-00297</t>
  </si>
  <si>
    <t>CLI-00298</t>
  </si>
  <si>
    <t>CLI-00299</t>
  </si>
  <si>
    <t>CLI-00304</t>
  </si>
  <si>
    <t>CLI-00305</t>
  </si>
  <si>
    <t>CLI-00306</t>
  </si>
  <si>
    <t>CLI-00310</t>
  </si>
  <si>
    <t>CLI-00313</t>
  </si>
  <si>
    <t>CLI-00315</t>
  </si>
  <si>
    <t>CLI-00316</t>
  </si>
  <si>
    <t>CLI-00318</t>
  </si>
  <si>
    <t>CLI-00324</t>
  </si>
  <si>
    <t>CLI-00327</t>
  </si>
  <si>
    <t>CLI-00329</t>
  </si>
  <si>
    <t>CLI-00331</t>
  </si>
  <si>
    <t>CLI-00334</t>
  </si>
  <si>
    <t>CLI-00335</t>
  </si>
  <si>
    <t>CLI-00338</t>
  </si>
  <si>
    <t>CLI-00341</t>
  </si>
  <si>
    <t>CLI-00345</t>
  </si>
  <si>
    <t>CLI-00346</t>
  </si>
  <si>
    <t>CLI-00348</t>
  </si>
  <si>
    <t>CLI-00349</t>
  </si>
  <si>
    <t>CLI-00352</t>
  </si>
  <si>
    <t>CLI-00356</t>
  </si>
  <si>
    <t>CLI-00359</t>
  </si>
  <si>
    <t>CLI-00361</t>
  </si>
  <si>
    <t>CLI-00365</t>
  </si>
  <si>
    <t>CLI-00368</t>
  </si>
  <si>
    <t>CLI-00370</t>
  </si>
  <si>
    <t>CLI-00373</t>
  </si>
  <si>
    <t>CLI-00374</t>
  </si>
  <si>
    <t>CLI-00376</t>
  </si>
  <si>
    <t>CLI-00377</t>
  </si>
  <si>
    <t>CLI-00380</t>
  </si>
  <si>
    <t>CLI-00382</t>
  </si>
  <si>
    <t>CLI-00384</t>
  </si>
  <si>
    <t>CLI-00386</t>
  </si>
  <si>
    <t>CLI-00387</t>
  </si>
  <si>
    <t>CLI-00388</t>
  </si>
  <si>
    <t>CLI-00391</t>
  </si>
  <si>
    <t>CLI-00394</t>
  </si>
  <si>
    <t>CLI-00407</t>
  </si>
  <si>
    <t>CLI-00410</t>
  </si>
  <si>
    <t>CLI-00413</t>
  </si>
  <si>
    <t>CLI-00414</t>
  </si>
  <si>
    <t>CLI-00417</t>
  </si>
  <si>
    <t>CLI-00418</t>
  </si>
  <si>
    <t>CLI-00424</t>
  </si>
  <si>
    <t>CLI-00427</t>
  </si>
  <si>
    <t>CLI-00429</t>
  </si>
  <si>
    <t>CLI-00431</t>
  </si>
  <si>
    <t>CLI-00433</t>
  </si>
  <si>
    <t>CLI-00435</t>
  </si>
  <si>
    <t>CLI-00439</t>
  </si>
  <si>
    <t>CLI-00442</t>
  </si>
  <si>
    <t>CLI-00447</t>
  </si>
  <si>
    <t>CLI-00450</t>
  </si>
  <si>
    <t>CLI-00460</t>
  </si>
  <si>
    <t>CLI-00469</t>
  </si>
  <si>
    <t>CLI-00471</t>
  </si>
  <si>
    <t>CLI-00475</t>
  </si>
  <si>
    <t>CLI-00476</t>
  </si>
  <si>
    <t>CLI-00481</t>
  </si>
  <si>
    <t>CLI-00483</t>
  </si>
  <si>
    <t>CLI-00484</t>
  </si>
  <si>
    <t>CLI-00485</t>
  </si>
  <si>
    <t>CLI-00488</t>
  </si>
  <si>
    <t>CLI-00491</t>
  </si>
  <si>
    <t>CLI-00492</t>
  </si>
  <si>
    <t>CLI-00496</t>
  </si>
  <si>
    <t>CLI-00497</t>
  </si>
  <si>
    <t>CLI-00505</t>
  </si>
  <si>
    <t>CLI-00509</t>
  </si>
  <si>
    <t>CLI-00510</t>
  </si>
  <si>
    <t>CLI-00512</t>
  </si>
  <si>
    <t>CLI-00516</t>
  </si>
  <si>
    <t>CLI-00519</t>
  </si>
  <si>
    <t>CLI-00520</t>
  </si>
  <si>
    <t>CLI-00521</t>
  </si>
  <si>
    <t>CLI-00522</t>
  </si>
  <si>
    <t>CLI-00523</t>
  </si>
  <si>
    <t>CLI-00524</t>
  </si>
  <si>
    <t>CLI-00525</t>
  </si>
  <si>
    <t>CLI-00530</t>
  </si>
  <si>
    <t>CLI-00532</t>
  </si>
  <si>
    <t>CLI-00533</t>
  </si>
  <si>
    <t>CLI-00534</t>
  </si>
  <si>
    <t>CLI-00535</t>
  </si>
  <si>
    <t>CLI-00537</t>
  </si>
  <si>
    <t>CLI-00540</t>
  </si>
  <si>
    <t>97,5€</t>
  </si>
  <si>
    <t>CLI-00541</t>
  </si>
  <si>
    <t>CLI-00543</t>
  </si>
  <si>
    <t>CLI-00546</t>
  </si>
  <si>
    <t>CLI-00549</t>
  </si>
  <si>
    <t>CLI-00550</t>
  </si>
  <si>
    <t>CLI-00552</t>
  </si>
  <si>
    <t>CLI-00559</t>
  </si>
  <si>
    <t>CLI-00562</t>
  </si>
  <si>
    <t>CLI-00563</t>
  </si>
  <si>
    <t>CLI-00569</t>
  </si>
  <si>
    <t>CLI-00576</t>
  </si>
  <si>
    <t>CLI-00578</t>
  </si>
  <si>
    <t>CLI-00580</t>
  </si>
  <si>
    <t>CLI-00582</t>
  </si>
  <si>
    <t>CLI-00583</t>
  </si>
  <si>
    <t>CLI-00584</t>
  </si>
  <si>
    <t>CLI-00590</t>
  </si>
  <si>
    <t>CLI-00595</t>
  </si>
  <si>
    <t>CLI-00596</t>
  </si>
  <si>
    <t>CLI-00601</t>
  </si>
  <si>
    <t>CLI-00604</t>
  </si>
  <si>
    <t>CLI-00606</t>
  </si>
  <si>
    <t>CLI-00610</t>
  </si>
  <si>
    <t>CLI-00611</t>
  </si>
  <si>
    <t>CLI-00612</t>
  </si>
  <si>
    <t>CLI-00616</t>
  </si>
  <si>
    <t>CLI-00617</t>
  </si>
  <si>
    <t>CLI-00620</t>
  </si>
  <si>
    <t>CLI-00621</t>
  </si>
  <si>
    <t>CLI-00626</t>
  </si>
  <si>
    <t>CLI-00632</t>
  </si>
  <si>
    <t>CLI-00634</t>
  </si>
  <si>
    <t>CLI-00636</t>
  </si>
  <si>
    <t>CLI-00642</t>
  </si>
  <si>
    <t>CLI-00643</t>
  </si>
  <si>
    <t>CLI-00647</t>
  </si>
  <si>
    <t>CLI-00649</t>
  </si>
  <si>
    <t>CLI-00650</t>
  </si>
  <si>
    <t>CLI-00655</t>
  </si>
  <si>
    <t>CLI-00662</t>
  </si>
  <si>
    <t>CLI-00663</t>
  </si>
  <si>
    <t>CLI-00666</t>
  </si>
  <si>
    <t>CLI-00670</t>
  </si>
  <si>
    <t>CLI-00671</t>
  </si>
  <si>
    <t>CLI-00674</t>
  </si>
  <si>
    <t>CLI-00675</t>
  </si>
  <si>
    <t>CLI-00682</t>
  </si>
  <si>
    <t>CLI-00684</t>
  </si>
  <si>
    <t>CLI-00695</t>
  </si>
  <si>
    <t>CLI-00700</t>
  </si>
  <si>
    <t>CLI-00705</t>
  </si>
  <si>
    <t>CLI-00711</t>
  </si>
  <si>
    <t>CLI-00716</t>
  </si>
  <si>
    <t>CLI-00721</t>
  </si>
  <si>
    <t>CLI-00726</t>
  </si>
  <si>
    <t>CLI-00728</t>
  </si>
  <si>
    <t>CLI-00731</t>
  </si>
  <si>
    <t>CLI-00736</t>
  </si>
  <si>
    <t>CLI-00739</t>
  </si>
  <si>
    <t>CLI-00744</t>
  </si>
  <si>
    <t>CLI-00745</t>
  </si>
  <si>
    <t>CLI-00753</t>
  </si>
  <si>
    <t>CLI-00754</t>
  </si>
  <si>
    <t>CLI-00755</t>
  </si>
  <si>
    <t>CLI-00758</t>
  </si>
  <si>
    <t>CLI-00760</t>
  </si>
  <si>
    <t>CLI-00766</t>
  </si>
  <si>
    <t>CLI-00768</t>
  </si>
  <si>
    <t>CLI-00773</t>
  </si>
  <si>
    <t>CLI-00781</t>
  </si>
  <si>
    <t>CLI-00782</t>
  </si>
  <si>
    <t>CLI-00783</t>
  </si>
  <si>
    <t>CLI-00786</t>
  </si>
  <si>
    <t>CLI-00788</t>
  </si>
  <si>
    <t>CLI-00795</t>
  </si>
  <si>
    <t>CLI-00796</t>
  </si>
  <si>
    <t>CLI-00799</t>
  </si>
  <si>
    <t>CLI-00800</t>
  </si>
  <si>
    <t>CLI-00803</t>
  </si>
  <si>
    <t>CLI-00805</t>
  </si>
  <si>
    <t>CLI-00806</t>
  </si>
  <si>
    <t>CLI-00808</t>
  </si>
  <si>
    <t>CLI-00809</t>
  </si>
  <si>
    <t>CLI-00813</t>
  </si>
  <si>
    <t>CLI-00815</t>
  </si>
  <si>
    <t>CLI-00817</t>
  </si>
  <si>
    <t>CLI-00819</t>
  </si>
  <si>
    <t>CLI-00821</t>
  </si>
  <si>
    <t>CLI-00822</t>
  </si>
  <si>
    <t>CLI-00825</t>
  </si>
  <si>
    <t>CLI-00830</t>
  </si>
  <si>
    <t>CLI-00833</t>
  </si>
  <si>
    <t>CLI-00834</t>
  </si>
  <si>
    <t>CLI-00837</t>
  </si>
  <si>
    <t>CLI-00841</t>
  </si>
  <si>
    <t>CLI-00846</t>
  </si>
  <si>
    <t>CLI-00849</t>
  </si>
  <si>
    <t>CLI-00852</t>
  </si>
  <si>
    <t>CLI-00853</t>
  </si>
  <si>
    <t>CLI-00855</t>
  </si>
  <si>
    <t>CLI-00857</t>
  </si>
  <si>
    <t>CLI-00862</t>
  </si>
  <si>
    <t>CLI-00865</t>
  </si>
  <si>
    <t>CLI-00866</t>
  </si>
  <si>
    <t>CLI-00867</t>
  </si>
  <si>
    <t>CLI-00868</t>
  </si>
  <si>
    <t>CLI-00871</t>
  </si>
  <si>
    <t>CLI-00873</t>
  </si>
  <si>
    <t>CLI-00876</t>
  </si>
  <si>
    <t>CLI-00879</t>
  </si>
  <si>
    <t>CLI-00881</t>
  </si>
  <si>
    <t>CLI-00884</t>
  </si>
  <si>
    <t>CLI-00885</t>
  </si>
  <si>
    <t>CLI-00886</t>
  </si>
  <si>
    <t>CLI-00887</t>
  </si>
  <si>
    <t>CLI-00889</t>
  </si>
  <si>
    <t>90,99€</t>
  </si>
  <si>
    <t>CLI-00890</t>
  </si>
  <si>
    <t>CLI-00892</t>
  </si>
  <si>
    <t>CLI-00893</t>
  </si>
  <si>
    <t>CLI-00894</t>
  </si>
  <si>
    <t>CLI-00896</t>
  </si>
  <si>
    <t>CLI-00898</t>
  </si>
  <si>
    <t>CLI-00899</t>
  </si>
  <si>
    <t>CLI-00901</t>
  </si>
  <si>
    <t>CLI-00902</t>
  </si>
  <si>
    <t>CLI-00905</t>
  </si>
  <si>
    <t>CLI-00907</t>
  </si>
  <si>
    <t>CLI-00909</t>
  </si>
  <si>
    <t>CLI-00912</t>
  </si>
  <si>
    <t>CLI-00913</t>
  </si>
  <si>
    <t>CLI-00919</t>
  </si>
  <si>
    <t>CLI-00921</t>
  </si>
  <si>
    <t>CLI-00922</t>
  </si>
  <si>
    <t>CLI-00924</t>
  </si>
  <si>
    <t>CLI-00925</t>
  </si>
  <si>
    <t>CLI-00928</t>
  </si>
  <si>
    <t>CLI-00929</t>
  </si>
  <si>
    <t>CLI-00930</t>
  </si>
  <si>
    <t>CLI-00932</t>
  </si>
  <si>
    <t>CLI-00938</t>
  </si>
  <si>
    <t>CLI-00939</t>
  </si>
  <si>
    <t>CLI-00943</t>
  </si>
  <si>
    <t>CLI-00948</t>
  </si>
  <si>
    <t>CLI-00950</t>
  </si>
  <si>
    <t>CLI-00952</t>
  </si>
  <si>
    <t>CLI-00957</t>
  </si>
  <si>
    <t>CLI-00959</t>
  </si>
  <si>
    <t>CLI-00960</t>
  </si>
  <si>
    <t>CLI-00961</t>
  </si>
  <si>
    <t>CLI-00962</t>
  </si>
  <si>
    <t>CLI-00964</t>
  </si>
  <si>
    <t>CLI-00965</t>
  </si>
  <si>
    <t>CLI-00966</t>
  </si>
  <si>
    <t>CLI-00970</t>
  </si>
  <si>
    <t>CLI-00971</t>
  </si>
  <si>
    <t>CLI-00973</t>
  </si>
  <si>
    <t>CLI-00974</t>
  </si>
  <si>
    <t>CLI-00976</t>
  </si>
  <si>
    <t>CLI-00978</t>
  </si>
  <si>
    <t>CLI-00979</t>
  </si>
  <si>
    <t>CLI-00980</t>
  </si>
  <si>
    <t>CLI-00983</t>
  </si>
  <si>
    <t>CLI-00986</t>
  </si>
  <si>
    <t>CLI-00994</t>
  </si>
  <si>
    <t>CLI-00996</t>
  </si>
  <si>
    <t>CLI-00997</t>
  </si>
  <si>
    <t>CLI-00999</t>
  </si>
  <si>
    <t>CLI-01000</t>
  </si>
  <si>
    <t>CLI-01003</t>
  </si>
  <si>
    <t>CLI-01005</t>
  </si>
  <si>
    <t>CLI-01006</t>
  </si>
  <si>
    <t>CLI-01007</t>
  </si>
  <si>
    <t>CLI-01010</t>
  </si>
  <si>
    <t>CLI-01013</t>
  </si>
  <si>
    <t>CLI-01014</t>
  </si>
  <si>
    <t>CLI-01015</t>
  </si>
  <si>
    <t>CLI-01016</t>
  </si>
  <si>
    <t>CLI-01017</t>
  </si>
  <si>
    <t>CLI-01021</t>
  </si>
  <si>
    <t>CLI-01023</t>
  </si>
  <si>
    <t>CLI-01025</t>
  </si>
  <si>
    <t>CLI-01032</t>
  </si>
  <si>
    <t>CLI-01034</t>
  </si>
  <si>
    <t>CLI-01037</t>
  </si>
  <si>
    <t>CLI-01040</t>
  </si>
  <si>
    <t>CLI-01042</t>
  </si>
  <si>
    <t>CLI-01046</t>
  </si>
  <si>
    <t>CLI-01050</t>
  </si>
  <si>
    <t>CLI-01052</t>
  </si>
  <si>
    <t>CLI-01058</t>
  </si>
  <si>
    <t>CLI-01059</t>
  </si>
  <si>
    <t>CLI-01069</t>
  </si>
  <si>
    <t>CLI-01072</t>
  </si>
  <si>
    <t>CLI-01075</t>
  </si>
  <si>
    <t>CLI-01076</t>
  </si>
  <si>
    <t>CLI-01077</t>
  </si>
  <si>
    <t>CLI-01078</t>
  </si>
  <si>
    <t>CLI-01080</t>
  </si>
  <si>
    <t>CLI-01082</t>
  </si>
  <si>
    <t>CLI-01087</t>
  </si>
  <si>
    <t>CLI-01093</t>
  </si>
  <si>
    <t>CLI-01095</t>
  </si>
  <si>
    <t>CLI-01096</t>
  </si>
  <si>
    <t>CLI-01104</t>
  </si>
  <si>
    <t>CLI-01118</t>
  </si>
  <si>
    <t>CLI-01121</t>
  </si>
  <si>
    <t>CLI-01122</t>
  </si>
  <si>
    <t>CLI-01128</t>
  </si>
  <si>
    <t>CLI-01129</t>
  </si>
  <si>
    <t>CLI-01132</t>
  </si>
  <si>
    <t>CLI-01134</t>
  </si>
  <si>
    <t>CLI-01136</t>
  </si>
  <si>
    <t>CLI-01139</t>
  </si>
  <si>
    <t>CLI-01141</t>
  </si>
  <si>
    <t>CLI-01144</t>
  </si>
  <si>
    <t>CLI-01146</t>
  </si>
  <si>
    <t>CLI-01147</t>
  </si>
  <si>
    <t>CLI-01149</t>
  </si>
  <si>
    <t>CLI-01154</t>
  </si>
  <si>
    <t>CLI-01162</t>
  </si>
  <si>
    <t>CLI-01165</t>
  </si>
  <si>
    <t>CLI-01166</t>
  </si>
  <si>
    <t>CLI-01167</t>
  </si>
  <si>
    <t>CLI-01169</t>
  </si>
  <si>
    <t>CLI-01170</t>
  </si>
  <si>
    <t>CLI-01180</t>
  </si>
  <si>
    <t>CLI-01181</t>
  </si>
  <si>
    <t>CLI-01186</t>
  </si>
  <si>
    <t>CLI-01189</t>
  </si>
  <si>
    <t>CLI-01194</t>
  </si>
  <si>
    <t>CLI-01196</t>
  </si>
  <si>
    <t>CLI-01197</t>
  </si>
  <si>
    <t>CLI-01199</t>
  </si>
  <si>
    <t>CLI-01200</t>
  </si>
  <si>
    <t>CLI-01203</t>
  </si>
  <si>
    <t>CLI-01204</t>
  </si>
  <si>
    <t>CLI-01208</t>
  </si>
  <si>
    <t>CLI-01210</t>
  </si>
  <si>
    <t>CLI-01211</t>
  </si>
  <si>
    <t>CLI-01215</t>
  </si>
  <si>
    <t>CLI-01217</t>
  </si>
  <si>
    <t>CLI-01221</t>
  </si>
  <si>
    <t>CLI-01224</t>
  </si>
  <si>
    <t>CLI-01226</t>
  </si>
  <si>
    <t>CLI-01229</t>
  </si>
  <si>
    <t>CLI-01230</t>
  </si>
  <si>
    <t>CLI-01233</t>
  </si>
  <si>
    <t>CLI-01234</t>
  </si>
  <si>
    <t>CLI-01236</t>
  </si>
  <si>
    <t>CLI-01238</t>
  </si>
  <si>
    <t>CLI-01241</t>
  </si>
  <si>
    <t>CLI-01242</t>
  </si>
  <si>
    <t>CLI-01253</t>
  </si>
  <si>
    <t>CLI-01254</t>
  </si>
  <si>
    <t>CLI-01256</t>
  </si>
  <si>
    <t>CLI-01258</t>
  </si>
  <si>
    <t>CLI-01264</t>
  </si>
  <si>
    <t>CLI-01266</t>
  </si>
  <si>
    <t>CLI-01267</t>
  </si>
  <si>
    <t>CLI-01270</t>
  </si>
  <si>
    <t>CLI-01275</t>
  </si>
  <si>
    <t>CLI-01278</t>
  </si>
  <si>
    <t>CLI-01283</t>
  </si>
  <si>
    <t>CLI-01284</t>
  </si>
  <si>
    <t>CLI-01287</t>
  </si>
  <si>
    <t>CLI-01290</t>
  </si>
  <si>
    <t>CLI-01291</t>
  </si>
  <si>
    <t>CLI-01292</t>
  </si>
  <si>
    <t>CLI-01294</t>
  </si>
  <si>
    <t>CLI-01304</t>
  </si>
  <si>
    <t>CLI-01309</t>
  </si>
  <si>
    <t>CLI-01313</t>
  </si>
  <si>
    <t>CLI-01314</t>
  </si>
  <si>
    <t>CLI-01319</t>
  </si>
  <si>
    <t>CLI-01320</t>
  </si>
  <si>
    <t>CLI-01322</t>
  </si>
  <si>
    <t>CLI-01325</t>
  </si>
  <si>
    <t>CLI-01326</t>
  </si>
  <si>
    <t>CLI-01327</t>
  </si>
  <si>
    <t>CLI-01329</t>
  </si>
  <si>
    <t>CLI-01330</t>
  </si>
  <si>
    <t>CLI-01339</t>
  </si>
  <si>
    <t>CLI-01340</t>
  </si>
  <si>
    <t>CLI-01344</t>
  </si>
  <si>
    <t>CLI-01347</t>
  </si>
  <si>
    <t>CLI-01348</t>
  </si>
  <si>
    <t>58,74€</t>
  </si>
  <si>
    <t>CLI-01349</t>
  </si>
  <si>
    <t>CLI-01351</t>
  </si>
  <si>
    <t>CLI-01354</t>
  </si>
  <si>
    <t>CLI-01355</t>
  </si>
  <si>
    <t>CLI-01357</t>
  </si>
  <si>
    <t>CLI-01359</t>
  </si>
  <si>
    <t>CLI-01360</t>
  </si>
  <si>
    <t>CLI-01361</t>
  </si>
  <si>
    <t>CLI-01363</t>
  </si>
  <si>
    <t>CLI-01373</t>
  </si>
  <si>
    <t>CLI-01374</t>
  </si>
  <si>
    <t>CLI-01375</t>
  </si>
  <si>
    <t>CLI-01376</t>
  </si>
  <si>
    <t>CLI-01380</t>
  </si>
  <si>
    <t>CLI-01386</t>
  </si>
  <si>
    <t>CLI-01387</t>
  </si>
  <si>
    <t>CLI-01394</t>
  </si>
  <si>
    <t>CLI-01396</t>
  </si>
  <si>
    <t>CLI-01399</t>
  </si>
  <si>
    <t>CLI-01402</t>
  </si>
  <si>
    <t>CLI-01403</t>
  </si>
  <si>
    <t>CLI-01404</t>
  </si>
  <si>
    <t>CLI-01405</t>
  </si>
  <si>
    <t>CLI-01406</t>
  </si>
  <si>
    <t>CLI-01407</t>
  </si>
  <si>
    <t>CLI-01408</t>
  </si>
  <si>
    <t>CLI-01410</t>
  </si>
  <si>
    <t>CLI-01415</t>
  </si>
  <si>
    <t>CLI-01419</t>
  </si>
  <si>
    <t>CLI-01420</t>
  </si>
  <si>
    <t>CLI-01424</t>
  </si>
  <si>
    <t>CLI-01431</t>
  </si>
  <si>
    <t>CLI-01432</t>
  </si>
  <si>
    <t>CLI-01433</t>
  </si>
  <si>
    <t>CLI-01435</t>
  </si>
  <si>
    <t>CLI-01436</t>
  </si>
  <si>
    <t>CLI-01437</t>
  </si>
  <si>
    <t>CLI-01438</t>
  </si>
  <si>
    <t>CLI-01442</t>
  </si>
  <si>
    <t>CLI-01446</t>
  </si>
  <si>
    <t>CLI-01450</t>
  </si>
  <si>
    <t>CLI-01451</t>
  </si>
  <si>
    <t>CLI-01453</t>
  </si>
  <si>
    <t>CLI-01454</t>
  </si>
  <si>
    <t>CLI-01455</t>
  </si>
  <si>
    <t>CLI-01461</t>
  </si>
  <si>
    <t>CLI-01462</t>
  </si>
  <si>
    <t>CLI-01463</t>
  </si>
  <si>
    <t>CLI-01466</t>
  </si>
  <si>
    <t>CLI-01470</t>
  </si>
  <si>
    <t>CLI-01472</t>
  </si>
  <si>
    <t>CLI-01473</t>
  </si>
  <si>
    <t>CLI-01475</t>
  </si>
  <si>
    <t>CLI-01479</t>
  </si>
  <si>
    <t>CLI-01480</t>
  </si>
  <si>
    <t>CLI-01484</t>
  </si>
  <si>
    <t>CLI-01485</t>
  </si>
  <si>
    <t>CLI-01488</t>
  </si>
  <si>
    <t>CLI-01489</t>
  </si>
  <si>
    <t>CLI-01494</t>
  </si>
  <si>
    <t>CLI-01496</t>
  </si>
  <si>
    <t>CLI-01499</t>
  </si>
  <si>
    <t>CLI-01503</t>
  </si>
  <si>
    <t>CLI-01505</t>
  </si>
  <si>
    <t>CLI-01506</t>
  </si>
  <si>
    <t>CLI-01507</t>
  </si>
  <si>
    <t>CLI-01508</t>
  </si>
  <si>
    <t>CLI-01510</t>
  </si>
  <si>
    <t>CLI-01511</t>
  </si>
  <si>
    <t>CLI-01515</t>
  </si>
  <si>
    <t>CLI-01520</t>
  </si>
  <si>
    <t>CLI-01524</t>
  </si>
  <si>
    <t>CLI-01529</t>
  </si>
  <si>
    <t>CLI-01530</t>
  </si>
  <si>
    <t>CLI-01532</t>
  </si>
  <si>
    <t>76,95€</t>
  </si>
  <si>
    <t>CLI-01533</t>
  </si>
  <si>
    <t>CLI-01535</t>
  </si>
  <si>
    <t>CLI-01536</t>
  </si>
  <si>
    <t>CLI-01542</t>
  </si>
  <si>
    <t>CLI-01543</t>
  </si>
  <si>
    <t>CLI-01544</t>
  </si>
  <si>
    <t>CLI-01549</t>
  </si>
  <si>
    <t>CLI-01550</t>
  </si>
  <si>
    <t>CLI-01555</t>
  </si>
  <si>
    <t>CLI-01560</t>
  </si>
  <si>
    <t>CLI-01561</t>
  </si>
  <si>
    <t>CLI-01563</t>
  </si>
  <si>
    <t>CLI-01565</t>
  </si>
  <si>
    <t>CLI-01566</t>
  </si>
  <si>
    <t>CLI-01568</t>
  </si>
  <si>
    <t>CLI-01571</t>
  </si>
  <si>
    <t>CLI-01573</t>
  </si>
  <si>
    <t>CLI-01578</t>
  </si>
  <si>
    <t>CLI-01584</t>
  </si>
  <si>
    <t>CLI-01588</t>
  </si>
  <si>
    <t>CLI-01589</t>
  </si>
  <si>
    <t>CLI-01591</t>
  </si>
  <si>
    <t>CLI-01595</t>
  </si>
  <si>
    <t>CLI-01597</t>
  </si>
  <si>
    <t>CLI-01598</t>
  </si>
  <si>
    <t>CLI-01600</t>
  </si>
  <si>
    <t>CLI-01602</t>
  </si>
  <si>
    <t>CLI-01603</t>
  </si>
  <si>
    <t>CLI-01604</t>
  </si>
  <si>
    <t>CLI-01606</t>
  </si>
  <si>
    <t>CLI-01607</t>
  </si>
  <si>
    <t>CLI-01616</t>
  </si>
  <si>
    <t>CLI-01617</t>
  </si>
  <si>
    <t>CLI-01618</t>
  </si>
  <si>
    <t>CLI-01619</t>
  </si>
  <si>
    <t>CLI-01621</t>
  </si>
  <si>
    <t>CLI-01622</t>
  </si>
  <si>
    <t>CLI-01623</t>
  </si>
  <si>
    <t>CLI-01624</t>
  </si>
  <si>
    <t>CLI-01626</t>
  </si>
  <si>
    <t>CLI-01629</t>
  </si>
  <si>
    <t>CLI-01630</t>
  </si>
  <si>
    <t>CLI-01637</t>
  </si>
  <si>
    <t>CLI-01638</t>
  </si>
  <si>
    <t>CLI-01646</t>
  </si>
  <si>
    <t>CLI-01651</t>
  </si>
  <si>
    <t>CLI-01653</t>
  </si>
  <si>
    <t>CLI-01654</t>
  </si>
  <si>
    <t>CLI-01658</t>
  </si>
  <si>
    <t>CLI-01662</t>
  </si>
  <si>
    <t>CLI-01664</t>
  </si>
  <si>
    <t>CLI-01666</t>
  </si>
  <si>
    <t>CLI-01668</t>
  </si>
  <si>
    <t>CLI-01669</t>
  </si>
  <si>
    <t>CLI-01680</t>
  </si>
  <si>
    <t>CLI-01682</t>
  </si>
  <si>
    <t>CLI-01683</t>
  </si>
  <si>
    <t>CLI-01685</t>
  </si>
  <si>
    <t>CLI-01686</t>
  </si>
  <si>
    <t>CLI-01687</t>
  </si>
  <si>
    <t>CLI-01688</t>
  </si>
  <si>
    <t>CLI-01689</t>
  </si>
  <si>
    <t>CLI-01694</t>
  </si>
  <si>
    <t>CLI-01695</t>
  </si>
  <si>
    <t>CLI-01697</t>
  </si>
  <si>
    <t>CLI-01698</t>
  </si>
  <si>
    <t>CLI-01701</t>
  </si>
  <si>
    <t>CLI-01702</t>
  </si>
  <si>
    <t>CLI-01704</t>
  </si>
  <si>
    <t>CLI-01705</t>
  </si>
  <si>
    <t>CLI-01706</t>
  </si>
  <si>
    <t>CLI-01709</t>
  </si>
  <si>
    <t>CLI-01710</t>
  </si>
  <si>
    <t>CLI-01714</t>
  </si>
  <si>
    <t>CLI-01719</t>
  </si>
  <si>
    <t>CLI-01720</t>
  </si>
  <si>
    <t>CLI-01721</t>
  </si>
  <si>
    <t>CLI-01722</t>
  </si>
  <si>
    <t>CLI-01723</t>
  </si>
  <si>
    <t>CLI-01724</t>
  </si>
  <si>
    <t>CLI-01726</t>
  </si>
  <si>
    <t>CLI-01728</t>
  </si>
  <si>
    <t>CLI-01729</t>
  </si>
  <si>
    <t>CLI-01731</t>
  </si>
  <si>
    <t>CLI-01732</t>
  </si>
  <si>
    <t>CLI-01735</t>
  </si>
  <si>
    <t>CLI-01736</t>
  </si>
  <si>
    <t>CLI-01739</t>
  </si>
  <si>
    <t>CLI-01740</t>
  </si>
  <si>
    <t>CLI-01741</t>
  </si>
  <si>
    <t>CLI-01746</t>
  </si>
  <si>
    <t>CLI-01749</t>
  </si>
  <si>
    <t>CLI-01757</t>
  </si>
  <si>
    <t>CLI-01759</t>
  </si>
  <si>
    <t>CLI-01761</t>
  </si>
  <si>
    <t>CLI-01765</t>
  </si>
  <si>
    <t>CLI-01766</t>
  </si>
  <si>
    <t>CLI-01768</t>
  </si>
  <si>
    <t>CLI-01773</t>
  </si>
  <si>
    <t>CLI-01775</t>
  </si>
  <si>
    <t>CLI-01776</t>
  </si>
  <si>
    <t>CLI-01780</t>
  </si>
  <si>
    <t>CLI-01782</t>
  </si>
  <si>
    <t>CLI-01783</t>
  </si>
  <si>
    <t>CLI-01788</t>
  </si>
  <si>
    <t>CLI-01793</t>
  </si>
  <si>
    <t>CLI-01794</t>
  </si>
  <si>
    <t>CLI-01796</t>
  </si>
  <si>
    <t>CLI-01797</t>
  </si>
  <si>
    <t>CLI-01802</t>
  </si>
  <si>
    <t>CLI-01804</t>
  </si>
  <si>
    <t>CLI-01812</t>
  </si>
  <si>
    <t>CLI-01814</t>
  </si>
  <si>
    <t>CLI-01816</t>
  </si>
  <si>
    <t>CLI-01818</t>
  </si>
  <si>
    <t>CLI-01820</t>
  </si>
  <si>
    <t>CLI-01821</t>
  </si>
  <si>
    <t>CLI-01822</t>
  </si>
  <si>
    <t>CLI-01823</t>
  </si>
  <si>
    <t>CLI-01824</t>
  </si>
  <si>
    <t>CLI-01830</t>
  </si>
  <si>
    <t>CLI-01832</t>
  </si>
  <si>
    <t>CLI-01835</t>
  </si>
  <si>
    <t>CLI-01836</t>
  </si>
  <si>
    <t>CLI-01837</t>
  </si>
  <si>
    <t>CLI-01839</t>
  </si>
  <si>
    <t>CLI-01843</t>
  </si>
  <si>
    <t>CLI-01844</t>
  </si>
  <si>
    <t>CLI-01845</t>
  </si>
  <si>
    <t>CLI-01846</t>
  </si>
  <si>
    <t>CLI-01847</t>
  </si>
  <si>
    <t>CLI-01848</t>
  </si>
  <si>
    <t>CLI-01850</t>
  </si>
  <si>
    <t>CLI-01851</t>
  </si>
  <si>
    <t>CLI-01852</t>
  </si>
  <si>
    <t>CLI-01854</t>
  </si>
  <si>
    <t>CLI-01855</t>
  </si>
  <si>
    <t>CLI-01858</t>
  </si>
  <si>
    <t>CLI-01860</t>
  </si>
  <si>
    <t>CLI-01861</t>
  </si>
  <si>
    <t>CLI-01868</t>
  </si>
  <si>
    <t>CLI-01871</t>
  </si>
  <si>
    <t>CLI-01873</t>
  </si>
  <si>
    <t>CLI-01876</t>
  </si>
  <si>
    <t>CLI-01877</t>
  </si>
  <si>
    <t>CLI-01880</t>
  </si>
  <si>
    <t>CLI-01885</t>
  </si>
  <si>
    <t>CLI-01888</t>
  </si>
  <si>
    <t>CLI-01890</t>
  </si>
  <si>
    <t>CLI-01891</t>
  </si>
  <si>
    <t>CLI-01893</t>
  </si>
  <si>
    <t>CLI-01906</t>
  </si>
  <si>
    <t>CLI-01908</t>
  </si>
  <si>
    <t>CLI-01911</t>
  </si>
  <si>
    <t>CLI-01916</t>
  </si>
  <si>
    <t>CLI-01917</t>
  </si>
  <si>
    <t>CLI-01920</t>
  </si>
  <si>
    <t>CLI-01923</t>
  </si>
  <si>
    <t>CLI-01926</t>
  </si>
  <si>
    <t>CLI-01927</t>
  </si>
  <si>
    <t>CLI-01929</t>
  </si>
  <si>
    <t>CLI-01931</t>
  </si>
  <si>
    <t>CLI-01932</t>
  </si>
  <si>
    <t>CLI-01933</t>
  </si>
  <si>
    <t>CLI-01938</t>
  </si>
  <si>
    <t>CLI-01940</t>
  </si>
  <si>
    <t>CLI-01949</t>
  </si>
  <si>
    <t>CLI-01950</t>
  </si>
  <si>
    <t>CLI-01957</t>
  </si>
  <si>
    <t>CLI-01959</t>
  </si>
  <si>
    <t>CLI-01960</t>
  </si>
  <si>
    <t>CLI-01964</t>
  </si>
  <si>
    <t>CLI-01966</t>
  </si>
  <si>
    <t>CLI-01967</t>
  </si>
  <si>
    <t>CLI-01969</t>
  </si>
  <si>
    <t>CLI-01970</t>
  </si>
  <si>
    <t>CLI-01971</t>
  </si>
  <si>
    <t>CLI-01972</t>
  </si>
  <si>
    <t>CLI-01973</t>
  </si>
  <si>
    <t>CLI-01974</t>
  </si>
  <si>
    <t>CLI-01975</t>
  </si>
  <si>
    <t>CLI-01977</t>
  </si>
  <si>
    <t>CLI-01979</t>
  </si>
  <si>
    <t>CLI-01981</t>
  </si>
  <si>
    <t>CLI-01982</t>
  </si>
  <si>
    <t>CLI-01986</t>
  </si>
  <si>
    <t>CLI-01988</t>
  </si>
  <si>
    <t>CLI-01990</t>
  </si>
  <si>
    <t>CLI-01992</t>
  </si>
  <si>
    <t>CLI-01995</t>
  </si>
  <si>
    <t>CLI-01998</t>
  </si>
  <si>
    <t>CLI-01999</t>
  </si>
  <si>
    <t>Longiture</t>
  </si>
  <si>
    <t>Remise taux</t>
  </si>
  <si>
    <t xml:space="preserve"> Duree_Cumulee_Panne_Min</t>
  </si>
  <si>
    <t>Moyenne de Plaintes_Service_Client</t>
  </si>
  <si>
    <t>Grand Total</t>
  </si>
  <si>
    <t>Province Clients</t>
  </si>
  <si>
    <t>ID_Client</t>
  </si>
  <si>
    <t>Facture_Mensuelle $</t>
  </si>
  <si>
    <t>Plaintes_Service_Client $</t>
  </si>
  <si>
    <t>Perte financière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</si>
</sst>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yyyy\-mm\-dd\ hh:mm:ss"/>
    <numFmt numFmtId="165" formatCode="0.0"/>
    <numFmt numFmtId="166" formatCode="#,##0.00\ &quot;€&quot;"/>
    <numFmt numFmtId="167" formatCode="_-[$$-409]* #,##0.00_ ;_-[$$-409]* \-#,##0.00\ ;_-[$$-409]* &quot;-&quot;??_ ;_-@_ 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38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2" borderId="0" xfId="0" applyFill="1"/>
    <xf numFmtId="0" fontId="2" fillId="0" borderId="0" xfId="0" applyFont="1"/>
    <xf numFmtId="0" fontId="1" fillId="3" borderId="0" xfId="0" applyFont="1" applyFill="1"/>
    <xf numFmtId="0" fontId="0" fillId="0" borderId="0" xfId="0" applyAlignment="1">
      <alignment horizontal="left" indent="1"/>
    </xf>
    <xf numFmtId="165" fontId="0" fillId="0" borderId="0" xfId="0" applyNumberFormat="1"/>
    <xf numFmtId="0" fontId="3" fillId="4" borderId="0" xfId="0" applyFont="1" applyFill="1" applyAlignment="1">
      <alignment horizontal="left"/>
    </xf>
    <xf numFmtId="0" fontId="3" fillId="4" borderId="0" xfId="0" applyFont="1" applyFill="1"/>
    <xf numFmtId="165" fontId="3" fillId="4" borderId="0" xfId="0" applyNumberFormat="1" applyFont="1" applyFill="1"/>
    <xf numFmtId="0" fontId="0" fillId="4" borderId="0" xfId="0" applyFill="1" applyAlignment="1">
      <alignment horizontal="left"/>
    </xf>
    <xf numFmtId="0" fontId="0" fillId="4" borderId="0" xfId="0" applyFill="1"/>
    <xf numFmtId="165" fontId="0" fillId="4" borderId="0" xfId="0" applyNumberFormat="1" applyFill="1"/>
    <xf numFmtId="0" fontId="4" fillId="4" borderId="0" xfId="0" applyFont="1" applyFill="1" applyAlignment="1">
      <alignment horizontal="left"/>
    </xf>
    <xf numFmtId="0" fontId="4" fillId="4" borderId="0" xfId="0" applyFont="1" applyFill="1"/>
    <xf numFmtId="165" fontId="4" fillId="4" borderId="0" xfId="0" applyNumberFormat="1" applyFont="1" applyFill="1"/>
    <xf numFmtId="0" fontId="5" fillId="4" borderId="0" xfId="0" applyFont="1" applyFill="1" applyAlignment="1">
      <alignment horizontal="left"/>
    </xf>
    <xf numFmtId="0" fontId="5" fillId="4" borderId="0" xfId="0" applyFont="1" applyFill="1"/>
    <xf numFmtId="165" fontId="5" fillId="4" borderId="0" xfId="0" applyNumberFormat="1" applyFont="1" applyFill="1"/>
    <xf numFmtId="0" fontId="6" fillId="4" borderId="0" xfId="0" applyFont="1" applyFill="1" applyAlignment="1">
      <alignment horizontal="left"/>
    </xf>
    <xf numFmtId="0" fontId="6" fillId="4" borderId="0" xfId="0" applyFont="1" applyFill="1"/>
    <xf numFmtId="165" fontId="6" fillId="4" borderId="0" xfId="0" applyNumberFormat="1" applyFont="1" applyFill="1"/>
    <xf numFmtId="0" fontId="7" fillId="4" borderId="0" xfId="0" applyFont="1" applyFill="1" applyAlignment="1">
      <alignment horizontal="left"/>
    </xf>
    <xf numFmtId="0" fontId="7" fillId="4" borderId="0" xfId="0" applyFont="1" applyFill="1"/>
    <xf numFmtId="165" fontId="7" fillId="4" borderId="0" xfId="0" applyNumberFormat="1" applyFont="1" applyFill="1"/>
    <xf numFmtId="0" fontId="1" fillId="5" borderId="0" xfId="0" applyFont="1" applyFill="1" applyAlignment="1">
      <alignment horizontal="left"/>
    </xf>
    <xf numFmtId="0" fontId="1" fillId="5" borderId="0" xfId="0" applyFont="1" applyFill="1"/>
    <xf numFmtId="165" fontId="1" fillId="5" borderId="0" xfId="0" applyNumberFormat="1" applyFont="1" applyFill="1"/>
    <xf numFmtId="0" fontId="0" fillId="6" borderId="0" xfId="0" applyFill="1"/>
    <xf numFmtId="0" fontId="2" fillId="7" borderId="0" xfId="0" applyFont="1" applyFill="1"/>
    <xf numFmtId="0" fontId="0" fillId="7" borderId="0" xfId="0" applyFill="1"/>
    <xf numFmtId="0" fontId="0" fillId="8" borderId="0" xfId="0" applyFill="1"/>
    <xf numFmtId="2" fontId="0" fillId="0" borderId="0" xfId="2" applyNumberFormat="1" applyFont="1"/>
    <xf numFmtId="166" fontId="0" fillId="0" borderId="0" xfId="0" applyNumberFormat="1"/>
    <xf numFmtId="44" fontId="0" fillId="0" borderId="0" xfId="1" applyFont="1"/>
    <xf numFmtId="167" fontId="0" fillId="0" borderId="0" xfId="0" applyNumberFormat="1"/>
    <xf numFmtId="167" fontId="0" fillId="0" borderId="0" xfId="1" applyNumberFormat="1" applyFont="1"/>
  </cellXfs>
  <cellStyles count="3">
    <cellStyle name="Monétaire" xfId="1" builtinId="4"/>
    <cellStyle name="Normal" xfId="0" builtinId="0"/>
    <cellStyle name="Pourcentage" xfId="2" builtinId="5"/>
  </cellStyles>
  <dxfs count="50">
    <dxf>
      <font>
        <color theme="0"/>
      </font>
    </dxf>
    <dxf>
      <fill>
        <patternFill patternType="solid">
          <bgColor rgb="FF0070C0"/>
        </patternFill>
      </fill>
    </dxf>
    <dxf>
      <font>
        <b/>
      </font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rgb="FFFFFF00"/>
      </font>
    </dxf>
    <dxf>
      <fill>
        <patternFill>
          <bgColor rgb="FF92D050"/>
        </patternFill>
      </fill>
    </dxf>
    <dxf>
      <font>
        <color rgb="FFFFFF00"/>
      </font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rgb="FF0070C0"/>
      </font>
    </dxf>
    <dxf>
      <fill>
        <patternFill patternType="solid">
          <bgColor rgb="FF92D050"/>
        </patternFill>
      </fill>
    </dxf>
    <dxf>
      <font>
        <color theme="5" tint="-0.499984740745262"/>
      </font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rgb="FFFFFF00"/>
      </font>
    </dxf>
    <dxf>
      <font>
        <color rgb="FFFF0000"/>
      </font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rgb="FFFF0000"/>
      </font>
    </dxf>
    <dxf>
      <fill>
        <patternFill patternType="solid">
          <bgColor rgb="FF92D050"/>
        </patternFill>
      </fill>
    </dxf>
    <dxf>
      <font>
        <b/>
      </font>
    </dxf>
    <dxf>
      <font>
        <color rgb="FFFF0000"/>
      </font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rgb="FFFF0000"/>
      </font>
    </dxf>
    <dxf>
      <numFmt numFmtId="165" formatCode="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\ hh:mm:ss"/>
    </dxf>
    <dxf>
      <font>
        <b/>
      </font>
    </dxf>
    <dxf>
      <numFmt numFmtId="2" formatCode="0.00"/>
    </dxf>
    <dxf>
      <numFmt numFmtId="166" formatCode="#,##0.00\ &quot;€&quot;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03.829816087964" createdVersion="7" refreshedVersion="8" minRefreshableVersion="3" recordCount="750" xr:uid="{E1016236-9DB9-4D0C-B178-B65444DF38D7}">
  <cacheSource type="worksheet">
    <worksheetSource name="Tableau2"/>
  </cacheSource>
  <cacheFields count="8">
    <cacheField name="ID_Client" numFmtId="0">
      <sharedItems/>
    </cacheField>
    <cacheField name="Province_Client" numFmtId="0">
      <sharedItems count="26">
        <s v="Tanganyika"/>
        <s v="Kwilu"/>
        <s v="Mongala"/>
        <s v="Kongo-Central"/>
        <s v="Haut-Lomami"/>
        <s v="Bas-Uele"/>
        <s v="Tshuapa"/>
        <s v="Maniema"/>
        <s v="Ituri"/>
        <s v="Nord-Kivu"/>
        <s v="Lomami"/>
        <s v="Sud-Kivu"/>
        <s v="Haut-Uele"/>
        <s v="Kasai"/>
        <s v="Haut-Katanga"/>
        <s v="Kasai-Central"/>
        <s v="Sud-Ubangi"/>
        <s v="Mai-Ndombe"/>
        <s v="Equateur"/>
        <s v="Kwango"/>
        <s v="Tshopo"/>
        <s v="Kasai-Oriental"/>
        <s v="Nord-Ubangi"/>
        <s v="Kinshasa"/>
        <s v="Sankuru"/>
        <s v="Lualaba"/>
      </sharedItems>
    </cacheField>
    <cacheField name="Anciennete_Mois" numFmtId="0">
      <sharedItems containsSemiMixedTypes="0" containsString="0" containsNumber="1" containsInteger="1" minValue="-53" maxValue="120"/>
    </cacheField>
    <cacheField name="Type_Forfait" numFmtId="0">
      <sharedItems count="4">
        <s v="Bloqué 5Go"/>
        <s v="Pro Monde"/>
        <s v="Illimité 50Go"/>
        <s v="Premium 5G 150Go"/>
      </sharedItems>
    </cacheField>
    <cacheField name="Duree_Cumulee_Panne_Min" numFmtId="0">
      <sharedItems containsSemiMixedTypes="0" containsString="0" containsNumber="1" containsInteger="1" minValue="1" maxValue="499"/>
    </cacheField>
    <cacheField name="Facture_Mensuelle" numFmtId="0">
      <sharedItems containsMixedTypes="1" containsNumber="1" minValue="10" maxValue="99.93"/>
    </cacheField>
    <cacheField name="Plaintes_Service_Client" numFmtId="0">
      <sharedItems containsSemiMixedTypes="0" containsString="0" containsNumber="1" containsInteger="1" minValue="0" maxValue="5"/>
    </cacheField>
    <cacheField name="Remise taux" numFmtId="0">
      <sharedItems containsMixedTypes="1" containsNumber="1" minValue="0" maxValue="44.96850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0">
  <r>
    <s v="CLI-00007"/>
    <x v="0"/>
    <n v="110"/>
    <x v="0"/>
    <n v="112"/>
    <n v="98.95"/>
    <n v="5"/>
    <n v="0"/>
  </r>
  <r>
    <s v="CLI-00009"/>
    <x v="1"/>
    <n v="105"/>
    <x v="1"/>
    <n v="297"/>
    <n v="84.66"/>
    <n v="2"/>
    <n v="38.097000000000001"/>
  </r>
  <r>
    <s v="CLI-00011"/>
    <x v="2"/>
    <n v="49"/>
    <x v="2"/>
    <n v="86"/>
    <n v="65.400000000000006"/>
    <n v="2"/>
    <n v="0"/>
  </r>
  <r>
    <s v="CLI-00012"/>
    <x v="3"/>
    <n v="105"/>
    <x v="2"/>
    <n v="172"/>
    <n v="15.88"/>
    <n v="5"/>
    <n v="0"/>
  </r>
  <r>
    <s v="CLI-00017"/>
    <x v="0"/>
    <n v="29"/>
    <x v="2"/>
    <n v="124"/>
    <n v="43.83"/>
    <n v="5"/>
    <n v="0"/>
  </r>
  <r>
    <s v="CLI-00022"/>
    <x v="4"/>
    <n v="77"/>
    <x v="3"/>
    <n v="488"/>
    <n v="21.17"/>
    <n v="0"/>
    <n v="9.5265000000000004"/>
  </r>
  <r>
    <s v="CLI-00028"/>
    <x v="1"/>
    <n v="18"/>
    <x v="1"/>
    <n v="216"/>
    <n v="33.74"/>
    <n v="5"/>
    <n v="0"/>
  </r>
  <r>
    <s v="CLI-00029"/>
    <x v="5"/>
    <n v="119"/>
    <x v="1"/>
    <n v="344"/>
    <n v="10.28"/>
    <n v="0"/>
    <n v="4.6259999999999994"/>
  </r>
  <r>
    <s v="CLI-00033"/>
    <x v="6"/>
    <n v="2"/>
    <x v="3"/>
    <n v="201"/>
    <n v="71.900000000000006"/>
    <n v="2"/>
    <n v="32.355000000000004"/>
  </r>
  <r>
    <s v="CLI-00034"/>
    <x v="3"/>
    <n v="25"/>
    <x v="0"/>
    <n v="95"/>
    <n v="15.93"/>
    <n v="4"/>
    <n v="0"/>
  </r>
  <r>
    <s v="CLI-00037"/>
    <x v="0"/>
    <n v="35"/>
    <x v="3"/>
    <n v="332"/>
    <n v="11.15"/>
    <n v="0"/>
    <n v="5.0175000000000001"/>
  </r>
  <r>
    <s v="CLI-00039"/>
    <x v="7"/>
    <n v="119"/>
    <x v="1"/>
    <n v="31"/>
    <n v="21.27"/>
    <n v="5"/>
    <n v="0"/>
  </r>
  <r>
    <s v="CLI-00041"/>
    <x v="8"/>
    <n v="103"/>
    <x v="1"/>
    <n v="105"/>
    <n v="61.52"/>
    <n v="3"/>
    <n v="0"/>
  </r>
  <r>
    <s v="CLI-00043"/>
    <x v="9"/>
    <n v="118"/>
    <x v="1"/>
    <n v="132"/>
    <n v="40.880000000000003"/>
    <n v="4"/>
    <n v="0"/>
  </r>
  <r>
    <s v="CLI-00044"/>
    <x v="10"/>
    <n v="53"/>
    <x v="2"/>
    <n v="345"/>
    <n v="83.73"/>
    <n v="0"/>
    <n v="37.6785"/>
  </r>
  <r>
    <s v="CLI-00045"/>
    <x v="0"/>
    <n v="33"/>
    <x v="0"/>
    <n v="54"/>
    <n v="71.319999999999993"/>
    <n v="4"/>
    <n v="0"/>
  </r>
  <r>
    <s v="CLI-00048"/>
    <x v="8"/>
    <n v="16"/>
    <x v="0"/>
    <n v="461"/>
    <n v="38.369999999999997"/>
    <n v="4"/>
    <n v="17.266500000000001"/>
  </r>
  <r>
    <s v="CLI-00054"/>
    <x v="11"/>
    <n v="34"/>
    <x v="0"/>
    <n v="40"/>
    <n v="65.709999999999994"/>
    <n v="5"/>
    <n v="0"/>
  </r>
  <r>
    <s v="CLI-00055"/>
    <x v="12"/>
    <n v="6"/>
    <x v="1"/>
    <n v="206"/>
    <n v="10"/>
    <n v="5"/>
    <n v="0"/>
  </r>
  <r>
    <s v="CLI-00057"/>
    <x v="13"/>
    <n v="4"/>
    <x v="0"/>
    <n v="182"/>
    <n v="89.56"/>
    <n v="4"/>
    <n v="0"/>
  </r>
  <r>
    <s v="CLI-00059"/>
    <x v="14"/>
    <n v="69"/>
    <x v="1"/>
    <n v="76"/>
    <n v="91.8"/>
    <n v="5"/>
    <n v="0"/>
  </r>
  <r>
    <s v="CLI-00060"/>
    <x v="15"/>
    <n v="72"/>
    <x v="1"/>
    <n v="160"/>
    <n v="90.13"/>
    <n v="2"/>
    <n v="0"/>
  </r>
  <r>
    <s v="CLI-00070"/>
    <x v="16"/>
    <n v="52"/>
    <x v="2"/>
    <n v="119"/>
    <n v="64.709999999999994"/>
    <n v="4"/>
    <n v="0"/>
  </r>
  <r>
    <s v="CLI-00072"/>
    <x v="13"/>
    <n v="67"/>
    <x v="2"/>
    <n v="264"/>
    <n v="97.89"/>
    <n v="1"/>
    <n v="44.0505"/>
  </r>
  <r>
    <s v="CLI-00074"/>
    <x v="3"/>
    <n v="78"/>
    <x v="3"/>
    <n v="60"/>
    <n v="33.159999999999997"/>
    <n v="5"/>
    <n v="0"/>
  </r>
  <r>
    <s v="CLI-00076"/>
    <x v="14"/>
    <n v="46"/>
    <x v="3"/>
    <n v="283"/>
    <n v="56.05"/>
    <n v="1"/>
    <n v="25.2225"/>
  </r>
  <r>
    <s v="CLI-00083"/>
    <x v="12"/>
    <n v="17"/>
    <x v="3"/>
    <n v="499"/>
    <n v="27.81"/>
    <n v="2"/>
    <n v="12.5145"/>
  </r>
  <r>
    <s v="CLI-00084"/>
    <x v="3"/>
    <n v="15"/>
    <x v="3"/>
    <n v="75"/>
    <n v="45.59"/>
    <n v="0"/>
    <n v="20.515500000000003"/>
  </r>
  <r>
    <s v="CLI-00085"/>
    <x v="2"/>
    <n v="106"/>
    <x v="1"/>
    <n v="429"/>
    <n v="23.83"/>
    <n v="1"/>
    <n v="10.7235"/>
  </r>
  <r>
    <s v="CLI-00087"/>
    <x v="13"/>
    <n v="14"/>
    <x v="3"/>
    <n v="75"/>
    <n v="55.67"/>
    <n v="3"/>
    <n v="25.051500000000001"/>
  </r>
  <r>
    <s v="CLI-00090"/>
    <x v="17"/>
    <n v="15"/>
    <x v="0"/>
    <n v="400"/>
    <n v="78.09"/>
    <n v="0"/>
    <n v="35.140500000000003"/>
  </r>
  <r>
    <s v="CLI-00091"/>
    <x v="18"/>
    <n v="50"/>
    <x v="0"/>
    <n v="435"/>
    <n v="27.86"/>
    <n v="3"/>
    <n v="12.537000000000001"/>
  </r>
  <r>
    <s v="CLI-00093"/>
    <x v="7"/>
    <n v="12"/>
    <x v="1"/>
    <n v="42"/>
    <n v="48.64"/>
    <n v="0"/>
    <n v="0"/>
  </r>
  <r>
    <s v="CLI-00094"/>
    <x v="19"/>
    <n v="29"/>
    <x v="1"/>
    <n v="493"/>
    <n v="42.02"/>
    <n v="1"/>
    <n v="18.909000000000002"/>
  </r>
  <r>
    <s v="CLI-00098"/>
    <x v="4"/>
    <n v="42"/>
    <x v="1"/>
    <n v="167"/>
    <n v="45.85"/>
    <n v="2"/>
    <n v="0"/>
  </r>
  <r>
    <s v="CLI-00100"/>
    <x v="20"/>
    <n v="74"/>
    <x v="0"/>
    <n v="388"/>
    <n v="10.89"/>
    <n v="4"/>
    <n v="4.9005000000000001"/>
  </r>
  <r>
    <s v="CLI-00102"/>
    <x v="12"/>
    <n v="93"/>
    <x v="3"/>
    <n v="150"/>
    <n v="93.25"/>
    <n v="3"/>
    <n v="0"/>
  </r>
  <r>
    <s v="CLI-00105"/>
    <x v="6"/>
    <n v="19"/>
    <x v="0"/>
    <n v="345"/>
    <n v="54.37"/>
    <n v="2"/>
    <n v="24.4665"/>
  </r>
  <r>
    <s v="CLI-00107"/>
    <x v="21"/>
    <n v="82"/>
    <x v="3"/>
    <n v="88"/>
    <n v="86.64"/>
    <n v="1"/>
    <n v="0"/>
  </r>
  <r>
    <s v="CLI-00109"/>
    <x v="2"/>
    <n v="42"/>
    <x v="0"/>
    <n v="436"/>
    <n v="88.12"/>
    <n v="0"/>
    <n v="39.654000000000003"/>
  </r>
  <r>
    <s v="CLI-00112"/>
    <x v="22"/>
    <n v="98"/>
    <x v="0"/>
    <n v="52"/>
    <n v="52.82"/>
    <n v="2"/>
    <n v="0"/>
  </r>
  <r>
    <s v="CLI-00114"/>
    <x v="5"/>
    <n v="59"/>
    <x v="2"/>
    <n v="454"/>
    <n v="10.47"/>
    <n v="5"/>
    <n v="4.7115"/>
  </r>
  <r>
    <s v="CLI-00115"/>
    <x v="17"/>
    <n v="25"/>
    <x v="3"/>
    <n v="64"/>
    <n v="38.950000000000003"/>
    <n v="5"/>
    <n v="17.527500000000003"/>
  </r>
  <r>
    <s v="CLI-00121"/>
    <x v="13"/>
    <n v="43"/>
    <x v="3"/>
    <n v="486"/>
    <n v="76.42"/>
    <n v="1"/>
    <n v="34.389000000000003"/>
  </r>
  <r>
    <s v="CLI-00125"/>
    <x v="17"/>
    <n v="108"/>
    <x v="0"/>
    <n v="467"/>
    <n v="44.84"/>
    <n v="4"/>
    <n v="20.178000000000001"/>
  </r>
  <r>
    <s v="CLI-00131"/>
    <x v="10"/>
    <n v="101"/>
    <x v="1"/>
    <n v="176"/>
    <n v="86"/>
    <n v="3"/>
    <n v="0"/>
  </r>
  <r>
    <s v="CLI-00136"/>
    <x v="14"/>
    <n v="120"/>
    <x v="2"/>
    <n v="224"/>
    <n v="69.36"/>
    <n v="0"/>
    <n v="0"/>
  </r>
  <r>
    <s v="CLI-00145"/>
    <x v="20"/>
    <n v="23"/>
    <x v="0"/>
    <n v="325"/>
    <n v="65.489999999999995"/>
    <n v="1"/>
    <n v="29.470499999999998"/>
  </r>
  <r>
    <s v="CLI-00150"/>
    <x v="10"/>
    <n v="12"/>
    <x v="1"/>
    <n v="125"/>
    <n v="36.93"/>
    <n v="0"/>
    <n v="0"/>
  </r>
  <r>
    <s v="CLI-00157"/>
    <x v="7"/>
    <n v="12"/>
    <x v="2"/>
    <n v="112"/>
    <n v="82.81"/>
    <n v="0"/>
    <n v="0"/>
  </r>
  <r>
    <s v="CLI-00158"/>
    <x v="21"/>
    <n v="35"/>
    <x v="1"/>
    <n v="445"/>
    <n v="24.11"/>
    <n v="2"/>
    <n v="10.849500000000001"/>
  </r>
  <r>
    <s v="CLI-00161"/>
    <x v="7"/>
    <n v="43"/>
    <x v="3"/>
    <n v="27"/>
    <n v="31.48"/>
    <n v="5"/>
    <n v="14.166"/>
  </r>
  <r>
    <s v="CLI-00163"/>
    <x v="8"/>
    <n v="81"/>
    <x v="2"/>
    <n v="11"/>
    <n v="41.76"/>
    <n v="5"/>
    <n v="0"/>
  </r>
  <r>
    <s v="CLI-00165"/>
    <x v="18"/>
    <n v="102"/>
    <x v="3"/>
    <n v="402"/>
    <n v="28.38"/>
    <n v="5"/>
    <n v="12.770999999999999"/>
  </r>
  <r>
    <s v="CLI-00167"/>
    <x v="21"/>
    <n v="84"/>
    <x v="0"/>
    <n v="380"/>
    <n v="82.3"/>
    <n v="1"/>
    <n v="37.034999999999997"/>
  </r>
  <r>
    <s v="CLI-00168"/>
    <x v="17"/>
    <n v="22"/>
    <x v="1"/>
    <n v="457"/>
    <n v="13.21"/>
    <n v="1"/>
    <n v="5.9445000000000006"/>
  </r>
  <r>
    <s v="CLI-00169"/>
    <x v="13"/>
    <n v="91"/>
    <x v="0"/>
    <n v="188"/>
    <n v="65.78"/>
    <n v="4"/>
    <n v="0"/>
  </r>
  <r>
    <s v="CLI-00171"/>
    <x v="5"/>
    <n v="1"/>
    <x v="0"/>
    <n v="135"/>
    <n v="89.16"/>
    <n v="3"/>
    <n v="0"/>
  </r>
  <r>
    <s v="CLI-00172"/>
    <x v="15"/>
    <n v="15"/>
    <x v="1"/>
    <n v="403"/>
    <n v="77.12"/>
    <n v="1"/>
    <n v="34.704000000000001"/>
  </r>
  <r>
    <s v="CLI-00173"/>
    <x v="16"/>
    <n v="50"/>
    <x v="1"/>
    <n v="108"/>
    <n v="43.81"/>
    <n v="5"/>
    <n v="0"/>
  </r>
  <r>
    <s v="CLI-00176"/>
    <x v="7"/>
    <n v="19"/>
    <x v="0"/>
    <n v="305"/>
    <n v="81.11"/>
    <n v="1"/>
    <n v="36.499499999999998"/>
  </r>
  <r>
    <s v="CLI-00177"/>
    <x v="10"/>
    <n v="56"/>
    <x v="0"/>
    <n v="27"/>
    <n v="46.41"/>
    <n v="3"/>
    <n v="0"/>
  </r>
  <r>
    <s v="CLI-00180"/>
    <x v="15"/>
    <n v="39"/>
    <x v="1"/>
    <n v="289"/>
    <n v="86.7"/>
    <n v="3"/>
    <n v="39.015000000000001"/>
  </r>
  <r>
    <s v="CLI-00183"/>
    <x v="17"/>
    <n v="98"/>
    <x v="3"/>
    <n v="319"/>
    <n v="88.58"/>
    <n v="0"/>
    <n v="39.860999999999997"/>
  </r>
  <r>
    <s v="CLI-00184"/>
    <x v="23"/>
    <n v="71"/>
    <x v="3"/>
    <n v="191"/>
    <n v="83.04"/>
    <n v="4"/>
    <n v="0"/>
  </r>
  <r>
    <s v="CLI-00185"/>
    <x v="7"/>
    <n v="81"/>
    <x v="1"/>
    <n v="154"/>
    <n v="19.47"/>
    <n v="3"/>
    <n v="0"/>
  </r>
  <r>
    <s v="CLI-00190"/>
    <x v="14"/>
    <n v="34"/>
    <x v="0"/>
    <n v="35"/>
    <n v="76.86"/>
    <n v="1"/>
    <n v="0"/>
  </r>
  <r>
    <s v="CLI-00191"/>
    <x v="14"/>
    <n v="55"/>
    <x v="2"/>
    <n v="60"/>
    <n v="32.51"/>
    <n v="4"/>
    <n v="0"/>
  </r>
  <r>
    <s v="CLI-00192"/>
    <x v="20"/>
    <n v="47"/>
    <x v="1"/>
    <n v="107"/>
    <n v="35.380000000000003"/>
    <n v="1"/>
    <n v="0"/>
  </r>
  <r>
    <s v="CLI-00194"/>
    <x v="9"/>
    <n v="48"/>
    <x v="2"/>
    <n v="187"/>
    <n v="21.26"/>
    <n v="2"/>
    <n v="0"/>
  </r>
  <r>
    <s v="CLI-00196"/>
    <x v="9"/>
    <n v="47"/>
    <x v="1"/>
    <n v="378"/>
    <n v="36.42"/>
    <n v="1"/>
    <n v="16.389000000000003"/>
  </r>
  <r>
    <s v="CLI-00197"/>
    <x v="24"/>
    <n v="109"/>
    <x v="2"/>
    <n v="84"/>
    <n v="97.46"/>
    <n v="5"/>
    <n v="0"/>
  </r>
  <r>
    <s v="CLI-00206"/>
    <x v="5"/>
    <n v="40"/>
    <x v="2"/>
    <n v="219"/>
    <n v="53.98"/>
    <n v="2"/>
    <n v="0"/>
  </r>
  <r>
    <s v="CLI-00211"/>
    <x v="6"/>
    <n v="56"/>
    <x v="2"/>
    <n v="367"/>
    <n v="72.790000000000006"/>
    <n v="1"/>
    <n v="32.755500000000005"/>
  </r>
  <r>
    <s v="CLI-00218"/>
    <x v="1"/>
    <n v="111"/>
    <x v="0"/>
    <n v="76"/>
    <n v="38.19"/>
    <n v="5"/>
    <n v="0"/>
  </r>
  <r>
    <s v="CLI-00219"/>
    <x v="24"/>
    <n v="99"/>
    <x v="2"/>
    <n v="493"/>
    <n v="55.43"/>
    <n v="2"/>
    <n v="24.9435"/>
  </r>
  <r>
    <s v="CLI-00221"/>
    <x v="22"/>
    <n v="56"/>
    <x v="3"/>
    <n v="354"/>
    <n v="32.08"/>
    <n v="1"/>
    <n v="14.436"/>
  </r>
  <r>
    <s v="CLI-00227"/>
    <x v="10"/>
    <n v="118"/>
    <x v="1"/>
    <n v="22"/>
    <n v="15.39"/>
    <n v="1"/>
    <n v="0"/>
  </r>
  <r>
    <s v="CLI-00230"/>
    <x v="11"/>
    <n v="59"/>
    <x v="2"/>
    <n v="192"/>
    <n v="86.17"/>
    <n v="1"/>
    <n v="0"/>
  </r>
  <r>
    <s v="CLI-00231"/>
    <x v="21"/>
    <n v="17"/>
    <x v="0"/>
    <n v="404"/>
    <n v="83.4"/>
    <n v="1"/>
    <n v="37.53"/>
  </r>
  <r>
    <s v="CLI-00232"/>
    <x v="0"/>
    <n v="69"/>
    <x v="0"/>
    <n v="306"/>
    <n v="13.97"/>
    <n v="1"/>
    <n v="6.2865000000000002"/>
  </r>
  <r>
    <s v="CLI-00234"/>
    <x v="18"/>
    <n v="93"/>
    <x v="3"/>
    <n v="136"/>
    <n v="19.09"/>
    <n v="1"/>
    <n v="0"/>
  </r>
  <r>
    <s v="CLI-00238"/>
    <x v="15"/>
    <n v="43"/>
    <x v="0"/>
    <n v="20"/>
    <n v="66.680000000000007"/>
    <n v="5"/>
    <n v="0"/>
  </r>
  <r>
    <s v="CLI-00239"/>
    <x v="2"/>
    <n v="119"/>
    <x v="2"/>
    <n v="475"/>
    <n v="25.98"/>
    <n v="4"/>
    <n v="11.691000000000001"/>
  </r>
  <r>
    <s v="CLI-00240"/>
    <x v="1"/>
    <n v="41"/>
    <x v="0"/>
    <n v="425"/>
    <n v="42.33"/>
    <n v="3"/>
    <n v="19.048500000000001"/>
  </r>
  <r>
    <s v="CLI-00241"/>
    <x v="0"/>
    <n v="50"/>
    <x v="0"/>
    <n v="248"/>
    <n v="69.42"/>
    <n v="0"/>
    <n v="31.239000000000001"/>
  </r>
  <r>
    <s v="CLI-00243"/>
    <x v="11"/>
    <n v="47"/>
    <x v="2"/>
    <n v="340"/>
    <n v="31.02"/>
    <n v="5"/>
    <n v="13.959"/>
  </r>
  <r>
    <s v="CLI-00247"/>
    <x v="19"/>
    <n v="52"/>
    <x v="3"/>
    <n v="425"/>
    <n v="97.25"/>
    <n v="0"/>
    <n v="43.762500000000003"/>
  </r>
  <r>
    <s v="CLI-00248"/>
    <x v="17"/>
    <n v="20"/>
    <x v="0"/>
    <n v="26"/>
    <n v="25.14"/>
    <n v="0"/>
    <n v="0"/>
  </r>
  <r>
    <s v="CLI-00250"/>
    <x v="20"/>
    <n v="43"/>
    <x v="0"/>
    <n v="181"/>
    <n v="72.39"/>
    <n v="2"/>
    <n v="0"/>
  </r>
  <r>
    <s v="CLI-00251"/>
    <x v="8"/>
    <n v="44"/>
    <x v="1"/>
    <n v="137"/>
    <n v="32.58"/>
    <n v="0"/>
    <n v="0"/>
  </r>
  <r>
    <s v="CLI-00254"/>
    <x v="5"/>
    <n v="95"/>
    <x v="1"/>
    <n v="127"/>
    <n v="94.9"/>
    <n v="4"/>
    <n v="0"/>
  </r>
  <r>
    <s v="CLI-00257"/>
    <x v="9"/>
    <n v="63"/>
    <x v="1"/>
    <n v="449"/>
    <n v="37.08"/>
    <n v="0"/>
    <n v="16.686"/>
  </r>
  <r>
    <s v="CLI-00262"/>
    <x v="8"/>
    <n v="24"/>
    <x v="2"/>
    <n v="392"/>
    <n v="27.06"/>
    <n v="1"/>
    <n v="12.177"/>
  </r>
  <r>
    <s v="CLI-00265"/>
    <x v="0"/>
    <n v="9"/>
    <x v="0"/>
    <n v="11"/>
    <n v="72.36"/>
    <n v="2"/>
    <n v="0"/>
  </r>
  <r>
    <s v="CLI-00267"/>
    <x v="15"/>
    <n v="11"/>
    <x v="0"/>
    <n v="52"/>
    <n v="76.53"/>
    <n v="5"/>
    <n v="0"/>
  </r>
  <r>
    <s v="CLI-00269"/>
    <x v="23"/>
    <n v="57"/>
    <x v="0"/>
    <n v="493"/>
    <n v="43.98"/>
    <n v="3"/>
    <n v="19.791"/>
  </r>
  <r>
    <s v="CLI-00271"/>
    <x v="22"/>
    <n v="40"/>
    <x v="0"/>
    <n v="38"/>
    <n v="17.63"/>
    <n v="0"/>
    <n v="0"/>
  </r>
  <r>
    <s v="CLI-00273"/>
    <x v="15"/>
    <n v="19"/>
    <x v="2"/>
    <n v="334"/>
    <n v="96.91"/>
    <n v="1"/>
    <n v="43.609499999999997"/>
  </r>
  <r>
    <s v="CLI-00274"/>
    <x v="20"/>
    <n v="108"/>
    <x v="1"/>
    <n v="48"/>
    <n v="86.22"/>
    <n v="3"/>
    <n v="0"/>
  </r>
  <r>
    <s v="CLI-00277"/>
    <x v="2"/>
    <n v="37"/>
    <x v="1"/>
    <n v="150"/>
    <n v="37.979999999999997"/>
    <n v="4"/>
    <n v="0"/>
  </r>
  <r>
    <s v="CLI-00279"/>
    <x v="13"/>
    <n v="52"/>
    <x v="1"/>
    <n v="234"/>
    <n v="62.87"/>
    <n v="0"/>
    <n v="0"/>
  </r>
  <r>
    <s v="CLI-00280"/>
    <x v="16"/>
    <n v="113"/>
    <x v="2"/>
    <n v="380"/>
    <n v="12.11"/>
    <n v="0"/>
    <n v="5.4494999999999996"/>
  </r>
  <r>
    <s v="CLI-00288"/>
    <x v="18"/>
    <n v="21"/>
    <x v="3"/>
    <n v="371"/>
    <n v="48.31"/>
    <n v="0"/>
    <n v="21.739500000000003"/>
  </r>
  <r>
    <s v="CLI-00291"/>
    <x v="1"/>
    <n v="7"/>
    <x v="1"/>
    <n v="347"/>
    <n v="41.84"/>
    <n v="2"/>
    <n v="18.828000000000003"/>
  </r>
  <r>
    <s v="CLI-00296"/>
    <x v="22"/>
    <n v="102"/>
    <x v="1"/>
    <n v="283"/>
    <n v="28.98"/>
    <n v="3"/>
    <n v="13.041"/>
  </r>
  <r>
    <s v="CLI-00297"/>
    <x v="16"/>
    <n v="87"/>
    <x v="1"/>
    <n v="450"/>
    <n v="64.3"/>
    <n v="2"/>
    <n v="28.934999999999999"/>
  </r>
  <r>
    <s v="CLI-00298"/>
    <x v="6"/>
    <n v="76"/>
    <x v="3"/>
    <n v="413"/>
    <n v="28.39"/>
    <n v="3"/>
    <n v="12.775500000000001"/>
  </r>
  <r>
    <s v="CLI-00299"/>
    <x v="2"/>
    <n v="2"/>
    <x v="1"/>
    <n v="496"/>
    <n v="15.71"/>
    <n v="3"/>
    <n v="7.0695000000000006"/>
  </r>
  <r>
    <s v="CLI-00304"/>
    <x v="8"/>
    <n v="47"/>
    <x v="1"/>
    <n v="328"/>
    <n v="61.27"/>
    <n v="3"/>
    <n v="27.5715"/>
  </r>
  <r>
    <s v="CLI-00305"/>
    <x v="21"/>
    <n v="37"/>
    <x v="2"/>
    <n v="151"/>
    <n v="62.49"/>
    <n v="3"/>
    <n v="0"/>
  </r>
  <r>
    <s v="CLI-00306"/>
    <x v="16"/>
    <n v="89"/>
    <x v="0"/>
    <n v="175"/>
    <n v="32.369999999999997"/>
    <n v="1"/>
    <n v="0"/>
  </r>
  <r>
    <s v="CLI-00310"/>
    <x v="16"/>
    <n v="6"/>
    <x v="3"/>
    <n v="362"/>
    <n v="75.739999999999995"/>
    <n v="4"/>
    <n v="34.082999999999998"/>
  </r>
  <r>
    <s v="CLI-00313"/>
    <x v="1"/>
    <n v="113"/>
    <x v="3"/>
    <n v="49"/>
    <n v="48.91"/>
    <n v="5"/>
    <n v="0"/>
  </r>
  <r>
    <s v="CLI-00315"/>
    <x v="13"/>
    <n v="20"/>
    <x v="1"/>
    <n v="93"/>
    <n v="84.45"/>
    <n v="0"/>
    <n v="0"/>
  </r>
  <r>
    <s v="CLI-00316"/>
    <x v="16"/>
    <n v="37"/>
    <x v="3"/>
    <n v="94"/>
    <n v="50.44"/>
    <n v="4"/>
    <n v="22.698"/>
  </r>
  <r>
    <s v="CLI-00318"/>
    <x v="11"/>
    <n v="67"/>
    <x v="2"/>
    <n v="81"/>
    <n v="28.52"/>
    <n v="4"/>
    <n v="0"/>
  </r>
  <r>
    <s v="CLI-00324"/>
    <x v="2"/>
    <n v="18"/>
    <x v="2"/>
    <n v="34"/>
    <n v="43.71"/>
    <n v="1"/>
    <n v="0"/>
  </r>
  <r>
    <s v="CLI-00327"/>
    <x v="14"/>
    <n v="6"/>
    <x v="2"/>
    <n v="155"/>
    <n v="40.659999999999997"/>
    <n v="1"/>
    <n v="0"/>
  </r>
  <r>
    <s v="CLI-00329"/>
    <x v="9"/>
    <n v="92"/>
    <x v="1"/>
    <n v="487"/>
    <n v="58.38"/>
    <n v="1"/>
    <n v="26.271000000000001"/>
  </r>
  <r>
    <s v="CLI-00331"/>
    <x v="1"/>
    <n v="57"/>
    <x v="3"/>
    <n v="36"/>
    <n v="82.7"/>
    <n v="2"/>
    <n v="37.215000000000003"/>
  </r>
  <r>
    <s v="CLI-00334"/>
    <x v="25"/>
    <n v="16"/>
    <x v="1"/>
    <n v="214"/>
    <n v="46.57"/>
    <n v="5"/>
    <n v="0"/>
  </r>
  <r>
    <s v="CLI-00335"/>
    <x v="17"/>
    <n v="24"/>
    <x v="1"/>
    <n v="23"/>
    <n v="28.55"/>
    <n v="1"/>
    <n v="0"/>
  </r>
  <r>
    <s v="CLI-00338"/>
    <x v="14"/>
    <n v="32"/>
    <x v="2"/>
    <n v="475"/>
    <n v="36.54"/>
    <n v="3"/>
    <n v="16.443000000000001"/>
  </r>
  <r>
    <s v="CLI-00341"/>
    <x v="16"/>
    <n v="45"/>
    <x v="1"/>
    <n v="304"/>
    <n v="65.540000000000006"/>
    <n v="2"/>
    <n v="29.493000000000002"/>
  </r>
  <r>
    <s v="CLI-00345"/>
    <x v="10"/>
    <n v="24"/>
    <x v="0"/>
    <n v="13"/>
    <n v="89.3"/>
    <n v="2"/>
    <n v="0"/>
  </r>
  <r>
    <s v="CLI-00346"/>
    <x v="9"/>
    <n v="97"/>
    <x v="0"/>
    <n v="40"/>
    <n v="85.19"/>
    <n v="1"/>
    <n v="0"/>
  </r>
  <r>
    <s v="CLI-00348"/>
    <x v="8"/>
    <n v="68"/>
    <x v="0"/>
    <n v="487"/>
    <n v="69.099999999999994"/>
    <n v="5"/>
    <n v="31.094999999999999"/>
  </r>
  <r>
    <s v="CLI-00349"/>
    <x v="7"/>
    <n v="8"/>
    <x v="0"/>
    <n v="120"/>
    <n v="88.29"/>
    <n v="5"/>
    <n v="0"/>
  </r>
  <r>
    <s v="CLI-00352"/>
    <x v="11"/>
    <n v="75"/>
    <x v="2"/>
    <n v="99"/>
    <n v="16.93"/>
    <n v="5"/>
    <n v="0"/>
  </r>
  <r>
    <s v="CLI-00356"/>
    <x v="25"/>
    <n v="22"/>
    <x v="3"/>
    <n v="166"/>
    <n v="31.8"/>
    <n v="1"/>
    <n v="14.31"/>
  </r>
  <r>
    <s v="CLI-00359"/>
    <x v="22"/>
    <n v="91"/>
    <x v="0"/>
    <n v="300"/>
    <n v="82.19"/>
    <n v="1"/>
    <n v="36.985500000000002"/>
  </r>
  <r>
    <s v="CLI-00361"/>
    <x v="17"/>
    <n v="66"/>
    <x v="2"/>
    <n v="270"/>
    <n v="75.88"/>
    <n v="3"/>
    <n v="34.146000000000001"/>
  </r>
  <r>
    <s v="CLI-00365"/>
    <x v="24"/>
    <n v="98"/>
    <x v="1"/>
    <n v="41"/>
    <n v="23.55"/>
    <n v="1"/>
    <n v="0"/>
  </r>
  <r>
    <s v="CLI-00368"/>
    <x v="16"/>
    <n v="63"/>
    <x v="0"/>
    <n v="263"/>
    <n v="53.87"/>
    <n v="4"/>
    <n v="24.241499999999998"/>
  </r>
  <r>
    <s v="CLI-00370"/>
    <x v="4"/>
    <n v="29"/>
    <x v="0"/>
    <n v="173"/>
    <n v="49.03"/>
    <n v="3"/>
    <n v="0"/>
  </r>
  <r>
    <s v="CLI-00373"/>
    <x v="25"/>
    <n v="83"/>
    <x v="2"/>
    <n v="30"/>
    <n v="33.93"/>
    <n v="3"/>
    <n v="0"/>
  </r>
  <r>
    <s v="CLI-00374"/>
    <x v="2"/>
    <n v="105"/>
    <x v="2"/>
    <n v="271"/>
    <n v="45.27"/>
    <n v="2"/>
    <n v="20.371500000000001"/>
  </r>
  <r>
    <s v="CLI-00376"/>
    <x v="9"/>
    <n v="117"/>
    <x v="3"/>
    <n v="282"/>
    <n v="95.11"/>
    <n v="0"/>
    <n v="42.799500000000002"/>
  </r>
  <r>
    <s v="CLI-00377"/>
    <x v="4"/>
    <n v="96"/>
    <x v="3"/>
    <n v="334"/>
    <n v="64.77"/>
    <n v="0"/>
    <n v="29.1465"/>
  </r>
  <r>
    <s v="CLI-00380"/>
    <x v="25"/>
    <n v="34"/>
    <x v="3"/>
    <n v="170"/>
    <n v="91.6"/>
    <n v="2"/>
    <n v="41.22"/>
  </r>
  <r>
    <s v="CLI-00382"/>
    <x v="15"/>
    <n v="7"/>
    <x v="1"/>
    <n v="323"/>
    <n v="82.81"/>
    <n v="5"/>
    <n v="37.264500000000005"/>
  </r>
  <r>
    <s v="CLI-00384"/>
    <x v="19"/>
    <n v="39"/>
    <x v="3"/>
    <n v="220"/>
    <n v="52.91"/>
    <n v="0"/>
    <n v="23.8095"/>
  </r>
  <r>
    <s v="CLI-00386"/>
    <x v="18"/>
    <n v="59"/>
    <x v="2"/>
    <n v="64"/>
    <n v="20.32"/>
    <n v="0"/>
    <n v="0"/>
  </r>
  <r>
    <s v="CLI-00387"/>
    <x v="17"/>
    <n v="28"/>
    <x v="2"/>
    <n v="112"/>
    <n v="94.51"/>
    <n v="3"/>
    <n v="0"/>
  </r>
  <r>
    <s v="CLI-00388"/>
    <x v="4"/>
    <n v="78"/>
    <x v="3"/>
    <n v="263"/>
    <n v="53.58"/>
    <n v="5"/>
    <n v="24.111000000000001"/>
  </r>
  <r>
    <s v="CLI-00391"/>
    <x v="9"/>
    <n v="4"/>
    <x v="1"/>
    <n v="49"/>
    <n v="41.35"/>
    <n v="5"/>
    <n v="0"/>
  </r>
  <r>
    <s v="CLI-00394"/>
    <x v="6"/>
    <n v="37"/>
    <x v="3"/>
    <n v="213"/>
    <n v="14.12"/>
    <n v="1"/>
    <n v="6.3540000000000001"/>
  </r>
  <r>
    <s v="CLI-00407"/>
    <x v="20"/>
    <n v="48"/>
    <x v="3"/>
    <n v="416"/>
    <n v="81.260000000000005"/>
    <n v="5"/>
    <n v="36.567"/>
  </r>
  <r>
    <s v="CLI-00410"/>
    <x v="1"/>
    <n v="51"/>
    <x v="1"/>
    <n v="336"/>
    <n v="65.47"/>
    <n v="1"/>
    <n v="29.461500000000001"/>
  </r>
  <r>
    <s v="CLI-00413"/>
    <x v="24"/>
    <n v="20"/>
    <x v="1"/>
    <n v="31"/>
    <n v="52.85"/>
    <n v="2"/>
    <n v="0"/>
  </r>
  <r>
    <s v="CLI-00414"/>
    <x v="5"/>
    <n v="99"/>
    <x v="3"/>
    <n v="447"/>
    <n v="38.1"/>
    <n v="3"/>
    <n v="17.145"/>
  </r>
  <r>
    <s v="CLI-00417"/>
    <x v="8"/>
    <n v="87"/>
    <x v="0"/>
    <n v="21"/>
    <n v="81.459999999999994"/>
    <n v="3"/>
    <n v="0"/>
  </r>
  <r>
    <s v="CLI-00418"/>
    <x v="8"/>
    <n v="96"/>
    <x v="3"/>
    <n v="273"/>
    <n v="37.909999999999997"/>
    <n v="2"/>
    <n v="17.0595"/>
  </r>
  <r>
    <s v="CLI-00424"/>
    <x v="25"/>
    <n v="103"/>
    <x v="2"/>
    <n v="182"/>
    <n v="12.07"/>
    <n v="5"/>
    <n v="0"/>
  </r>
  <r>
    <s v="CLI-00427"/>
    <x v="0"/>
    <n v="18"/>
    <x v="0"/>
    <n v="446"/>
    <n v="97.3"/>
    <n v="5"/>
    <n v="43.784999999999997"/>
  </r>
  <r>
    <s v="CLI-00429"/>
    <x v="20"/>
    <n v="28"/>
    <x v="3"/>
    <n v="343"/>
    <n v="64.34"/>
    <n v="5"/>
    <n v="28.953000000000003"/>
  </r>
  <r>
    <s v="CLI-00431"/>
    <x v="15"/>
    <n v="60"/>
    <x v="1"/>
    <n v="334"/>
    <n v="71.72"/>
    <n v="3"/>
    <n v="32.274000000000001"/>
  </r>
  <r>
    <s v="CLI-00433"/>
    <x v="13"/>
    <n v="36"/>
    <x v="2"/>
    <n v="487"/>
    <n v="45.02"/>
    <n v="2"/>
    <n v="20.259"/>
  </r>
  <r>
    <s v="CLI-00435"/>
    <x v="17"/>
    <n v="106"/>
    <x v="2"/>
    <n v="407"/>
    <n v="59.92"/>
    <n v="4"/>
    <n v="26.964000000000002"/>
  </r>
  <r>
    <s v="CLI-00439"/>
    <x v="12"/>
    <n v="40"/>
    <x v="3"/>
    <n v="345"/>
    <n v="89.55"/>
    <n v="3"/>
    <n v="40.297499999999999"/>
  </r>
  <r>
    <s v="CLI-00442"/>
    <x v="19"/>
    <n v="120"/>
    <x v="2"/>
    <n v="242"/>
    <n v="61.54"/>
    <n v="1"/>
    <n v="27.693000000000001"/>
  </r>
  <r>
    <s v="CLI-00447"/>
    <x v="5"/>
    <n v="81"/>
    <x v="3"/>
    <n v="137"/>
    <n v="89.05"/>
    <n v="0"/>
    <n v="0"/>
  </r>
  <r>
    <s v="CLI-00450"/>
    <x v="14"/>
    <n v="105"/>
    <x v="3"/>
    <n v="454"/>
    <n v="49.47"/>
    <n v="4"/>
    <n v="22.261500000000002"/>
  </r>
  <r>
    <s v="CLI-00460"/>
    <x v="25"/>
    <n v="5"/>
    <x v="1"/>
    <n v="98"/>
    <n v="71.37"/>
    <n v="1"/>
    <n v="0"/>
  </r>
  <r>
    <s v="CLI-00469"/>
    <x v="18"/>
    <n v="25"/>
    <x v="3"/>
    <n v="467"/>
    <n v="97.78"/>
    <n v="3"/>
    <n v="44.001000000000005"/>
  </r>
  <r>
    <s v="CLI-00471"/>
    <x v="17"/>
    <n v="36"/>
    <x v="3"/>
    <n v="137"/>
    <n v="71.930000000000007"/>
    <n v="0"/>
    <n v="32.368500000000004"/>
  </r>
  <r>
    <s v="CLI-00475"/>
    <x v="10"/>
    <n v="81"/>
    <x v="2"/>
    <n v="339"/>
    <n v="53.4"/>
    <n v="2"/>
    <n v="24.03"/>
  </r>
  <r>
    <s v="CLI-00476"/>
    <x v="21"/>
    <n v="21"/>
    <x v="0"/>
    <n v="475"/>
    <n v="15.12"/>
    <n v="2"/>
    <n v="6.8039999999999994"/>
  </r>
  <r>
    <s v="CLI-00481"/>
    <x v="19"/>
    <n v="19"/>
    <x v="2"/>
    <n v="450"/>
    <n v="37.43"/>
    <n v="2"/>
    <n v="16.843499999999999"/>
  </r>
  <r>
    <s v="CLI-00483"/>
    <x v="17"/>
    <n v="64"/>
    <x v="1"/>
    <n v="6"/>
    <n v="40.58"/>
    <n v="5"/>
    <n v="0"/>
  </r>
  <r>
    <s v="CLI-00484"/>
    <x v="1"/>
    <n v="82"/>
    <x v="0"/>
    <n v="132"/>
    <n v="50.14"/>
    <n v="5"/>
    <n v="0"/>
  </r>
  <r>
    <s v="CLI-00485"/>
    <x v="10"/>
    <n v="74"/>
    <x v="1"/>
    <n v="371"/>
    <n v="53.27"/>
    <n v="3"/>
    <n v="23.971500000000002"/>
  </r>
  <r>
    <s v="CLI-00488"/>
    <x v="14"/>
    <n v="116"/>
    <x v="1"/>
    <n v="486"/>
    <n v="92.96"/>
    <n v="5"/>
    <n v="41.832000000000001"/>
  </r>
  <r>
    <s v="CLI-00491"/>
    <x v="22"/>
    <n v="29"/>
    <x v="1"/>
    <n v="34"/>
    <n v="86.68"/>
    <n v="1"/>
    <n v="0"/>
  </r>
  <r>
    <s v="CLI-00492"/>
    <x v="11"/>
    <n v="113"/>
    <x v="1"/>
    <n v="152"/>
    <n v="51.28"/>
    <n v="4"/>
    <n v="0"/>
  </r>
  <r>
    <s v="CLI-00496"/>
    <x v="11"/>
    <n v="16"/>
    <x v="2"/>
    <n v="390"/>
    <n v="52.64"/>
    <n v="0"/>
    <n v="23.688000000000002"/>
  </r>
  <r>
    <s v="CLI-00497"/>
    <x v="11"/>
    <n v="72"/>
    <x v="1"/>
    <n v="442"/>
    <n v="59.2"/>
    <n v="1"/>
    <n v="26.64"/>
  </r>
  <r>
    <s v="CLI-00505"/>
    <x v="10"/>
    <n v="59"/>
    <x v="0"/>
    <n v="196"/>
    <n v="62.53"/>
    <n v="0"/>
    <n v="0"/>
  </r>
  <r>
    <s v="CLI-00509"/>
    <x v="10"/>
    <n v="38"/>
    <x v="3"/>
    <n v="60"/>
    <n v="58.28"/>
    <n v="4"/>
    <n v="26.226000000000003"/>
  </r>
  <r>
    <s v="CLI-00510"/>
    <x v="23"/>
    <n v="118"/>
    <x v="0"/>
    <n v="186"/>
    <n v="46.88"/>
    <n v="1"/>
    <n v="0"/>
  </r>
  <r>
    <s v="CLI-00512"/>
    <x v="18"/>
    <n v="42"/>
    <x v="2"/>
    <n v="453"/>
    <n v="36.700000000000003"/>
    <n v="4"/>
    <n v="16.515000000000001"/>
  </r>
  <r>
    <s v="CLI-00516"/>
    <x v="23"/>
    <n v="80"/>
    <x v="0"/>
    <n v="260"/>
    <n v="65.87"/>
    <n v="3"/>
    <n v="29.641500000000004"/>
  </r>
  <r>
    <s v="CLI-00519"/>
    <x v="13"/>
    <n v="7"/>
    <x v="3"/>
    <n v="303"/>
    <n v="60.95"/>
    <n v="0"/>
    <n v="27.427500000000002"/>
  </r>
  <r>
    <s v="CLI-00520"/>
    <x v="4"/>
    <n v="14"/>
    <x v="1"/>
    <n v="345"/>
    <n v="39.57"/>
    <n v="3"/>
    <n v="17.8065"/>
  </r>
  <r>
    <s v="CLI-00521"/>
    <x v="5"/>
    <n v="83"/>
    <x v="3"/>
    <n v="284"/>
    <n v="73.7"/>
    <n v="0"/>
    <n v="33.164999999999999"/>
  </r>
  <r>
    <s v="CLI-00522"/>
    <x v="12"/>
    <n v="56"/>
    <x v="3"/>
    <n v="123"/>
    <n v="29.76"/>
    <n v="5"/>
    <n v="13.392000000000001"/>
  </r>
  <r>
    <s v="CLI-00523"/>
    <x v="7"/>
    <n v="33"/>
    <x v="1"/>
    <n v="207"/>
    <n v="38.49"/>
    <n v="4"/>
    <n v="0"/>
  </r>
  <r>
    <s v="CLI-00524"/>
    <x v="8"/>
    <n v="113"/>
    <x v="3"/>
    <n v="207"/>
    <n v="21.55"/>
    <n v="0"/>
    <n v="0"/>
  </r>
  <r>
    <s v="CLI-00525"/>
    <x v="3"/>
    <n v="89"/>
    <x v="2"/>
    <n v="418"/>
    <n v="86.63"/>
    <n v="4"/>
    <n v="38.983499999999999"/>
  </r>
  <r>
    <s v="CLI-00530"/>
    <x v="24"/>
    <n v="35"/>
    <x v="1"/>
    <n v="465"/>
    <n v="58.59"/>
    <n v="5"/>
    <n v="26.365500000000001"/>
  </r>
  <r>
    <s v="CLI-00532"/>
    <x v="16"/>
    <n v="79"/>
    <x v="2"/>
    <n v="139"/>
    <n v="16.25"/>
    <n v="4"/>
    <n v="0"/>
  </r>
  <r>
    <s v="CLI-00533"/>
    <x v="18"/>
    <n v="82"/>
    <x v="3"/>
    <n v="32"/>
    <n v="77.63"/>
    <n v="1"/>
    <n v="0"/>
  </r>
  <r>
    <s v="CLI-00534"/>
    <x v="25"/>
    <n v="21"/>
    <x v="0"/>
    <n v="307"/>
    <n v="39.81"/>
    <n v="5"/>
    <n v="17.9145"/>
  </r>
  <r>
    <s v="CLI-00535"/>
    <x v="14"/>
    <n v="74"/>
    <x v="3"/>
    <n v="213"/>
    <n v="35.54"/>
    <n v="3"/>
    <n v="0"/>
  </r>
  <r>
    <s v="CLI-00537"/>
    <x v="13"/>
    <n v="99"/>
    <x v="1"/>
    <n v="325"/>
    <n v="88.35"/>
    <n v="4"/>
    <n v="39.7575"/>
  </r>
  <r>
    <s v="CLI-00540"/>
    <x v="21"/>
    <n v="15"/>
    <x v="2"/>
    <n v="81"/>
    <s v="97,5€"/>
    <n v="4"/>
    <n v="0"/>
  </r>
  <r>
    <s v="CLI-00541"/>
    <x v="15"/>
    <n v="36"/>
    <x v="0"/>
    <n v="303"/>
    <n v="89.56"/>
    <n v="1"/>
    <n v="40.302"/>
  </r>
  <r>
    <s v="CLI-00543"/>
    <x v="11"/>
    <n v="15"/>
    <x v="1"/>
    <n v="203"/>
    <n v="55.29"/>
    <n v="2"/>
    <n v="0"/>
  </r>
  <r>
    <s v="CLI-00546"/>
    <x v="5"/>
    <n v="25"/>
    <x v="1"/>
    <n v="218"/>
    <n v="68.790000000000006"/>
    <n v="0"/>
    <n v="0"/>
  </r>
  <r>
    <s v="CLI-00549"/>
    <x v="9"/>
    <n v="49"/>
    <x v="0"/>
    <n v="288"/>
    <n v="91.32"/>
    <n v="4"/>
    <n v="41.094000000000001"/>
  </r>
  <r>
    <s v="CLI-00550"/>
    <x v="7"/>
    <n v="58"/>
    <x v="1"/>
    <n v="352"/>
    <n v="72.94"/>
    <n v="0"/>
    <n v="32.823"/>
  </r>
  <r>
    <s v="CLI-00552"/>
    <x v="1"/>
    <n v="102"/>
    <x v="2"/>
    <n v="240"/>
    <n v="12.52"/>
    <n v="2"/>
    <n v="5.6340000000000003"/>
  </r>
  <r>
    <s v="CLI-00559"/>
    <x v="13"/>
    <n v="99"/>
    <x v="0"/>
    <n v="369"/>
    <n v="67.209999999999994"/>
    <n v="3"/>
    <n v="30.244499999999999"/>
  </r>
  <r>
    <s v="CLI-00562"/>
    <x v="22"/>
    <n v="82"/>
    <x v="3"/>
    <n v="264"/>
    <n v="88.03"/>
    <n v="1"/>
    <n v="39.613500000000002"/>
  </r>
  <r>
    <s v="CLI-00563"/>
    <x v="7"/>
    <n v="72"/>
    <x v="2"/>
    <n v="51"/>
    <n v="95.09"/>
    <n v="0"/>
    <n v="0"/>
  </r>
  <r>
    <s v="CLI-00569"/>
    <x v="19"/>
    <n v="110"/>
    <x v="1"/>
    <n v="423"/>
    <n v="37.35"/>
    <n v="4"/>
    <n v="16.807500000000001"/>
  </r>
  <r>
    <s v="CLI-00576"/>
    <x v="7"/>
    <n v="104"/>
    <x v="1"/>
    <n v="60"/>
    <n v="45.51"/>
    <n v="1"/>
    <n v="0"/>
  </r>
  <r>
    <s v="CLI-00578"/>
    <x v="8"/>
    <n v="96"/>
    <x v="2"/>
    <n v="290"/>
    <n v="29"/>
    <n v="3"/>
    <n v="13.05"/>
  </r>
  <r>
    <s v="CLI-00580"/>
    <x v="7"/>
    <n v="17"/>
    <x v="2"/>
    <n v="483"/>
    <n v="77.08"/>
    <n v="0"/>
    <n v="34.686"/>
  </r>
  <r>
    <s v="CLI-00582"/>
    <x v="18"/>
    <n v="43"/>
    <x v="3"/>
    <n v="193"/>
    <n v="35.81"/>
    <n v="0"/>
    <n v="16.114500000000003"/>
  </r>
  <r>
    <s v="CLI-00583"/>
    <x v="2"/>
    <n v="104"/>
    <x v="1"/>
    <n v="125"/>
    <n v="29.7"/>
    <n v="2"/>
    <n v="0"/>
  </r>
  <r>
    <s v="CLI-00584"/>
    <x v="21"/>
    <n v="6"/>
    <x v="1"/>
    <n v="342"/>
    <n v="50.55"/>
    <n v="5"/>
    <n v="22.747499999999999"/>
  </r>
  <r>
    <s v="CLI-00590"/>
    <x v="19"/>
    <n v="109"/>
    <x v="2"/>
    <n v="347"/>
    <n v="43.06"/>
    <n v="4"/>
    <n v="19.377000000000002"/>
  </r>
  <r>
    <s v="CLI-00595"/>
    <x v="18"/>
    <n v="110"/>
    <x v="3"/>
    <n v="321"/>
    <n v="81.569999999999993"/>
    <n v="2"/>
    <n v="36.706499999999998"/>
  </r>
  <r>
    <s v="CLI-00596"/>
    <x v="10"/>
    <n v="17"/>
    <x v="2"/>
    <n v="310"/>
    <n v="19.68"/>
    <n v="5"/>
    <n v="8.8559999999999999"/>
  </r>
  <r>
    <s v="CLI-00601"/>
    <x v="4"/>
    <n v="75"/>
    <x v="0"/>
    <n v="370"/>
    <n v="21.67"/>
    <n v="0"/>
    <n v="9.7515000000000018"/>
  </r>
  <r>
    <s v="CLI-00604"/>
    <x v="1"/>
    <n v="12"/>
    <x v="0"/>
    <n v="62"/>
    <n v="36.1"/>
    <n v="5"/>
    <n v="0"/>
  </r>
  <r>
    <s v="CLI-00606"/>
    <x v="11"/>
    <n v="71"/>
    <x v="1"/>
    <n v="111"/>
    <n v="95.53"/>
    <n v="3"/>
    <n v="0"/>
  </r>
  <r>
    <s v="CLI-00610"/>
    <x v="14"/>
    <n v="67"/>
    <x v="3"/>
    <n v="241"/>
    <n v="47.72"/>
    <n v="0"/>
    <n v="21.474"/>
  </r>
  <r>
    <s v="CLI-00611"/>
    <x v="23"/>
    <n v="79"/>
    <x v="3"/>
    <n v="226"/>
    <n v="94.38"/>
    <n v="3"/>
    <n v="0"/>
  </r>
  <r>
    <s v="CLI-00612"/>
    <x v="17"/>
    <n v="53"/>
    <x v="1"/>
    <n v="27"/>
    <n v="18.77"/>
    <n v="0"/>
    <n v="0"/>
  </r>
  <r>
    <s v="CLI-00616"/>
    <x v="21"/>
    <n v="101"/>
    <x v="0"/>
    <n v="262"/>
    <n v="83.74"/>
    <n v="5"/>
    <n v="37.683"/>
  </r>
  <r>
    <s v="CLI-00617"/>
    <x v="0"/>
    <n v="83"/>
    <x v="1"/>
    <n v="420"/>
    <n v="94.9"/>
    <n v="1"/>
    <n v="42.705000000000005"/>
  </r>
  <r>
    <s v="CLI-00620"/>
    <x v="2"/>
    <n v="23"/>
    <x v="3"/>
    <n v="268"/>
    <n v="26.75"/>
    <n v="3"/>
    <n v="12.0375"/>
  </r>
  <r>
    <s v="CLI-00621"/>
    <x v="0"/>
    <n v="67"/>
    <x v="3"/>
    <n v="262"/>
    <n v="28.46"/>
    <n v="3"/>
    <n v="12.807"/>
  </r>
  <r>
    <s v="CLI-00626"/>
    <x v="0"/>
    <n v="2"/>
    <x v="1"/>
    <n v="142"/>
    <n v="37.799999999999997"/>
    <n v="0"/>
    <n v="0"/>
  </r>
  <r>
    <s v="CLI-00632"/>
    <x v="1"/>
    <n v="109"/>
    <x v="1"/>
    <n v="480"/>
    <n v="31.36"/>
    <n v="0"/>
    <n v="14.112"/>
  </r>
  <r>
    <s v="CLI-00634"/>
    <x v="17"/>
    <n v="54"/>
    <x v="0"/>
    <n v="99"/>
    <n v="39.58"/>
    <n v="0"/>
    <n v="0"/>
  </r>
  <r>
    <s v="CLI-00636"/>
    <x v="5"/>
    <n v="118"/>
    <x v="0"/>
    <n v="461"/>
    <n v="47.82"/>
    <n v="5"/>
    <n v="21.519000000000002"/>
  </r>
  <r>
    <s v="CLI-00642"/>
    <x v="24"/>
    <n v="86"/>
    <x v="1"/>
    <n v="237"/>
    <n v="85.82"/>
    <n v="5"/>
    <n v="0"/>
  </r>
  <r>
    <s v="CLI-00643"/>
    <x v="18"/>
    <n v="14"/>
    <x v="1"/>
    <n v="316"/>
    <n v="62.34"/>
    <n v="4"/>
    <n v="28.053000000000001"/>
  </r>
  <r>
    <s v="CLI-00647"/>
    <x v="1"/>
    <n v="41"/>
    <x v="2"/>
    <n v="404"/>
    <n v="98.67"/>
    <n v="5"/>
    <n v="44.401499999999999"/>
  </r>
  <r>
    <s v="CLI-00649"/>
    <x v="21"/>
    <n v="79"/>
    <x v="2"/>
    <n v="403"/>
    <n v="21.49"/>
    <n v="0"/>
    <n v="9.6704999999999988"/>
  </r>
  <r>
    <s v="CLI-00650"/>
    <x v="7"/>
    <n v="89"/>
    <x v="1"/>
    <n v="203"/>
    <n v="80.680000000000007"/>
    <n v="5"/>
    <n v="0"/>
  </r>
  <r>
    <s v="CLI-00655"/>
    <x v="11"/>
    <n v="18"/>
    <x v="0"/>
    <n v="291"/>
    <n v="97.98"/>
    <n v="1"/>
    <n v="44.091000000000001"/>
  </r>
  <r>
    <s v="CLI-00662"/>
    <x v="16"/>
    <n v="12"/>
    <x v="2"/>
    <n v="138"/>
    <n v="17"/>
    <n v="2"/>
    <n v="0"/>
  </r>
  <r>
    <s v="CLI-00663"/>
    <x v="4"/>
    <n v="96"/>
    <x v="2"/>
    <n v="381"/>
    <n v="90.78"/>
    <n v="2"/>
    <n v="40.850999999999999"/>
  </r>
  <r>
    <s v="CLI-00666"/>
    <x v="2"/>
    <n v="120"/>
    <x v="0"/>
    <n v="27"/>
    <n v="24.46"/>
    <n v="3"/>
    <n v="0"/>
  </r>
  <r>
    <s v="CLI-00670"/>
    <x v="9"/>
    <n v="65"/>
    <x v="0"/>
    <n v="118"/>
    <n v="72.430000000000007"/>
    <n v="1"/>
    <n v="0"/>
  </r>
  <r>
    <s v="CLI-00671"/>
    <x v="13"/>
    <n v="13"/>
    <x v="1"/>
    <n v="347"/>
    <n v="32.35"/>
    <n v="2"/>
    <n v="14.557500000000001"/>
  </r>
  <r>
    <s v="CLI-00674"/>
    <x v="17"/>
    <n v="120"/>
    <x v="1"/>
    <n v="72"/>
    <n v="29.07"/>
    <n v="3"/>
    <n v="0"/>
  </r>
  <r>
    <s v="CLI-00675"/>
    <x v="15"/>
    <n v="114"/>
    <x v="3"/>
    <n v="283"/>
    <n v="29.15"/>
    <n v="3"/>
    <n v="13.1175"/>
  </r>
  <r>
    <s v="CLI-00682"/>
    <x v="14"/>
    <n v="58"/>
    <x v="0"/>
    <n v="405"/>
    <n v="18.39"/>
    <n v="0"/>
    <n v="8.275500000000001"/>
  </r>
  <r>
    <s v="CLI-00684"/>
    <x v="17"/>
    <n v="94"/>
    <x v="2"/>
    <n v="261"/>
    <n v="70.09"/>
    <n v="3"/>
    <n v="31.540500000000002"/>
  </r>
  <r>
    <s v="CLI-00695"/>
    <x v="14"/>
    <n v="74"/>
    <x v="2"/>
    <n v="253"/>
    <n v="36.94"/>
    <n v="5"/>
    <n v="16.623000000000001"/>
  </r>
  <r>
    <s v="CLI-00700"/>
    <x v="2"/>
    <n v="50"/>
    <x v="2"/>
    <n v="177"/>
    <n v="74.569999999999993"/>
    <n v="4"/>
    <n v="0"/>
  </r>
  <r>
    <s v="CLI-00705"/>
    <x v="7"/>
    <n v="26"/>
    <x v="2"/>
    <n v="378"/>
    <n v="88.59"/>
    <n v="4"/>
    <n v="39.865500000000004"/>
  </r>
  <r>
    <s v="CLI-00711"/>
    <x v="13"/>
    <n v="26"/>
    <x v="3"/>
    <n v="391"/>
    <n v="18.28"/>
    <n v="3"/>
    <n v="8.2260000000000009"/>
  </r>
  <r>
    <s v="CLI-00716"/>
    <x v="3"/>
    <n v="104"/>
    <x v="1"/>
    <n v="421"/>
    <n v="26.24"/>
    <n v="3"/>
    <n v="11.808"/>
  </r>
  <r>
    <s v="CLI-00721"/>
    <x v="6"/>
    <n v="108"/>
    <x v="3"/>
    <n v="230"/>
    <n v="16.3"/>
    <n v="5"/>
    <n v="0"/>
  </r>
  <r>
    <s v="CLI-00726"/>
    <x v="6"/>
    <n v="103"/>
    <x v="1"/>
    <n v="270"/>
    <n v="67.87"/>
    <n v="3"/>
    <n v="30.541500000000003"/>
  </r>
  <r>
    <s v="CLI-00728"/>
    <x v="23"/>
    <n v="93"/>
    <x v="1"/>
    <n v="56"/>
    <n v="96.31"/>
    <n v="4"/>
    <n v="0"/>
  </r>
  <r>
    <s v="CLI-00731"/>
    <x v="8"/>
    <n v="86"/>
    <x v="3"/>
    <n v="452"/>
    <n v="75.680000000000007"/>
    <n v="0"/>
    <n v="34.056000000000004"/>
  </r>
  <r>
    <s v="CLI-00736"/>
    <x v="17"/>
    <n v="47"/>
    <x v="2"/>
    <n v="385"/>
    <n v="41.33"/>
    <n v="0"/>
    <n v="18.598500000000001"/>
  </r>
  <r>
    <s v="CLI-00739"/>
    <x v="1"/>
    <n v="83"/>
    <x v="3"/>
    <n v="105"/>
    <n v="20.46"/>
    <n v="1"/>
    <n v="0"/>
  </r>
  <r>
    <s v="CLI-00744"/>
    <x v="15"/>
    <n v="84"/>
    <x v="0"/>
    <n v="317"/>
    <n v="36.200000000000003"/>
    <n v="3"/>
    <n v="16.290000000000003"/>
  </r>
  <r>
    <s v="CLI-00745"/>
    <x v="20"/>
    <n v="6"/>
    <x v="3"/>
    <n v="207"/>
    <n v="61.55"/>
    <n v="0"/>
    <n v="27.697499999999998"/>
  </r>
  <r>
    <s v="CLI-00753"/>
    <x v="8"/>
    <n v="40"/>
    <x v="3"/>
    <n v="102"/>
    <n v="96.59"/>
    <n v="5"/>
    <n v="43.465500000000006"/>
  </r>
  <r>
    <s v="CLI-00754"/>
    <x v="2"/>
    <n v="42"/>
    <x v="2"/>
    <n v="173"/>
    <n v="69.19"/>
    <n v="4"/>
    <n v="0"/>
  </r>
  <r>
    <s v="CLI-00755"/>
    <x v="9"/>
    <n v="51"/>
    <x v="0"/>
    <n v="337"/>
    <n v="68.67"/>
    <n v="5"/>
    <n v="30.901500000000002"/>
  </r>
  <r>
    <s v="CLI-00758"/>
    <x v="1"/>
    <n v="108"/>
    <x v="2"/>
    <n v="123"/>
    <n v="83.1"/>
    <n v="1"/>
    <n v="0"/>
  </r>
  <r>
    <s v="CLI-00760"/>
    <x v="11"/>
    <n v="113"/>
    <x v="3"/>
    <n v="89"/>
    <n v="54.28"/>
    <n v="0"/>
    <n v="0"/>
  </r>
  <r>
    <s v="CLI-00766"/>
    <x v="6"/>
    <n v="101"/>
    <x v="0"/>
    <n v="416"/>
    <n v="83.49"/>
    <n v="2"/>
    <n v="37.570499999999996"/>
  </r>
  <r>
    <s v="CLI-00768"/>
    <x v="20"/>
    <n v="74"/>
    <x v="3"/>
    <n v="208"/>
    <n v="39.56"/>
    <n v="0"/>
    <n v="0"/>
  </r>
  <r>
    <s v="CLI-00773"/>
    <x v="14"/>
    <n v="10"/>
    <x v="0"/>
    <n v="93"/>
    <n v="78.12"/>
    <n v="4"/>
    <n v="0"/>
  </r>
  <r>
    <s v="CLI-00781"/>
    <x v="0"/>
    <n v="16"/>
    <x v="3"/>
    <n v="391"/>
    <n v="90.12"/>
    <n v="5"/>
    <n v="40.554000000000002"/>
  </r>
  <r>
    <s v="CLI-00782"/>
    <x v="12"/>
    <n v="59"/>
    <x v="1"/>
    <n v="72"/>
    <n v="94.51"/>
    <n v="2"/>
    <n v="0"/>
  </r>
  <r>
    <s v="CLI-00783"/>
    <x v="7"/>
    <n v="41"/>
    <x v="1"/>
    <n v="474"/>
    <n v="54.03"/>
    <n v="4"/>
    <n v="24.313500000000001"/>
  </r>
  <r>
    <s v="CLI-00786"/>
    <x v="9"/>
    <n v="5"/>
    <x v="2"/>
    <n v="337"/>
    <n v="21.07"/>
    <n v="4"/>
    <n v="9.4815000000000005"/>
  </r>
  <r>
    <s v="CLI-00788"/>
    <x v="22"/>
    <n v="118"/>
    <x v="2"/>
    <n v="430"/>
    <n v="36.97"/>
    <n v="2"/>
    <n v="16.636500000000002"/>
  </r>
  <r>
    <s v="CLI-00795"/>
    <x v="1"/>
    <n v="53"/>
    <x v="3"/>
    <n v="243"/>
    <n v="55.19"/>
    <n v="4"/>
    <n v="24.8355"/>
  </r>
  <r>
    <s v="CLI-00796"/>
    <x v="23"/>
    <n v="95"/>
    <x v="1"/>
    <n v="95"/>
    <n v="82.65"/>
    <n v="2"/>
    <n v="0"/>
  </r>
  <r>
    <s v="CLI-00799"/>
    <x v="23"/>
    <n v="83"/>
    <x v="2"/>
    <n v="14"/>
    <n v="58.07"/>
    <n v="3"/>
    <n v="0"/>
  </r>
  <r>
    <s v="CLI-00800"/>
    <x v="9"/>
    <n v="4"/>
    <x v="0"/>
    <n v="21"/>
    <n v="45.8"/>
    <n v="1"/>
    <n v="0"/>
  </r>
  <r>
    <s v="CLI-00803"/>
    <x v="5"/>
    <n v="35"/>
    <x v="1"/>
    <n v="299"/>
    <n v="96.32"/>
    <n v="4"/>
    <n v="43.344000000000001"/>
  </r>
  <r>
    <s v="CLI-00805"/>
    <x v="16"/>
    <n v="97"/>
    <x v="0"/>
    <n v="484"/>
    <n v="61.98"/>
    <n v="1"/>
    <n v="27.890999999999998"/>
  </r>
  <r>
    <s v="CLI-00806"/>
    <x v="17"/>
    <n v="76"/>
    <x v="2"/>
    <n v="383"/>
    <n v="53.73"/>
    <n v="2"/>
    <n v="24.1785"/>
  </r>
  <r>
    <s v="CLI-00808"/>
    <x v="9"/>
    <n v="10"/>
    <x v="3"/>
    <n v="425"/>
    <n v="85.75"/>
    <n v="0"/>
    <n v="38.587499999999999"/>
  </r>
  <r>
    <s v="CLI-00809"/>
    <x v="15"/>
    <n v="68"/>
    <x v="1"/>
    <n v="462"/>
    <n v="41.91"/>
    <n v="1"/>
    <n v="18.859500000000001"/>
  </r>
  <r>
    <s v="CLI-00813"/>
    <x v="8"/>
    <n v="16"/>
    <x v="0"/>
    <n v="43"/>
    <n v="56.48"/>
    <n v="0"/>
    <n v="0"/>
  </r>
  <r>
    <s v="CLI-00815"/>
    <x v="22"/>
    <n v="109"/>
    <x v="1"/>
    <n v="397"/>
    <n v="63.92"/>
    <n v="1"/>
    <n v="28.764000000000003"/>
  </r>
  <r>
    <s v="CLI-00817"/>
    <x v="17"/>
    <n v="61"/>
    <x v="3"/>
    <n v="140"/>
    <n v="76.3"/>
    <n v="4"/>
    <n v="0"/>
  </r>
  <r>
    <s v="CLI-00819"/>
    <x v="22"/>
    <n v="96"/>
    <x v="1"/>
    <n v="280"/>
    <n v="80.36"/>
    <n v="5"/>
    <n v="36.161999999999999"/>
  </r>
  <r>
    <s v="CLI-00821"/>
    <x v="22"/>
    <n v="25"/>
    <x v="0"/>
    <n v="33"/>
    <n v="30.93"/>
    <n v="1"/>
    <n v="0"/>
  </r>
  <r>
    <s v="CLI-00822"/>
    <x v="24"/>
    <n v="45"/>
    <x v="2"/>
    <n v="43"/>
    <n v="12.31"/>
    <n v="0"/>
    <n v="0"/>
  </r>
  <r>
    <s v="CLI-00825"/>
    <x v="9"/>
    <n v="63"/>
    <x v="2"/>
    <n v="109"/>
    <n v="10.33"/>
    <n v="3"/>
    <n v="0"/>
  </r>
  <r>
    <s v="CLI-00830"/>
    <x v="21"/>
    <n v="41"/>
    <x v="2"/>
    <n v="90"/>
    <n v="97.26"/>
    <n v="1"/>
    <n v="0"/>
  </r>
  <r>
    <s v="CLI-00833"/>
    <x v="3"/>
    <n v="35"/>
    <x v="2"/>
    <n v="107"/>
    <n v="66.69"/>
    <n v="4"/>
    <n v="0"/>
  </r>
  <r>
    <s v="CLI-00834"/>
    <x v="13"/>
    <n v="106"/>
    <x v="0"/>
    <n v="400"/>
    <n v="70.02"/>
    <n v="4"/>
    <n v="31.509"/>
  </r>
  <r>
    <s v="CLI-00837"/>
    <x v="9"/>
    <n v="16"/>
    <x v="0"/>
    <n v="390"/>
    <n v="98.17"/>
    <n v="5"/>
    <n v="44.176500000000004"/>
  </r>
  <r>
    <s v="CLI-00841"/>
    <x v="18"/>
    <n v="92"/>
    <x v="0"/>
    <n v="472"/>
    <n v="78.44"/>
    <n v="1"/>
    <n v="35.298000000000002"/>
  </r>
  <r>
    <s v="CLI-00846"/>
    <x v="3"/>
    <n v="115"/>
    <x v="0"/>
    <n v="236"/>
    <n v="50.64"/>
    <n v="1"/>
    <n v="0"/>
  </r>
  <r>
    <s v="CLI-00849"/>
    <x v="4"/>
    <n v="63"/>
    <x v="2"/>
    <n v="95"/>
    <n v="56.81"/>
    <n v="0"/>
    <n v="0"/>
  </r>
  <r>
    <s v="CLI-00852"/>
    <x v="19"/>
    <n v="119"/>
    <x v="0"/>
    <n v="133"/>
    <n v="30.27"/>
    <n v="5"/>
    <n v="0"/>
  </r>
  <r>
    <s v="CLI-00853"/>
    <x v="23"/>
    <n v="14"/>
    <x v="2"/>
    <n v="304"/>
    <n v="48.13"/>
    <n v="2"/>
    <n v="21.6585"/>
  </r>
  <r>
    <s v="CLI-00855"/>
    <x v="19"/>
    <n v="18"/>
    <x v="0"/>
    <n v="463"/>
    <n v="41.66"/>
    <n v="4"/>
    <n v="18.747"/>
  </r>
  <r>
    <s v="CLI-00857"/>
    <x v="4"/>
    <n v="76"/>
    <x v="2"/>
    <n v="332"/>
    <n v="68.010000000000005"/>
    <n v="4"/>
    <n v="30.604500000000002"/>
  </r>
  <r>
    <s v="CLI-00862"/>
    <x v="16"/>
    <n v="48"/>
    <x v="0"/>
    <n v="436"/>
    <n v="15.17"/>
    <n v="0"/>
    <n v="6.8265000000000002"/>
  </r>
  <r>
    <s v="CLI-00865"/>
    <x v="2"/>
    <n v="34"/>
    <x v="1"/>
    <n v="453"/>
    <n v="56.84"/>
    <n v="0"/>
    <n v="25.578000000000003"/>
  </r>
  <r>
    <s v="CLI-00866"/>
    <x v="17"/>
    <n v="31"/>
    <x v="0"/>
    <n v="160"/>
    <n v="59.76"/>
    <n v="4"/>
    <n v="0"/>
  </r>
  <r>
    <s v="CLI-00867"/>
    <x v="8"/>
    <n v="74"/>
    <x v="2"/>
    <n v="9"/>
    <n v="99.89"/>
    <n v="0"/>
    <n v="0"/>
  </r>
  <r>
    <s v="CLI-00868"/>
    <x v="5"/>
    <n v="88"/>
    <x v="2"/>
    <n v="319"/>
    <n v="56.18"/>
    <n v="0"/>
    <n v="25.280999999999999"/>
  </r>
  <r>
    <s v="CLI-00871"/>
    <x v="21"/>
    <n v="81"/>
    <x v="2"/>
    <n v="64"/>
    <n v="43.45"/>
    <n v="2"/>
    <n v="0"/>
  </r>
  <r>
    <s v="CLI-00873"/>
    <x v="11"/>
    <n v="74"/>
    <x v="2"/>
    <n v="16"/>
    <n v="93.01"/>
    <n v="3"/>
    <n v="0"/>
  </r>
  <r>
    <s v="CLI-00876"/>
    <x v="14"/>
    <n v="108"/>
    <x v="0"/>
    <n v="460"/>
    <n v="88.95"/>
    <n v="3"/>
    <n v="40.027500000000003"/>
  </r>
  <r>
    <s v="CLI-00879"/>
    <x v="24"/>
    <n v="91"/>
    <x v="2"/>
    <n v="63"/>
    <n v="57.76"/>
    <n v="5"/>
    <n v="0"/>
  </r>
  <r>
    <s v="CLI-00881"/>
    <x v="10"/>
    <n v="7"/>
    <x v="2"/>
    <n v="94"/>
    <n v="68.38"/>
    <n v="3"/>
    <n v="0"/>
  </r>
  <r>
    <s v="CLI-00884"/>
    <x v="22"/>
    <n v="47"/>
    <x v="3"/>
    <n v="49"/>
    <n v="55.88"/>
    <n v="3"/>
    <n v="25.146000000000001"/>
  </r>
  <r>
    <s v="CLI-00885"/>
    <x v="9"/>
    <n v="54"/>
    <x v="2"/>
    <n v="215"/>
    <n v="54.69"/>
    <n v="0"/>
    <n v="0"/>
  </r>
  <r>
    <s v="CLI-00886"/>
    <x v="2"/>
    <n v="80"/>
    <x v="1"/>
    <n v="458"/>
    <n v="98.11"/>
    <n v="0"/>
    <n v="44.149500000000003"/>
  </r>
  <r>
    <s v="CLI-00887"/>
    <x v="10"/>
    <n v="115"/>
    <x v="2"/>
    <n v="467"/>
    <n v="24.57"/>
    <n v="3"/>
    <n v="11.0565"/>
  </r>
  <r>
    <s v="CLI-00889"/>
    <x v="9"/>
    <n v="104"/>
    <x v="2"/>
    <n v="50"/>
    <s v="90,99€"/>
    <n v="4"/>
    <n v="0"/>
  </r>
  <r>
    <s v="CLI-00890"/>
    <x v="5"/>
    <n v="103"/>
    <x v="3"/>
    <n v="310"/>
    <n v="49.25"/>
    <n v="2"/>
    <n v="22.162500000000001"/>
  </r>
  <r>
    <s v="CLI-00892"/>
    <x v="15"/>
    <n v="32"/>
    <x v="1"/>
    <n v="4"/>
    <n v="39"/>
    <n v="0"/>
    <n v="0"/>
  </r>
  <r>
    <s v="CLI-00893"/>
    <x v="14"/>
    <n v="54"/>
    <x v="0"/>
    <n v="450"/>
    <n v="90.85"/>
    <n v="1"/>
    <n v="40.8825"/>
  </r>
  <r>
    <s v="CLI-00894"/>
    <x v="6"/>
    <n v="63"/>
    <x v="1"/>
    <n v="205"/>
    <n v="89.19"/>
    <n v="0"/>
    <n v="0"/>
  </r>
  <r>
    <s v="CLI-00896"/>
    <x v="14"/>
    <n v="16"/>
    <x v="3"/>
    <n v="274"/>
    <n v="27.97"/>
    <n v="4"/>
    <n v="12.586499999999999"/>
  </r>
  <r>
    <s v="CLI-00898"/>
    <x v="25"/>
    <n v="95"/>
    <x v="3"/>
    <n v="313"/>
    <n v="32.49"/>
    <n v="1"/>
    <n v="14.620500000000002"/>
  </r>
  <r>
    <s v="CLI-00899"/>
    <x v="0"/>
    <n v="48"/>
    <x v="1"/>
    <n v="76"/>
    <n v="39.35"/>
    <n v="2"/>
    <n v="0"/>
  </r>
  <r>
    <s v="CLI-00901"/>
    <x v="14"/>
    <n v="83"/>
    <x v="0"/>
    <n v="126"/>
    <n v="67.17"/>
    <n v="1"/>
    <n v="0"/>
  </r>
  <r>
    <s v="CLI-00902"/>
    <x v="2"/>
    <n v="96"/>
    <x v="2"/>
    <n v="155"/>
    <n v="69.16"/>
    <n v="4"/>
    <n v="0"/>
  </r>
  <r>
    <s v="CLI-00905"/>
    <x v="9"/>
    <n v="13"/>
    <x v="2"/>
    <n v="482"/>
    <n v="50.15"/>
    <n v="0"/>
    <n v="22.567499999999999"/>
  </r>
  <r>
    <s v="CLI-00907"/>
    <x v="6"/>
    <n v="4"/>
    <x v="0"/>
    <n v="227"/>
    <n v="83.32"/>
    <n v="2"/>
    <n v="0"/>
  </r>
  <r>
    <s v="CLI-00909"/>
    <x v="12"/>
    <n v="49"/>
    <x v="2"/>
    <n v="6"/>
    <n v="44.41"/>
    <n v="3"/>
    <n v="0"/>
  </r>
  <r>
    <s v="CLI-00912"/>
    <x v="8"/>
    <n v="37"/>
    <x v="3"/>
    <n v="420"/>
    <n v="67.260000000000005"/>
    <n v="4"/>
    <n v="30.267000000000003"/>
  </r>
  <r>
    <s v="CLI-00913"/>
    <x v="5"/>
    <n v="88"/>
    <x v="0"/>
    <n v="246"/>
    <n v="90.7"/>
    <n v="3"/>
    <n v="40.815000000000005"/>
  </r>
  <r>
    <s v="CLI-00919"/>
    <x v="21"/>
    <n v="26"/>
    <x v="0"/>
    <n v="413"/>
    <n v="10.9"/>
    <n v="5"/>
    <n v="4.9050000000000002"/>
  </r>
  <r>
    <s v="CLI-00921"/>
    <x v="14"/>
    <n v="86"/>
    <x v="1"/>
    <n v="353"/>
    <n v="25.37"/>
    <n v="1"/>
    <n v="11.416500000000001"/>
  </r>
  <r>
    <s v="CLI-00922"/>
    <x v="7"/>
    <n v="101"/>
    <x v="1"/>
    <n v="108"/>
    <n v="76.05"/>
    <n v="3"/>
    <n v="0"/>
  </r>
  <r>
    <s v="CLI-00924"/>
    <x v="21"/>
    <n v="105"/>
    <x v="3"/>
    <n v="17"/>
    <n v="60.05"/>
    <n v="4"/>
    <n v="0"/>
  </r>
  <r>
    <s v="CLI-00925"/>
    <x v="19"/>
    <n v="61"/>
    <x v="2"/>
    <n v="87"/>
    <n v="68.319999999999993"/>
    <n v="2"/>
    <n v="0"/>
  </r>
  <r>
    <s v="CLI-00928"/>
    <x v="20"/>
    <n v="94"/>
    <x v="2"/>
    <n v="6"/>
    <n v="67.459999999999994"/>
    <n v="5"/>
    <n v="0"/>
  </r>
  <r>
    <s v="CLI-00929"/>
    <x v="16"/>
    <n v="6"/>
    <x v="1"/>
    <n v="109"/>
    <n v="39.880000000000003"/>
    <n v="4"/>
    <n v="0"/>
  </r>
  <r>
    <s v="CLI-00930"/>
    <x v="23"/>
    <n v="62"/>
    <x v="2"/>
    <n v="136"/>
    <n v="88.61"/>
    <n v="2"/>
    <n v="0"/>
  </r>
  <r>
    <s v="CLI-00932"/>
    <x v="24"/>
    <n v="34"/>
    <x v="2"/>
    <n v="181"/>
    <n v="35.92"/>
    <n v="2"/>
    <n v="0"/>
  </r>
  <r>
    <s v="CLI-00938"/>
    <x v="2"/>
    <n v="99"/>
    <x v="1"/>
    <n v="138"/>
    <n v="54.64"/>
    <n v="5"/>
    <n v="0"/>
  </r>
  <r>
    <s v="CLI-00939"/>
    <x v="19"/>
    <n v="59"/>
    <x v="3"/>
    <n v="352"/>
    <n v="74.239999999999995"/>
    <n v="0"/>
    <n v="33.408000000000001"/>
  </r>
  <r>
    <s v="CLI-00943"/>
    <x v="1"/>
    <n v="19"/>
    <x v="0"/>
    <n v="71"/>
    <n v="68.2"/>
    <n v="0"/>
    <n v="0"/>
  </r>
  <r>
    <s v="CLI-00948"/>
    <x v="18"/>
    <n v="56"/>
    <x v="1"/>
    <n v="55"/>
    <n v="82.56"/>
    <n v="2"/>
    <n v="0"/>
  </r>
  <r>
    <s v="CLI-00950"/>
    <x v="0"/>
    <n v="94"/>
    <x v="1"/>
    <n v="247"/>
    <n v="96.57"/>
    <n v="0"/>
    <n v="43.456499999999998"/>
  </r>
  <r>
    <s v="CLI-00952"/>
    <x v="23"/>
    <n v="14"/>
    <x v="1"/>
    <n v="236"/>
    <n v="54.43"/>
    <n v="3"/>
    <n v="0"/>
  </r>
  <r>
    <s v="CLI-00957"/>
    <x v="23"/>
    <n v="63"/>
    <x v="1"/>
    <n v="121"/>
    <n v="39.18"/>
    <n v="2"/>
    <n v="0"/>
  </r>
  <r>
    <s v="CLI-00959"/>
    <x v="8"/>
    <n v="111"/>
    <x v="0"/>
    <n v="194"/>
    <n v="48.55"/>
    <n v="2"/>
    <n v="0"/>
  </r>
  <r>
    <s v="CLI-00960"/>
    <x v="1"/>
    <n v="25"/>
    <x v="1"/>
    <n v="66"/>
    <n v="90.14"/>
    <n v="5"/>
    <n v="0"/>
  </r>
  <r>
    <s v="CLI-00961"/>
    <x v="22"/>
    <n v="37"/>
    <x v="1"/>
    <n v="88"/>
    <n v="77.77"/>
    <n v="1"/>
    <n v="0"/>
  </r>
  <r>
    <s v="CLI-00962"/>
    <x v="5"/>
    <n v="29"/>
    <x v="0"/>
    <n v="306"/>
    <n v="82.16"/>
    <n v="1"/>
    <n v="36.972000000000001"/>
  </r>
  <r>
    <s v="CLI-00964"/>
    <x v="10"/>
    <n v="13"/>
    <x v="1"/>
    <n v="87"/>
    <n v="66.36"/>
    <n v="0"/>
    <n v="0"/>
  </r>
  <r>
    <s v="CLI-00965"/>
    <x v="7"/>
    <n v="27"/>
    <x v="3"/>
    <n v="369"/>
    <n v="19.78"/>
    <n v="1"/>
    <n v="8.9010000000000016"/>
  </r>
  <r>
    <s v="CLI-00966"/>
    <x v="12"/>
    <n v="110"/>
    <x v="3"/>
    <n v="289"/>
    <n v="83.67"/>
    <n v="4"/>
    <n v="37.651499999999999"/>
  </r>
  <r>
    <s v="CLI-00970"/>
    <x v="3"/>
    <n v="82"/>
    <x v="1"/>
    <n v="312"/>
    <n v="40.880000000000003"/>
    <n v="0"/>
    <n v="18.396000000000001"/>
  </r>
  <r>
    <s v="CLI-00971"/>
    <x v="22"/>
    <n v="1"/>
    <x v="1"/>
    <n v="424"/>
    <n v="59.2"/>
    <n v="2"/>
    <n v="26.64"/>
  </r>
  <r>
    <s v="CLI-00973"/>
    <x v="11"/>
    <n v="72"/>
    <x v="3"/>
    <n v="5"/>
    <n v="68.650000000000006"/>
    <n v="0"/>
    <n v="0"/>
  </r>
  <r>
    <s v="CLI-00974"/>
    <x v="23"/>
    <n v="7"/>
    <x v="3"/>
    <n v="317"/>
    <n v="97.32"/>
    <n v="1"/>
    <n v="43.793999999999997"/>
  </r>
  <r>
    <s v="CLI-00976"/>
    <x v="12"/>
    <n v="65"/>
    <x v="1"/>
    <n v="274"/>
    <n v="88.1"/>
    <n v="4"/>
    <n v="39.644999999999996"/>
  </r>
  <r>
    <s v="CLI-00978"/>
    <x v="1"/>
    <n v="16"/>
    <x v="3"/>
    <n v="96"/>
    <n v="86.78"/>
    <n v="1"/>
    <n v="39.051000000000002"/>
  </r>
  <r>
    <s v="CLI-00979"/>
    <x v="6"/>
    <n v="74"/>
    <x v="0"/>
    <n v="265"/>
    <n v="90.81"/>
    <n v="3"/>
    <n v="40.8645"/>
  </r>
  <r>
    <s v="CLI-00980"/>
    <x v="25"/>
    <n v="106"/>
    <x v="2"/>
    <n v="128"/>
    <n v="35.96"/>
    <n v="2"/>
    <n v="0"/>
  </r>
  <r>
    <s v="CLI-00983"/>
    <x v="19"/>
    <n v="50"/>
    <x v="2"/>
    <n v="357"/>
    <n v="17"/>
    <n v="3"/>
    <n v="7.65"/>
  </r>
  <r>
    <s v="CLI-00986"/>
    <x v="13"/>
    <n v="37"/>
    <x v="2"/>
    <n v="3"/>
    <n v="20.89"/>
    <n v="5"/>
    <n v="0"/>
  </r>
  <r>
    <s v="CLI-00994"/>
    <x v="0"/>
    <n v="71"/>
    <x v="2"/>
    <n v="68"/>
    <n v="53.11"/>
    <n v="2"/>
    <n v="0"/>
  </r>
  <r>
    <s v="CLI-00996"/>
    <x v="1"/>
    <n v="119"/>
    <x v="2"/>
    <n v="228"/>
    <n v="94.72"/>
    <n v="3"/>
    <n v="0"/>
  </r>
  <r>
    <s v="CLI-00997"/>
    <x v="4"/>
    <n v="20"/>
    <x v="0"/>
    <n v="297"/>
    <n v="14.77"/>
    <n v="0"/>
    <n v="6.6464999999999996"/>
  </r>
  <r>
    <s v="CLI-00999"/>
    <x v="13"/>
    <n v="109"/>
    <x v="2"/>
    <n v="104"/>
    <n v="12.37"/>
    <n v="5"/>
    <n v="0"/>
  </r>
  <r>
    <s v="CLI-01000"/>
    <x v="20"/>
    <n v="78"/>
    <x v="3"/>
    <n v="387"/>
    <n v="11.63"/>
    <n v="2"/>
    <n v="5.2335000000000003"/>
  </r>
  <r>
    <s v="CLI-01003"/>
    <x v="19"/>
    <n v="11"/>
    <x v="1"/>
    <n v="214"/>
    <n v="11.46"/>
    <n v="5"/>
    <n v="0"/>
  </r>
  <r>
    <s v="CLI-01005"/>
    <x v="25"/>
    <n v="80"/>
    <x v="2"/>
    <n v="155"/>
    <n v="28.96"/>
    <n v="2"/>
    <n v="0"/>
  </r>
  <r>
    <s v="CLI-01006"/>
    <x v="22"/>
    <n v="110"/>
    <x v="2"/>
    <n v="47"/>
    <n v="29.68"/>
    <n v="0"/>
    <n v="0"/>
  </r>
  <r>
    <s v="CLI-01007"/>
    <x v="17"/>
    <n v="5"/>
    <x v="0"/>
    <n v="239"/>
    <n v="26.95"/>
    <n v="2"/>
    <n v="0"/>
  </r>
  <r>
    <s v="CLI-01010"/>
    <x v="7"/>
    <n v="90"/>
    <x v="0"/>
    <n v="216"/>
    <n v="45.58"/>
    <n v="0"/>
    <n v="0"/>
  </r>
  <r>
    <s v="CLI-01013"/>
    <x v="4"/>
    <n v="105"/>
    <x v="2"/>
    <n v="3"/>
    <n v="71.010000000000005"/>
    <n v="1"/>
    <n v="0"/>
  </r>
  <r>
    <s v="CLI-01014"/>
    <x v="19"/>
    <n v="39"/>
    <x v="2"/>
    <n v="327"/>
    <n v="87.24"/>
    <n v="4"/>
    <n v="39.257999999999996"/>
  </r>
  <r>
    <s v="CLI-01015"/>
    <x v="14"/>
    <n v="21"/>
    <x v="0"/>
    <n v="267"/>
    <n v="74.989999999999995"/>
    <n v="1"/>
    <n v="33.7455"/>
  </r>
  <r>
    <s v="CLI-01016"/>
    <x v="2"/>
    <n v="9"/>
    <x v="2"/>
    <n v="102"/>
    <n v="41.52"/>
    <n v="0"/>
    <n v="0"/>
  </r>
  <r>
    <s v="CLI-01017"/>
    <x v="14"/>
    <n v="53"/>
    <x v="1"/>
    <n v="385"/>
    <n v="68.78"/>
    <n v="3"/>
    <n v="30.951000000000001"/>
  </r>
  <r>
    <s v="CLI-01021"/>
    <x v="21"/>
    <n v="64"/>
    <x v="1"/>
    <n v="15"/>
    <n v="56.94"/>
    <n v="4"/>
    <n v="0"/>
  </r>
  <r>
    <s v="CLI-01023"/>
    <x v="19"/>
    <n v="45"/>
    <x v="0"/>
    <n v="439"/>
    <n v="13.62"/>
    <n v="4"/>
    <n v="6.1289999999999996"/>
  </r>
  <r>
    <s v="CLI-01025"/>
    <x v="3"/>
    <n v="86"/>
    <x v="0"/>
    <n v="460"/>
    <n v="22.81"/>
    <n v="4"/>
    <n v="10.2645"/>
  </r>
  <r>
    <s v="CLI-01032"/>
    <x v="17"/>
    <n v="45"/>
    <x v="2"/>
    <n v="26"/>
    <n v="30.35"/>
    <n v="1"/>
    <n v="0"/>
  </r>
  <r>
    <s v="CLI-01034"/>
    <x v="10"/>
    <n v="101"/>
    <x v="3"/>
    <n v="476"/>
    <n v="41.85"/>
    <n v="4"/>
    <n v="18.8325"/>
  </r>
  <r>
    <s v="CLI-01037"/>
    <x v="5"/>
    <n v="21"/>
    <x v="2"/>
    <n v="107"/>
    <n v="30.97"/>
    <n v="4"/>
    <n v="0"/>
  </r>
  <r>
    <s v="CLI-01040"/>
    <x v="25"/>
    <n v="56"/>
    <x v="2"/>
    <n v="41"/>
    <n v="15.1"/>
    <n v="5"/>
    <n v="0"/>
  </r>
  <r>
    <s v="CLI-01042"/>
    <x v="18"/>
    <n v="55"/>
    <x v="2"/>
    <n v="494"/>
    <n v="77.599999999999994"/>
    <n v="4"/>
    <n v="34.92"/>
  </r>
  <r>
    <s v="CLI-01046"/>
    <x v="8"/>
    <n v="2"/>
    <x v="1"/>
    <n v="481"/>
    <n v="29.37"/>
    <n v="4"/>
    <n v="13.2165"/>
  </r>
  <r>
    <s v="CLI-01050"/>
    <x v="14"/>
    <n v="41"/>
    <x v="3"/>
    <n v="178"/>
    <n v="11.29"/>
    <n v="4"/>
    <n v="5.0804999999999998"/>
  </r>
  <r>
    <s v="CLI-01052"/>
    <x v="8"/>
    <n v="82"/>
    <x v="2"/>
    <n v="175"/>
    <n v="86.14"/>
    <n v="1"/>
    <n v="0"/>
  </r>
  <r>
    <s v="CLI-01058"/>
    <x v="24"/>
    <n v="86"/>
    <x v="3"/>
    <n v="111"/>
    <n v="23.65"/>
    <n v="0"/>
    <n v="0"/>
  </r>
  <r>
    <s v="CLI-01059"/>
    <x v="5"/>
    <n v="45"/>
    <x v="2"/>
    <n v="356"/>
    <n v="33.76"/>
    <n v="0"/>
    <n v="15.192"/>
  </r>
  <r>
    <s v="CLI-01069"/>
    <x v="1"/>
    <n v="111"/>
    <x v="3"/>
    <n v="103"/>
    <n v="32.06"/>
    <n v="0"/>
    <n v="0"/>
  </r>
  <r>
    <s v="CLI-01072"/>
    <x v="17"/>
    <n v="34"/>
    <x v="1"/>
    <n v="58"/>
    <n v="64.349999999999994"/>
    <n v="0"/>
    <n v="0"/>
  </r>
  <r>
    <s v="CLI-01075"/>
    <x v="10"/>
    <n v="91"/>
    <x v="0"/>
    <n v="62"/>
    <n v="34.450000000000003"/>
    <n v="5"/>
    <n v="0"/>
  </r>
  <r>
    <s v="CLI-01076"/>
    <x v="5"/>
    <n v="86"/>
    <x v="1"/>
    <n v="252"/>
    <n v="96.5"/>
    <n v="5"/>
    <n v="43.425000000000004"/>
  </r>
  <r>
    <s v="CLI-01077"/>
    <x v="17"/>
    <n v="95"/>
    <x v="3"/>
    <n v="51"/>
    <n v="94.77"/>
    <n v="5"/>
    <n v="0"/>
  </r>
  <r>
    <s v="CLI-01078"/>
    <x v="20"/>
    <n v="37"/>
    <x v="1"/>
    <n v="37"/>
    <n v="92.72"/>
    <n v="0"/>
    <n v="0"/>
  </r>
  <r>
    <s v="CLI-01080"/>
    <x v="21"/>
    <n v="56"/>
    <x v="0"/>
    <n v="379"/>
    <n v="49.01"/>
    <n v="0"/>
    <n v="22.054500000000001"/>
  </r>
  <r>
    <s v="CLI-01082"/>
    <x v="0"/>
    <n v="4"/>
    <x v="1"/>
    <n v="449"/>
    <n v="43.95"/>
    <n v="2"/>
    <n v="19.777500000000003"/>
  </r>
  <r>
    <s v="CLI-01087"/>
    <x v="19"/>
    <n v="13"/>
    <x v="1"/>
    <n v="173"/>
    <n v="85.54"/>
    <n v="3"/>
    <n v="0"/>
  </r>
  <r>
    <s v="CLI-01093"/>
    <x v="17"/>
    <n v="70"/>
    <x v="1"/>
    <n v="290"/>
    <n v="96.31"/>
    <n v="1"/>
    <n v="43.339500000000001"/>
  </r>
  <r>
    <s v="CLI-01095"/>
    <x v="24"/>
    <n v="49"/>
    <x v="2"/>
    <n v="25"/>
    <n v="22.77"/>
    <n v="3"/>
    <n v="0"/>
  </r>
  <r>
    <s v="CLI-01096"/>
    <x v="4"/>
    <n v="11"/>
    <x v="0"/>
    <n v="215"/>
    <n v="51.99"/>
    <n v="1"/>
    <n v="0"/>
  </r>
  <r>
    <s v="CLI-01104"/>
    <x v="22"/>
    <n v="40"/>
    <x v="3"/>
    <n v="235"/>
    <n v="15.01"/>
    <n v="3"/>
    <n v="6.7545000000000002"/>
  </r>
  <r>
    <s v="CLI-01118"/>
    <x v="21"/>
    <n v="33"/>
    <x v="2"/>
    <n v="337"/>
    <n v="62.61"/>
    <n v="2"/>
    <n v="28.174500000000002"/>
  </r>
  <r>
    <s v="CLI-01121"/>
    <x v="25"/>
    <n v="91"/>
    <x v="2"/>
    <n v="90"/>
    <n v="39.14"/>
    <n v="3"/>
    <n v="0"/>
  </r>
  <r>
    <s v="CLI-01122"/>
    <x v="9"/>
    <n v="18"/>
    <x v="1"/>
    <n v="71"/>
    <n v="46.98"/>
    <n v="2"/>
    <n v="0"/>
  </r>
  <r>
    <s v="CLI-01128"/>
    <x v="5"/>
    <n v="112"/>
    <x v="3"/>
    <n v="460"/>
    <n v="55.47"/>
    <n v="4"/>
    <n v="24.961500000000001"/>
  </r>
  <r>
    <s v="CLI-01129"/>
    <x v="16"/>
    <n v="27"/>
    <x v="0"/>
    <n v="70"/>
    <n v="20.32"/>
    <n v="3"/>
    <n v="0"/>
  </r>
  <r>
    <s v="CLI-01132"/>
    <x v="19"/>
    <n v="-36"/>
    <x v="0"/>
    <n v="404"/>
    <n v="40.21"/>
    <n v="1"/>
    <n v="18.0945"/>
  </r>
  <r>
    <s v="CLI-01134"/>
    <x v="22"/>
    <n v="90"/>
    <x v="2"/>
    <n v="412"/>
    <n v="20.62"/>
    <n v="2"/>
    <n v="9.2789999999999999"/>
  </r>
  <r>
    <s v="CLI-01136"/>
    <x v="5"/>
    <n v="33"/>
    <x v="1"/>
    <n v="391"/>
    <n v="88.88"/>
    <n v="4"/>
    <n v="39.996000000000002"/>
  </r>
  <r>
    <s v="CLI-01139"/>
    <x v="13"/>
    <n v="1"/>
    <x v="3"/>
    <n v="368"/>
    <n v="35.17"/>
    <n v="1"/>
    <n v="15.826500000000001"/>
  </r>
  <r>
    <s v="CLI-01141"/>
    <x v="2"/>
    <n v="117"/>
    <x v="2"/>
    <n v="338"/>
    <n v="29.18"/>
    <n v="5"/>
    <n v="13.131"/>
  </r>
  <r>
    <s v="CLI-01144"/>
    <x v="19"/>
    <n v="50"/>
    <x v="2"/>
    <n v="446"/>
    <n v="31.56"/>
    <n v="5"/>
    <n v="14.202"/>
  </r>
  <r>
    <s v="CLI-01146"/>
    <x v="6"/>
    <n v="76"/>
    <x v="3"/>
    <n v="187"/>
    <n v="56.29"/>
    <n v="1"/>
    <n v="0"/>
  </r>
  <r>
    <s v="CLI-01147"/>
    <x v="8"/>
    <n v="29"/>
    <x v="3"/>
    <n v="214"/>
    <n v="74.7"/>
    <n v="3"/>
    <n v="33.615000000000002"/>
  </r>
  <r>
    <s v="CLI-01149"/>
    <x v="24"/>
    <n v="88"/>
    <x v="0"/>
    <n v="474"/>
    <n v="23.35"/>
    <n v="5"/>
    <n v="10.5075"/>
  </r>
  <r>
    <s v="CLI-01154"/>
    <x v="23"/>
    <n v="115"/>
    <x v="1"/>
    <n v="190"/>
    <n v="10.98"/>
    <n v="0"/>
    <n v="0"/>
  </r>
  <r>
    <s v="CLI-01162"/>
    <x v="17"/>
    <n v="84"/>
    <x v="0"/>
    <n v="244"/>
    <n v="56.34"/>
    <n v="5"/>
    <n v="25.353000000000002"/>
  </r>
  <r>
    <s v="CLI-01165"/>
    <x v="20"/>
    <n v="21"/>
    <x v="0"/>
    <n v="15"/>
    <n v="57.74"/>
    <n v="0"/>
    <n v="0"/>
  </r>
  <r>
    <s v="CLI-01166"/>
    <x v="25"/>
    <n v="21"/>
    <x v="2"/>
    <n v="444"/>
    <n v="41.92"/>
    <n v="3"/>
    <n v="18.864000000000001"/>
  </r>
  <r>
    <s v="CLI-01167"/>
    <x v="23"/>
    <n v="92"/>
    <x v="0"/>
    <n v="379"/>
    <n v="70.08"/>
    <n v="5"/>
    <n v="31.536000000000001"/>
  </r>
  <r>
    <s v="CLI-01169"/>
    <x v="23"/>
    <n v="114"/>
    <x v="0"/>
    <n v="388"/>
    <n v="40.29"/>
    <n v="5"/>
    <n v="18.130500000000001"/>
  </r>
  <r>
    <s v="CLI-01170"/>
    <x v="22"/>
    <n v="98"/>
    <x v="1"/>
    <n v="482"/>
    <n v="55.04"/>
    <n v="5"/>
    <n v="24.768000000000001"/>
  </r>
  <r>
    <s v="CLI-01180"/>
    <x v="21"/>
    <n v="15"/>
    <x v="0"/>
    <n v="319"/>
    <n v="78.150000000000006"/>
    <n v="4"/>
    <n v="35.167500000000004"/>
  </r>
  <r>
    <s v="CLI-01181"/>
    <x v="22"/>
    <n v="42"/>
    <x v="0"/>
    <n v="252"/>
    <n v="59.46"/>
    <n v="4"/>
    <n v="26.757000000000001"/>
  </r>
  <r>
    <s v="CLI-01186"/>
    <x v="5"/>
    <n v="8"/>
    <x v="0"/>
    <n v="171"/>
    <n v="52.98"/>
    <n v="0"/>
    <n v="0"/>
  </r>
  <r>
    <s v="CLI-01189"/>
    <x v="11"/>
    <n v="12"/>
    <x v="1"/>
    <n v="305"/>
    <n v="59.96"/>
    <n v="3"/>
    <n v="26.981999999999999"/>
  </r>
  <r>
    <s v="CLI-01194"/>
    <x v="24"/>
    <n v="29"/>
    <x v="1"/>
    <n v="203"/>
    <n v="53.97"/>
    <n v="5"/>
    <n v="0"/>
  </r>
  <r>
    <s v="CLI-01196"/>
    <x v="24"/>
    <n v="80"/>
    <x v="1"/>
    <n v="339"/>
    <n v="59.87"/>
    <n v="0"/>
    <n v="26.941499999999998"/>
  </r>
  <r>
    <s v="CLI-01197"/>
    <x v="4"/>
    <n v="95"/>
    <x v="0"/>
    <n v="33"/>
    <n v="35.32"/>
    <n v="0"/>
    <n v="0"/>
  </r>
  <r>
    <s v="CLI-01199"/>
    <x v="14"/>
    <n v="99"/>
    <x v="1"/>
    <n v="169"/>
    <n v="76.75"/>
    <n v="5"/>
    <n v="0"/>
  </r>
  <r>
    <s v="CLI-01200"/>
    <x v="1"/>
    <n v="88"/>
    <x v="3"/>
    <n v="359"/>
    <n v="71.19"/>
    <n v="3"/>
    <n v="32.035499999999999"/>
  </r>
  <r>
    <s v="CLI-01203"/>
    <x v="4"/>
    <n v="7"/>
    <x v="0"/>
    <n v="43"/>
    <n v="41.29"/>
    <n v="4"/>
    <n v="0"/>
  </r>
  <r>
    <s v="CLI-01204"/>
    <x v="4"/>
    <n v="68"/>
    <x v="1"/>
    <n v="282"/>
    <n v="35.43"/>
    <n v="1"/>
    <n v="15.9435"/>
  </r>
  <r>
    <s v="CLI-01208"/>
    <x v="16"/>
    <n v="11"/>
    <x v="0"/>
    <n v="402"/>
    <n v="69.599999999999994"/>
    <n v="5"/>
    <n v="31.319999999999997"/>
  </r>
  <r>
    <s v="CLI-01210"/>
    <x v="0"/>
    <n v="1"/>
    <x v="2"/>
    <n v="213"/>
    <n v="52.16"/>
    <n v="3"/>
    <n v="0"/>
  </r>
  <r>
    <s v="CLI-01211"/>
    <x v="25"/>
    <n v="98"/>
    <x v="1"/>
    <n v="168"/>
    <n v="44.14"/>
    <n v="3"/>
    <n v="0"/>
  </r>
  <r>
    <s v="CLI-01215"/>
    <x v="8"/>
    <n v="3"/>
    <x v="2"/>
    <n v="356"/>
    <n v="91.6"/>
    <n v="3"/>
    <n v="41.22"/>
  </r>
  <r>
    <s v="CLI-01217"/>
    <x v="8"/>
    <n v="85"/>
    <x v="3"/>
    <n v="274"/>
    <n v="35.03"/>
    <n v="1"/>
    <n v="15.763500000000001"/>
  </r>
  <r>
    <s v="CLI-01221"/>
    <x v="9"/>
    <n v="79"/>
    <x v="3"/>
    <n v="454"/>
    <n v="80.34"/>
    <n v="2"/>
    <n v="36.153000000000006"/>
  </r>
  <r>
    <s v="CLI-01224"/>
    <x v="24"/>
    <n v="65"/>
    <x v="0"/>
    <n v="442"/>
    <n v="60.62"/>
    <n v="5"/>
    <n v="27.279"/>
  </r>
  <r>
    <s v="CLI-01226"/>
    <x v="17"/>
    <n v="2"/>
    <x v="3"/>
    <n v="21"/>
    <n v="51.68"/>
    <n v="3"/>
    <n v="23.256"/>
  </r>
  <r>
    <s v="CLI-01229"/>
    <x v="22"/>
    <n v="51"/>
    <x v="2"/>
    <n v="58"/>
    <n v="34.6"/>
    <n v="5"/>
    <n v="0"/>
  </r>
  <r>
    <s v="CLI-01230"/>
    <x v="9"/>
    <n v="63"/>
    <x v="1"/>
    <n v="141"/>
    <n v="95.6"/>
    <n v="4"/>
    <n v="0"/>
  </r>
  <r>
    <s v="CLI-01233"/>
    <x v="3"/>
    <n v="101"/>
    <x v="1"/>
    <n v="333"/>
    <n v="74.319999999999993"/>
    <n v="1"/>
    <n v="33.443999999999996"/>
  </r>
  <r>
    <s v="CLI-01234"/>
    <x v="19"/>
    <n v="33"/>
    <x v="3"/>
    <n v="285"/>
    <n v="56.67"/>
    <n v="2"/>
    <n v="25.5015"/>
  </r>
  <r>
    <s v="CLI-01236"/>
    <x v="14"/>
    <n v="17"/>
    <x v="1"/>
    <n v="175"/>
    <n v="24.95"/>
    <n v="4"/>
    <n v="0"/>
  </r>
  <r>
    <s v="CLI-01238"/>
    <x v="5"/>
    <n v="89"/>
    <x v="1"/>
    <n v="225"/>
    <n v="38.36"/>
    <n v="2"/>
    <n v="0"/>
  </r>
  <r>
    <s v="CLI-01241"/>
    <x v="5"/>
    <n v="88"/>
    <x v="3"/>
    <n v="232"/>
    <n v="40.94"/>
    <n v="2"/>
    <n v="0"/>
  </r>
  <r>
    <s v="CLI-01242"/>
    <x v="8"/>
    <n v="29"/>
    <x v="3"/>
    <n v="350"/>
    <n v="84.32"/>
    <n v="3"/>
    <n v="37.943999999999996"/>
  </r>
  <r>
    <s v="CLI-01253"/>
    <x v="6"/>
    <n v="48"/>
    <x v="3"/>
    <n v="473"/>
    <n v="71.52"/>
    <n v="5"/>
    <n v="32.183999999999997"/>
  </r>
  <r>
    <s v="CLI-01254"/>
    <x v="24"/>
    <n v="73"/>
    <x v="2"/>
    <n v="225"/>
    <n v="45.86"/>
    <n v="0"/>
    <n v="0"/>
  </r>
  <r>
    <s v="CLI-01256"/>
    <x v="6"/>
    <n v="35"/>
    <x v="1"/>
    <n v="292"/>
    <n v="39.21"/>
    <n v="1"/>
    <n v="17.644500000000001"/>
  </r>
  <r>
    <s v="CLI-01258"/>
    <x v="1"/>
    <n v="107"/>
    <x v="2"/>
    <n v="290"/>
    <n v="52.03"/>
    <n v="0"/>
    <n v="23.413500000000003"/>
  </r>
  <r>
    <s v="CLI-01264"/>
    <x v="11"/>
    <n v="80"/>
    <x v="0"/>
    <n v="65"/>
    <n v="76.64"/>
    <n v="3"/>
    <n v="0"/>
  </r>
  <r>
    <s v="CLI-01266"/>
    <x v="12"/>
    <n v="66"/>
    <x v="3"/>
    <n v="193"/>
    <n v="21.06"/>
    <n v="3"/>
    <n v="0"/>
  </r>
  <r>
    <s v="CLI-01267"/>
    <x v="8"/>
    <n v="38"/>
    <x v="2"/>
    <n v="191"/>
    <n v="22.97"/>
    <n v="3"/>
    <n v="0"/>
  </r>
  <r>
    <s v="CLI-01270"/>
    <x v="2"/>
    <n v="119"/>
    <x v="1"/>
    <n v="451"/>
    <n v="10.46"/>
    <n v="5"/>
    <n v="4.7070000000000007"/>
  </r>
  <r>
    <s v="CLI-01275"/>
    <x v="8"/>
    <n v="55"/>
    <x v="0"/>
    <n v="355"/>
    <n v="59.65"/>
    <n v="0"/>
    <n v="26.842500000000001"/>
  </r>
  <r>
    <s v="CLI-01278"/>
    <x v="25"/>
    <n v="6"/>
    <x v="2"/>
    <n v="77"/>
    <n v="18.48"/>
    <n v="2"/>
    <n v="0"/>
  </r>
  <r>
    <s v="CLI-01283"/>
    <x v="9"/>
    <n v="63"/>
    <x v="2"/>
    <n v="265"/>
    <n v="49.94"/>
    <n v="1"/>
    <n v="22.472999999999999"/>
  </r>
  <r>
    <s v="CLI-01284"/>
    <x v="16"/>
    <n v="21"/>
    <x v="1"/>
    <n v="320"/>
    <n v="64.97"/>
    <n v="1"/>
    <n v="29.236499999999999"/>
  </r>
  <r>
    <s v="CLI-01287"/>
    <x v="9"/>
    <n v="5"/>
    <x v="3"/>
    <n v="417"/>
    <n v="90.71"/>
    <n v="1"/>
    <n v="40.819499999999998"/>
  </r>
  <r>
    <s v="CLI-01290"/>
    <x v="20"/>
    <n v="30"/>
    <x v="0"/>
    <n v="130"/>
    <n v="50.15"/>
    <n v="4"/>
    <n v="0"/>
  </r>
  <r>
    <s v="CLI-01291"/>
    <x v="8"/>
    <n v="60"/>
    <x v="2"/>
    <n v="161"/>
    <n v="62.65"/>
    <n v="0"/>
    <n v="0"/>
  </r>
  <r>
    <s v="CLI-01292"/>
    <x v="1"/>
    <n v="120"/>
    <x v="2"/>
    <n v="437"/>
    <n v="95.17"/>
    <n v="1"/>
    <n v="42.826500000000003"/>
  </r>
  <r>
    <s v="CLI-01294"/>
    <x v="11"/>
    <n v="68"/>
    <x v="3"/>
    <n v="443"/>
    <n v="12.09"/>
    <n v="3"/>
    <n v="5.4405000000000001"/>
  </r>
  <r>
    <s v="CLI-01304"/>
    <x v="22"/>
    <n v="85"/>
    <x v="2"/>
    <n v="132"/>
    <n v="11.41"/>
    <n v="0"/>
    <n v="0"/>
  </r>
  <r>
    <s v="CLI-01309"/>
    <x v="4"/>
    <n v="69"/>
    <x v="1"/>
    <n v="463"/>
    <n v="19.440000000000001"/>
    <n v="0"/>
    <n v="8.7480000000000011"/>
  </r>
  <r>
    <s v="CLI-01313"/>
    <x v="6"/>
    <n v="96"/>
    <x v="2"/>
    <n v="108"/>
    <n v="30.92"/>
    <n v="1"/>
    <n v="0"/>
  </r>
  <r>
    <s v="CLI-01314"/>
    <x v="13"/>
    <n v="89"/>
    <x v="2"/>
    <n v="7"/>
    <n v="53.39"/>
    <n v="3"/>
    <n v="0"/>
  </r>
  <r>
    <s v="CLI-01319"/>
    <x v="20"/>
    <n v="47"/>
    <x v="3"/>
    <n v="350"/>
    <n v="80.48"/>
    <n v="3"/>
    <n v="36.216000000000001"/>
  </r>
  <r>
    <s v="CLI-01320"/>
    <x v="13"/>
    <n v="78"/>
    <x v="0"/>
    <n v="312"/>
    <n v="85.74"/>
    <n v="2"/>
    <n v="38.582999999999998"/>
  </r>
  <r>
    <s v="CLI-01322"/>
    <x v="22"/>
    <n v="36"/>
    <x v="3"/>
    <n v="400"/>
    <n v="60.35"/>
    <n v="1"/>
    <n v="27.157500000000002"/>
  </r>
  <r>
    <s v="CLI-01325"/>
    <x v="4"/>
    <n v="44"/>
    <x v="0"/>
    <n v="348"/>
    <n v="58.67"/>
    <n v="0"/>
    <n v="26.401500000000002"/>
  </r>
  <r>
    <s v="CLI-01326"/>
    <x v="25"/>
    <n v="120"/>
    <x v="1"/>
    <n v="209"/>
    <n v="42.51"/>
    <n v="4"/>
    <n v="0"/>
  </r>
  <r>
    <s v="CLI-01327"/>
    <x v="9"/>
    <n v="116"/>
    <x v="3"/>
    <n v="279"/>
    <n v="62.88"/>
    <n v="4"/>
    <n v="28.296000000000003"/>
  </r>
  <r>
    <s v="CLI-01329"/>
    <x v="10"/>
    <n v="106"/>
    <x v="2"/>
    <n v="236"/>
    <n v="18.72"/>
    <n v="4"/>
    <n v="0"/>
  </r>
  <r>
    <s v="CLI-01330"/>
    <x v="4"/>
    <n v="60"/>
    <x v="0"/>
    <n v="306"/>
    <n v="63.83"/>
    <n v="2"/>
    <n v="28.723500000000001"/>
  </r>
  <r>
    <s v="CLI-01339"/>
    <x v="8"/>
    <n v="1"/>
    <x v="3"/>
    <n v="429"/>
    <n v="20.96"/>
    <n v="5"/>
    <n v="9.4320000000000004"/>
  </r>
  <r>
    <s v="CLI-01340"/>
    <x v="16"/>
    <n v="110"/>
    <x v="0"/>
    <n v="132"/>
    <n v="21.31"/>
    <n v="5"/>
    <n v="0"/>
  </r>
  <r>
    <s v="CLI-01344"/>
    <x v="13"/>
    <n v="74"/>
    <x v="2"/>
    <n v="330"/>
    <n v="37.82"/>
    <n v="5"/>
    <n v="17.019000000000002"/>
  </r>
  <r>
    <s v="CLI-01347"/>
    <x v="14"/>
    <n v="14"/>
    <x v="1"/>
    <n v="101"/>
    <n v="43.99"/>
    <n v="1"/>
    <n v="0"/>
  </r>
  <r>
    <s v="CLI-01348"/>
    <x v="19"/>
    <n v="62"/>
    <x v="2"/>
    <n v="369"/>
    <s v="58,74€"/>
    <n v="1"/>
    <e v="#VALUE!"/>
  </r>
  <r>
    <s v="CLI-01349"/>
    <x v="6"/>
    <n v="89"/>
    <x v="3"/>
    <n v="143"/>
    <n v="48.05"/>
    <n v="4"/>
    <n v="0"/>
  </r>
  <r>
    <s v="CLI-01351"/>
    <x v="11"/>
    <n v="19"/>
    <x v="3"/>
    <n v="270"/>
    <n v="19.760000000000002"/>
    <n v="3"/>
    <n v="8.8920000000000012"/>
  </r>
  <r>
    <s v="CLI-01354"/>
    <x v="2"/>
    <n v="42"/>
    <x v="0"/>
    <n v="448"/>
    <n v="49.02"/>
    <n v="0"/>
    <n v="22.059000000000001"/>
  </r>
  <r>
    <s v="CLI-01355"/>
    <x v="20"/>
    <n v="116"/>
    <x v="3"/>
    <n v="14"/>
    <n v="30.38"/>
    <n v="1"/>
    <n v="0"/>
  </r>
  <r>
    <s v="CLI-01357"/>
    <x v="6"/>
    <n v="47"/>
    <x v="0"/>
    <n v="98"/>
    <n v="16.16"/>
    <n v="5"/>
    <n v="0"/>
  </r>
  <r>
    <s v="CLI-01359"/>
    <x v="3"/>
    <n v="86"/>
    <x v="3"/>
    <n v="27"/>
    <n v="84.94"/>
    <n v="4"/>
    <n v="0"/>
  </r>
  <r>
    <s v="CLI-01360"/>
    <x v="4"/>
    <n v="86"/>
    <x v="3"/>
    <n v="278"/>
    <n v="30.12"/>
    <n v="0"/>
    <n v="13.554"/>
  </r>
  <r>
    <s v="CLI-01361"/>
    <x v="11"/>
    <n v="94"/>
    <x v="2"/>
    <n v="122"/>
    <n v="95.74"/>
    <n v="5"/>
    <n v="0"/>
  </r>
  <r>
    <s v="CLI-01363"/>
    <x v="25"/>
    <n v="66"/>
    <x v="1"/>
    <n v="152"/>
    <n v="95.71"/>
    <n v="3"/>
    <n v="0"/>
  </r>
  <r>
    <s v="CLI-01373"/>
    <x v="10"/>
    <n v="114"/>
    <x v="1"/>
    <n v="220"/>
    <n v="63.67"/>
    <n v="5"/>
    <n v="0"/>
  </r>
  <r>
    <s v="CLI-01374"/>
    <x v="0"/>
    <n v="36"/>
    <x v="0"/>
    <n v="311"/>
    <n v="13.19"/>
    <n v="4"/>
    <n v="5.9355000000000002"/>
  </r>
  <r>
    <s v="CLI-01375"/>
    <x v="0"/>
    <n v="94"/>
    <x v="2"/>
    <n v="115"/>
    <n v="19.12"/>
    <n v="0"/>
    <n v="0"/>
  </r>
  <r>
    <s v="CLI-01376"/>
    <x v="3"/>
    <n v="65"/>
    <x v="3"/>
    <n v="397"/>
    <n v="22.6"/>
    <n v="5"/>
    <n v="10.170000000000002"/>
  </r>
  <r>
    <s v="CLI-01380"/>
    <x v="4"/>
    <n v="118"/>
    <x v="2"/>
    <n v="489"/>
    <n v="76.22"/>
    <n v="2"/>
    <n v="34.298999999999999"/>
  </r>
  <r>
    <s v="CLI-01386"/>
    <x v="14"/>
    <n v="23"/>
    <x v="3"/>
    <n v="314"/>
    <n v="19.260000000000002"/>
    <n v="3"/>
    <n v="8.6670000000000016"/>
  </r>
  <r>
    <s v="CLI-01387"/>
    <x v="0"/>
    <n v="85"/>
    <x v="1"/>
    <n v="60"/>
    <n v="26.3"/>
    <n v="2"/>
    <n v="0"/>
  </r>
  <r>
    <s v="CLI-01394"/>
    <x v="21"/>
    <n v="92"/>
    <x v="0"/>
    <n v="6"/>
    <n v="77.14"/>
    <n v="5"/>
    <n v="0"/>
  </r>
  <r>
    <s v="CLI-01396"/>
    <x v="24"/>
    <n v="117"/>
    <x v="2"/>
    <n v="39"/>
    <n v="26.53"/>
    <n v="1"/>
    <n v="0"/>
  </r>
  <r>
    <s v="CLI-01399"/>
    <x v="3"/>
    <n v="114"/>
    <x v="3"/>
    <n v="232"/>
    <n v="42.2"/>
    <n v="2"/>
    <n v="0"/>
  </r>
  <r>
    <s v="CLI-01402"/>
    <x v="19"/>
    <n v="64"/>
    <x v="0"/>
    <n v="250"/>
    <n v="56.7"/>
    <n v="0"/>
    <n v="25.515000000000001"/>
  </r>
  <r>
    <s v="CLI-01403"/>
    <x v="1"/>
    <n v="88"/>
    <x v="3"/>
    <n v="219"/>
    <n v="59.15"/>
    <n v="0"/>
    <n v="0"/>
  </r>
  <r>
    <s v="CLI-01404"/>
    <x v="21"/>
    <n v="25"/>
    <x v="0"/>
    <n v="131"/>
    <n v="67.489999999999995"/>
    <n v="0"/>
    <n v="0"/>
  </r>
  <r>
    <s v="CLI-01405"/>
    <x v="25"/>
    <n v="32"/>
    <x v="2"/>
    <n v="405"/>
    <n v="67.92"/>
    <n v="3"/>
    <n v="30.564"/>
  </r>
  <r>
    <s v="CLI-01406"/>
    <x v="23"/>
    <n v="41"/>
    <x v="0"/>
    <n v="2"/>
    <n v="24.91"/>
    <n v="1"/>
    <n v="0"/>
  </r>
  <r>
    <s v="CLI-01407"/>
    <x v="11"/>
    <n v="103"/>
    <x v="3"/>
    <n v="354"/>
    <n v="26.19"/>
    <n v="4"/>
    <n v="11.785500000000001"/>
  </r>
  <r>
    <s v="CLI-01408"/>
    <x v="7"/>
    <n v="108"/>
    <x v="3"/>
    <n v="323"/>
    <n v="58.54"/>
    <n v="2"/>
    <n v="26.343"/>
  </r>
  <r>
    <s v="CLI-01410"/>
    <x v="14"/>
    <n v="111"/>
    <x v="2"/>
    <n v="54"/>
    <n v="71.3"/>
    <n v="0"/>
    <n v="0"/>
  </r>
  <r>
    <s v="CLI-01415"/>
    <x v="6"/>
    <n v="6"/>
    <x v="0"/>
    <n v="6"/>
    <n v="72.27"/>
    <n v="4"/>
    <n v="0"/>
  </r>
  <r>
    <s v="CLI-01419"/>
    <x v="23"/>
    <n v="81"/>
    <x v="1"/>
    <n v="443"/>
    <n v="32.78"/>
    <n v="1"/>
    <n v="14.751000000000001"/>
  </r>
  <r>
    <s v="CLI-01420"/>
    <x v="1"/>
    <n v="86"/>
    <x v="1"/>
    <n v="192"/>
    <n v="26.26"/>
    <n v="1"/>
    <n v="0"/>
  </r>
  <r>
    <s v="CLI-01424"/>
    <x v="14"/>
    <n v="60"/>
    <x v="2"/>
    <n v="54"/>
    <n v="67.180000000000007"/>
    <n v="3"/>
    <n v="0"/>
  </r>
  <r>
    <s v="CLI-01431"/>
    <x v="19"/>
    <n v="49"/>
    <x v="3"/>
    <n v="357"/>
    <n v="96.67"/>
    <n v="3"/>
    <n v="43.5015"/>
  </r>
  <r>
    <s v="CLI-01432"/>
    <x v="19"/>
    <n v="69"/>
    <x v="0"/>
    <n v="180"/>
    <n v="76.05"/>
    <n v="2"/>
    <n v="0"/>
  </r>
  <r>
    <s v="CLI-01433"/>
    <x v="14"/>
    <n v="87"/>
    <x v="1"/>
    <n v="442"/>
    <n v="22.39"/>
    <n v="3"/>
    <n v="10.0755"/>
  </r>
  <r>
    <s v="CLI-01435"/>
    <x v="19"/>
    <n v="58"/>
    <x v="0"/>
    <n v="293"/>
    <n v="88.85"/>
    <n v="5"/>
    <n v="39.982500000000002"/>
  </r>
  <r>
    <s v="CLI-01436"/>
    <x v="15"/>
    <n v="85"/>
    <x v="1"/>
    <n v="28"/>
    <n v="83.82"/>
    <n v="0"/>
    <n v="0"/>
  </r>
  <r>
    <s v="CLI-01437"/>
    <x v="10"/>
    <n v="117"/>
    <x v="0"/>
    <n v="85"/>
    <n v="46.16"/>
    <n v="3"/>
    <n v="0"/>
  </r>
  <r>
    <s v="CLI-01438"/>
    <x v="13"/>
    <n v="4"/>
    <x v="1"/>
    <n v="372"/>
    <n v="26.73"/>
    <n v="3"/>
    <n v="12.028500000000001"/>
  </r>
  <r>
    <s v="CLI-01442"/>
    <x v="24"/>
    <n v="97"/>
    <x v="0"/>
    <n v="173"/>
    <n v="19.37"/>
    <n v="5"/>
    <n v="0"/>
  </r>
  <r>
    <s v="CLI-01446"/>
    <x v="8"/>
    <n v="33"/>
    <x v="0"/>
    <n v="273"/>
    <n v="49.8"/>
    <n v="0"/>
    <n v="22.41"/>
  </r>
  <r>
    <s v="CLI-01450"/>
    <x v="24"/>
    <n v="41"/>
    <x v="3"/>
    <n v="383"/>
    <n v="27.53"/>
    <n v="4"/>
    <n v="12.388500000000001"/>
  </r>
  <r>
    <s v="CLI-01451"/>
    <x v="22"/>
    <n v="77"/>
    <x v="2"/>
    <n v="45"/>
    <n v="21.59"/>
    <n v="2"/>
    <n v="0"/>
  </r>
  <r>
    <s v="CLI-01453"/>
    <x v="20"/>
    <n v="2"/>
    <x v="0"/>
    <n v="142"/>
    <n v="49.05"/>
    <n v="4"/>
    <n v="0"/>
  </r>
  <r>
    <s v="CLI-01454"/>
    <x v="18"/>
    <n v="13"/>
    <x v="2"/>
    <n v="310"/>
    <n v="65.599999999999994"/>
    <n v="5"/>
    <n v="29.52"/>
  </r>
  <r>
    <s v="CLI-01455"/>
    <x v="21"/>
    <n v="78"/>
    <x v="0"/>
    <n v="57"/>
    <n v="49.47"/>
    <n v="0"/>
    <n v="0"/>
  </r>
  <r>
    <s v="CLI-01461"/>
    <x v="7"/>
    <n v="90"/>
    <x v="2"/>
    <n v="343"/>
    <n v="82.05"/>
    <n v="1"/>
    <n v="36.922499999999999"/>
  </r>
  <r>
    <s v="CLI-01462"/>
    <x v="6"/>
    <n v="96"/>
    <x v="2"/>
    <n v="210"/>
    <n v="28.39"/>
    <n v="3"/>
    <n v="0"/>
  </r>
  <r>
    <s v="CLI-01463"/>
    <x v="13"/>
    <n v="12"/>
    <x v="3"/>
    <n v="138"/>
    <n v="99.83"/>
    <n v="1"/>
    <n v="44.923499999999997"/>
  </r>
  <r>
    <s v="CLI-01466"/>
    <x v="15"/>
    <n v="110"/>
    <x v="3"/>
    <n v="51"/>
    <n v="56.59"/>
    <n v="5"/>
    <n v="0"/>
  </r>
  <r>
    <s v="CLI-01470"/>
    <x v="10"/>
    <n v="111"/>
    <x v="3"/>
    <n v="43"/>
    <n v="19.39"/>
    <n v="3"/>
    <n v="0"/>
  </r>
  <r>
    <s v="CLI-01472"/>
    <x v="15"/>
    <n v="55"/>
    <x v="1"/>
    <n v="389"/>
    <n v="67.430000000000007"/>
    <n v="3"/>
    <n v="30.343500000000002"/>
  </r>
  <r>
    <s v="CLI-01473"/>
    <x v="24"/>
    <n v="13"/>
    <x v="1"/>
    <n v="474"/>
    <n v="63.67"/>
    <n v="2"/>
    <n v="28.651500000000002"/>
  </r>
  <r>
    <s v="CLI-01475"/>
    <x v="7"/>
    <n v="43"/>
    <x v="2"/>
    <n v="26"/>
    <n v="25.85"/>
    <n v="1"/>
    <n v="0"/>
  </r>
  <r>
    <s v="CLI-01479"/>
    <x v="6"/>
    <n v="63"/>
    <x v="3"/>
    <n v="177"/>
    <n v="77.73"/>
    <n v="3"/>
    <n v="0"/>
  </r>
  <r>
    <s v="CLI-01480"/>
    <x v="5"/>
    <n v="7"/>
    <x v="3"/>
    <n v="206"/>
    <n v="78.09"/>
    <n v="3"/>
    <n v="35.140500000000003"/>
  </r>
  <r>
    <s v="CLI-01484"/>
    <x v="21"/>
    <n v="117"/>
    <x v="2"/>
    <n v="171"/>
    <n v="50.89"/>
    <n v="4"/>
    <n v="0"/>
  </r>
  <r>
    <s v="CLI-01485"/>
    <x v="16"/>
    <n v="57"/>
    <x v="0"/>
    <n v="447"/>
    <n v="23.27"/>
    <n v="3"/>
    <n v="10.471500000000001"/>
  </r>
  <r>
    <s v="CLI-01488"/>
    <x v="21"/>
    <n v="102"/>
    <x v="0"/>
    <n v="484"/>
    <n v="64.22"/>
    <n v="2"/>
    <n v="28.899000000000001"/>
  </r>
  <r>
    <s v="CLI-01489"/>
    <x v="9"/>
    <n v="67"/>
    <x v="1"/>
    <n v="26"/>
    <n v="81.489999999999995"/>
    <n v="4"/>
    <n v="0"/>
  </r>
  <r>
    <s v="CLI-01494"/>
    <x v="13"/>
    <n v="71"/>
    <x v="3"/>
    <n v="15"/>
    <n v="25.46"/>
    <n v="5"/>
    <n v="0"/>
  </r>
  <r>
    <s v="CLI-01496"/>
    <x v="18"/>
    <n v="10"/>
    <x v="2"/>
    <n v="260"/>
    <n v="37.479999999999997"/>
    <n v="2"/>
    <n v="16.866"/>
  </r>
  <r>
    <s v="CLI-01499"/>
    <x v="17"/>
    <n v="38"/>
    <x v="0"/>
    <n v="108"/>
    <n v="72.7"/>
    <n v="3"/>
    <n v="0"/>
  </r>
  <r>
    <s v="CLI-01503"/>
    <x v="16"/>
    <n v="59"/>
    <x v="0"/>
    <n v="150"/>
    <n v="71.13"/>
    <n v="0"/>
    <n v="0"/>
  </r>
  <r>
    <s v="CLI-01505"/>
    <x v="24"/>
    <n v="58"/>
    <x v="0"/>
    <n v="423"/>
    <n v="80.459999999999994"/>
    <n v="0"/>
    <n v="36.207000000000001"/>
  </r>
  <r>
    <s v="CLI-01506"/>
    <x v="1"/>
    <n v="36"/>
    <x v="0"/>
    <n v="491"/>
    <n v="12.13"/>
    <n v="4"/>
    <n v="5.4585000000000008"/>
  </r>
  <r>
    <s v="CLI-01507"/>
    <x v="3"/>
    <n v="111"/>
    <x v="3"/>
    <n v="304"/>
    <n v="62.48"/>
    <n v="5"/>
    <n v="28.116"/>
  </r>
  <r>
    <s v="CLI-01508"/>
    <x v="23"/>
    <n v="40"/>
    <x v="3"/>
    <n v="237"/>
    <n v="24.51"/>
    <n v="1"/>
    <n v="11.029500000000001"/>
  </r>
  <r>
    <s v="CLI-01510"/>
    <x v="5"/>
    <n v="36"/>
    <x v="0"/>
    <n v="247"/>
    <n v="24.53"/>
    <n v="2"/>
    <n v="11.038500000000001"/>
  </r>
  <r>
    <s v="CLI-01511"/>
    <x v="24"/>
    <n v="27"/>
    <x v="3"/>
    <n v="61"/>
    <n v="97.51"/>
    <n v="5"/>
    <n v="43.8795"/>
  </r>
  <r>
    <s v="CLI-01515"/>
    <x v="15"/>
    <n v="64"/>
    <x v="1"/>
    <n v="300"/>
    <n v="28.11"/>
    <n v="2"/>
    <n v="12.6495"/>
  </r>
  <r>
    <s v="CLI-01520"/>
    <x v="3"/>
    <n v="102"/>
    <x v="0"/>
    <n v="189"/>
    <n v="26.86"/>
    <n v="5"/>
    <n v="0"/>
  </r>
  <r>
    <s v="CLI-01524"/>
    <x v="11"/>
    <n v="22"/>
    <x v="2"/>
    <n v="119"/>
    <n v="72.86"/>
    <n v="3"/>
    <n v="0"/>
  </r>
  <r>
    <s v="CLI-01529"/>
    <x v="14"/>
    <n v="50"/>
    <x v="1"/>
    <n v="430"/>
    <n v="20.8"/>
    <n v="2"/>
    <n v="9.3600000000000012"/>
  </r>
  <r>
    <s v="CLI-01530"/>
    <x v="24"/>
    <n v="18"/>
    <x v="1"/>
    <n v="75"/>
    <n v="57.66"/>
    <n v="1"/>
    <n v="0"/>
  </r>
  <r>
    <s v="CLI-01532"/>
    <x v="2"/>
    <n v="95"/>
    <x v="3"/>
    <n v="148"/>
    <s v="76,95€"/>
    <n v="5"/>
    <n v="0"/>
  </r>
  <r>
    <s v="CLI-01533"/>
    <x v="18"/>
    <n v="111"/>
    <x v="2"/>
    <n v="324"/>
    <n v="18.07"/>
    <n v="2"/>
    <n v="8.1315000000000008"/>
  </r>
  <r>
    <s v="CLI-01535"/>
    <x v="1"/>
    <n v="120"/>
    <x v="1"/>
    <n v="60"/>
    <n v="34.14"/>
    <n v="3"/>
    <n v="0"/>
  </r>
  <r>
    <s v="CLI-01536"/>
    <x v="2"/>
    <n v="87"/>
    <x v="3"/>
    <n v="356"/>
    <n v="12.89"/>
    <n v="0"/>
    <n v="5.8005000000000004"/>
  </r>
  <r>
    <s v="CLI-01542"/>
    <x v="24"/>
    <n v="29"/>
    <x v="3"/>
    <n v="8"/>
    <n v="14.78"/>
    <n v="2"/>
    <n v="6.6509999999999998"/>
  </r>
  <r>
    <s v="CLI-01543"/>
    <x v="7"/>
    <n v="18"/>
    <x v="2"/>
    <n v="170"/>
    <n v="87.34"/>
    <n v="1"/>
    <n v="0"/>
  </r>
  <r>
    <s v="CLI-01544"/>
    <x v="13"/>
    <n v="34"/>
    <x v="2"/>
    <n v="401"/>
    <n v="68.400000000000006"/>
    <n v="5"/>
    <n v="30.780000000000005"/>
  </r>
  <r>
    <s v="CLI-01549"/>
    <x v="17"/>
    <n v="113"/>
    <x v="2"/>
    <n v="428"/>
    <n v="73.84"/>
    <n v="0"/>
    <n v="33.228000000000002"/>
  </r>
  <r>
    <s v="CLI-01550"/>
    <x v="17"/>
    <n v="48"/>
    <x v="0"/>
    <n v="335"/>
    <n v="85.09"/>
    <n v="3"/>
    <n v="38.290500000000002"/>
  </r>
  <r>
    <s v="CLI-01555"/>
    <x v="3"/>
    <n v="107"/>
    <x v="2"/>
    <n v="138"/>
    <n v="85.75"/>
    <n v="1"/>
    <n v="0"/>
  </r>
  <r>
    <s v="CLI-01560"/>
    <x v="8"/>
    <n v="47"/>
    <x v="0"/>
    <n v="111"/>
    <n v="95.18"/>
    <n v="0"/>
    <n v="0"/>
  </r>
  <r>
    <s v="CLI-01561"/>
    <x v="8"/>
    <n v="10"/>
    <x v="0"/>
    <n v="165"/>
    <n v="38.619999999999997"/>
    <n v="2"/>
    <n v="0"/>
  </r>
  <r>
    <s v="CLI-01563"/>
    <x v="4"/>
    <n v="9"/>
    <x v="1"/>
    <n v="255"/>
    <n v="95.13"/>
    <n v="1"/>
    <n v="42.808500000000002"/>
  </r>
  <r>
    <s v="CLI-01565"/>
    <x v="20"/>
    <n v="24"/>
    <x v="0"/>
    <n v="257"/>
    <n v="41.99"/>
    <n v="5"/>
    <n v="18.895500000000002"/>
  </r>
  <r>
    <s v="CLI-01566"/>
    <x v="4"/>
    <n v="72"/>
    <x v="0"/>
    <n v="427"/>
    <n v="31.44"/>
    <n v="2"/>
    <n v="14.148000000000001"/>
  </r>
  <r>
    <s v="CLI-01568"/>
    <x v="1"/>
    <n v="33"/>
    <x v="2"/>
    <n v="18"/>
    <n v="47.18"/>
    <n v="4"/>
    <n v="0"/>
  </r>
  <r>
    <s v="CLI-01571"/>
    <x v="2"/>
    <n v="64"/>
    <x v="1"/>
    <n v="370"/>
    <n v="95.74"/>
    <n v="1"/>
    <n v="43.082999999999998"/>
  </r>
  <r>
    <s v="CLI-01573"/>
    <x v="19"/>
    <n v="60"/>
    <x v="2"/>
    <n v="154"/>
    <n v="13.41"/>
    <n v="5"/>
    <n v="0"/>
  </r>
  <r>
    <s v="CLI-01578"/>
    <x v="23"/>
    <n v="51"/>
    <x v="1"/>
    <n v="389"/>
    <n v="50.45"/>
    <n v="3"/>
    <n v="22.702500000000001"/>
  </r>
  <r>
    <s v="CLI-01584"/>
    <x v="3"/>
    <n v="70"/>
    <x v="0"/>
    <n v="31"/>
    <n v="71.2"/>
    <n v="4"/>
    <n v="0"/>
  </r>
  <r>
    <s v="CLI-01588"/>
    <x v="24"/>
    <n v="103"/>
    <x v="0"/>
    <n v="300"/>
    <n v="13.76"/>
    <n v="4"/>
    <n v="6.1920000000000002"/>
  </r>
  <r>
    <s v="CLI-01589"/>
    <x v="11"/>
    <n v="14"/>
    <x v="0"/>
    <n v="37"/>
    <n v="20.399999999999999"/>
    <n v="2"/>
    <n v="0"/>
  </r>
  <r>
    <s v="CLI-01591"/>
    <x v="7"/>
    <n v="7"/>
    <x v="1"/>
    <n v="447"/>
    <n v="84.95"/>
    <n v="2"/>
    <n v="38.227499999999999"/>
  </r>
  <r>
    <s v="CLI-01595"/>
    <x v="14"/>
    <n v="101"/>
    <x v="1"/>
    <n v="148"/>
    <n v="26.63"/>
    <n v="3"/>
    <n v="0"/>
  </r>
  <r>
    <s v="CLI-01597"/>
    <x v="14"/>
    <n v="84"/>
    <x v="3"/>
    <n v="387"/>
    <n v="58.1"/>
    <n v="3"/>
    <n v="26.145"/>
  </r>
  <r>
    <s v="CLI-01598"/>
    <x v="4"/>
    <n v="46"/>
    <x v="1"/>
    <n v="216"/>
    <n v="63.74"/>
    <n v="4"/>
    <n v="0"/>
  </r>
  <r>
    <s v="CLI-01600"/>
    <x v="15"/>
    <n v="72"/>
    <x v="1"/>
    <n v="317"/>
    <n v="54.58"/>
    <n v="1"/>
    <n v="24.561"/>
  </r>
  <r>
    <s v="CLI-01602"/>
    <x v="4"/>
    <n v="69"/>
    <x v="3"/>
    <n v="486"/>
    <n v="34.770000000000003"/>
    <n v="0"/>
    <n v="15.646500000000001"/>
  </r>
  <r>
    <s v="CLI-01603"/>
    <x v="14"/>
    <n v="57"/>
    <x v="2"/>
    <n v="329"/>
    <n v="50.39"/>
    <n v="5"/>
    <n v="22.6755"/>
  </r>
  <r>
    <s v="CLI-01604"/>
    <x v="8"/>
    <n v="108"/>
    <x v="3"/>
    <n v="78"/>
    <n v="90.05"/>
    <n v="2"/>
    <n v="0"/>
  </r>
  <r>
    <s v="CLI-01606"/>
    <x v="0"/>
    <n v="92"/>
    <x v="0"/>
    <n v="4"/>
    <n v="22.03"/>
    <n v="3"/>
    <n v="0"/>
  </r>
  <r>
    <s v="CLI-01607"/>
    <x v="0"/>
    <n v="83"/>
    <x v="1"/>
    <n v="219"/>
    <n v="52.26"/>
    <n v="1"/>
    <n v="0"/>
  </r>
  <r>
    <s v="CLI-01616"/>
    <x v="6"/>
    <n v="114"/>
    <x v="0"/>
    <n v="304"/>
    <n v="52.07"/>
    <n v="1"/>
    <n v="23.4315"/>
  </r>
  <r>
    <s v="CLI-01617"/>
    <x v="25"/>
    <n v="75"/>
    <x v="1"/>
    <n v="242"/>
    <n v="64.27"/>
    <n v="2"/>
    <n v="28.921499999999998"/>
  </r>
  <r>
    <s v="CLI-01618"/>
    <x v="0"/>
    <n v="115"/>
    <x v="0"/>
    <n v="176"/>
    <n v="33.28"/>
    <n v="4"/>
    <n v="0"/>
  </r>
  <r>
    <s v="CLI-01619"/>
    <x v="9"/>
    <n v="12"/>
    <x v="2"/>
    <n v="235"/>
    <n v="33.96"/>
    <n v="4"/>
    <n v="0"/>
  </r>
  <r>
    <s v="CLI-01621"/>
    <x v="9"/>
    <n v="44"/>
    <x v="0"/>
    <n v="199"/>
    <n v="67.650000000000006"/>
    <n v="0"/>
    <n v="0"/>
  </r>
  <r>
    <s v="CLI-01622"/>
    <x v="7"/>
    <n v="48"/>
    <x v="3"/>
    <n v="338"/>
    <n v="74.42"/>
    <n v="0"/>
    <n v="33.489000000000004"/>
  </r>
  <r>
    <s v="CLI-01623"/>
    <x v="2"/>
    <n v="51"/>
    <x v="3"/>
    <n v="222"/>
    <n v="18.95"/>
    <n v="4"/>
    <n v="8.5274999999999999"/>
  </r>
  <r>
    <s v="CLI-01624"/>
    <x v="1"/>
    <n v="57"/>
    <x v="2"/>
    <n v="435"/>
    <n v="56.88"/>
    <n v="4"/>
    <n v="25.596"/>
  </r>
  <r>
    <s v="CLI-01626"/>
    <x v="9"/>
    <n v="37"/>
    <x v="0"/>
    <n v="87"/>
    <n v="26.4"/>
    <n v="3"/>
    <n v="0"/>
  </r>
  <r>
    <s v="CLI-01629"/>
    <x v="5"/>
    <n v="22"/>
    <x v="1"/>
    <n v="374"/>
    <n v="40.06"/>
    <n v="5"/>
    <n v="18.027000000000001"/>
  </r>
  <r>
    <s v="CLI-01630"/>
    <x v="19"/>
    <n v="21"/>
    <x v="2"/>
    <n v="460"/>
    <n v="70.81"/>
    <n v="2"/>
    <n v="31.864500000000003"/>
  </r>
  <r>
    <s v="CLI-01637"/>
    <x v="4"/>
    <n v="67"/>
    <x v="1"/>
    <n v="55"/>
    <n v="27.04"/>
    <n v="1"/>
    <n v="0"/>
  </r>
  <r>
    <s v="CLI-01638"/>
    <x v="10"/>
    <n v="23"/>
    <x v="1"/>
    <n v="473"/>
    <n v="71.86"/>
    <n v="3"/>
    <n v="32.337000000000003"/>
  </r>
  <r>
    <s v="CLI-01646"/>
    <x v="4"/>
    <n v="20"/>
    <x v="2"/>
    <n v="4"/>
    <n v="84.9"/>
    <n v="3"/>
    <n v="0"/>
  </r>
  <r>
    <s v="CLI-01651"/>
    <x v="1"/>
    <n v="12"/>
    <x v="3"/>
    <n v="208"/>
    <n v="16.29"/>
    <n v="4"/>
    <n v="7.3304999999999998"/>
  </r>
  <r>
    <s v="CLI-01653"/>
    <x v="24"/>
    <n v="6"/>
    <x v="3"/>
    <n v="162"/>
    <n v="99.93"/>
    <n v="0"/>
    <n v="44.968500000000006"/>
  </r>
  <r>
    <s v="CLI-01654"/>
    <x v="25"/>
    <n v="25"/>
    <x v="0"/>
    <n v="5"/>
    <n v="27.93"/>
    <n v="0"/>
    <n v="0"/>
  </r>
  <r>
    <s v="CLI-01658"/>
    <x v="18"/>
    <n v="39"/>
    <x v="1"/>
    <n v="54"/>
    <n v="88.84"/>
    <n v="0"/>
    <n v="0"/>
  </r>
  <r>
    <s v="CLI-01662"/>
    <x v="5"/>
    <n v="120"/>
    <x v="3"/>
    <n v="391"/>
    <n v="67.77"/>
    <n v="4"/>
    <n v="30.496499999999997"/>
  </r>
  <r>
    <s v="CLI-01664"/>
    <x v="22"/>
    <n v="51"/>
    <x v="0"/>
    <n v="260"/>
    <n v="92.8"/>
    <n v="5"/>
    <n v="41.76"/>
  </r>
  <r>
    <s v="CLI-01666"/>
    <x v="20"/>
    <n v="11"/>
    <x v="3"/>
    <n v="191"/>
    <n v="87.37"/>
    <n v="3"/>
    <n v="39.316500000000005"/>
  </r>
  <r>
    <s v="CLI-01668"/>
    <x v="15"/>
    <n v="47"/>
    <x v="3"/>
    <n v="457"/>
    <n v="84.93"/>
    <n v="2"/>
    <n v="38.218500000000006"/>
  </r>
  <r>
    <s v="CLI-01669"/>
    <x v="3"/>
    <n v="98"/>
    <x v="2"/>
    <n v="110"/>
    <n v="96.23"/>
    <n v="2"/>
    <n v="0"/>
  </r>
  <r>
    <s v="CLI-01680"/>
    <x v="22"/>
    <n v="28"/>
    <x v="3"/>
    <n v="96"/>
    <n v="72.010000000000005"/>
    <n v="4"/>
    <n v="32.404500000000006"/>
  </r>
  <r>
    <s v="CLI-01682"/>
    <x v="0"/>
    <n v="77"/>
    <x v="2"/>
    <n v="375"/>
    <n v="24.03"/>
    <n v="1"/>
    <n v="10.813500000000001"/>
  </r>
  <r>
    <s v="CLI-01683"/>
    <x v="9"/>
    <n v="56"/>
    <x v="0"/>
    <n v="333"/>
    <n v="23.01"/>
    <n v="2"/>
    <n v="10.354500000000002"/>
  </r>
  <r>
    <s v="CLI-01685"/>
    <x v="1"/>
    <n v="66"/>
    <x v="2"/>
    <n v="387"/>
    <n v="82.94"/>
    <n v="3"/>
    <n v="37.323"/>
  </r>
  <r>
    <s v="CLI-01686"/>
    <x v="24"/>
    <n v="75"/>
    <x v="0"/>
    <n v="282"/>
    <n v="45.16"/>
    <n v="5"/>
    <n v="20.321999999999999"/>
  </r>
  <r>
    <s v="CLI-01687"/>
    <x v="0"/>
    <n v="39"/>
    <x v="3"/>
    <n v="1"/>
    <n v="66.94"/>
    <n v="5"/>
    <n v="30.123000000000001"/>
  </r>
  <r>
    <s v="CLI-01688"/>
    <x v="2"/>
    <n v="102"/>
    <x v="0"/>
    <n v="91"/>
    <n v="34.64"/>
    <n v="2"/>
    <n v="0"/>
  </r>
  <r>
    <s v="CLI-01689"/>
    <x v="15"/>
    <n v="55"/>
    <x v="3"/>
    <n v="394"/>
    <n v="26.8"/>
    <n v="4"/>
    <n v="12.06"/>
  </r>
  <r>
    <s v="CLI-01694"/>
    <x v="12"/>
    <n v="78"/>
    <x v="2"/>
    <n v="198"/>
    <n v="69.849999999999994"/>
    <n v="0"/>
    <n v="0"/>
  </r>
  <r>
    <s v="CLI-01695"/>
    <x v="20"/>
    <n v="5"/>
    <x v="3"/>
    <n v="384"/>
    <n v="97.26"/>
    <n v="3"/>
    <n v="43.767000000000003"/>
  </r>
  <r>
    <s v="CLI-01697"/>
    <x v="5"/>
    <n v="87"/>
    <x v="1"/>
    <n v="486"/>
    <n v="58.26"/>
    <n v="0"/>
    <n v="26.216999999999999"/>
  </r>
  <r>
    <s v="CLI-01698"/>
    <x v="24"/>
    <n v="42"/>
    <x v="2"/>
    <n v="385"/>
    <n v="96.52"/>
    <n v="1"/>
    <n v="43.433999999999997"/>
  </r>
  <r>
    <s v="CLI-01701"/>
    <x v="10"/>
    <n v="103"/>
    <x v="3"/>
    <n v="386"/>
    <n v="10.58"/>
    <n v="0"/>
    <n v="4.7610000000000001"/>
  </r>
  <r>
    <s v="CLI-01702"/>
    <x v="0"/>
    <n v="63"/>
    <x v="0"/>
    <n v="392"/>
    <n v="93.11"/>
    <n v="3"/>
    <n v="41.899500000000003"/>
  </r>
  <r>
    <s v="CLI-01704"/>
    <x v="4"/>
    <n v="52"/>
    <x v="0"/>
    <n v="307"/>
    <n v="81.38"/>
    <n v="2"/>
    <n v="36.621000000000002"/>
  </r>
  <r>
    <s v="CLI-01705"/>
    <x v="13"/>
    <n v="57"/>
    <x v="0"/>
    <n v="208"/>
    <n v="85.66"/>
    <n v="5"/>
    <n v="0"/>
  </r>
  <r>
    <s v="CLI-01706"/>
    <x v="0"/>
    <n v="55"/>
    <x v="3"/>
    <n v="86"/>
    <n v="17.440000000000001"/>
    <n v="2"/>
    <n v="7.8480000000000008"/>
  </r>
  <r>
    <s v="CLI-01709"/>
    <x v="16"/>
    <n v="58"/>
    <x v="3"/>
    <n v="485"/>
    <n v="64.290000000000006"/>
    <n v="4"/>
    <n v="28.930500000000002"/>
  </r>
  <r>
    <s v="CLI-01710"/>
    <x v="5"/>
    <n v="-53"/>
    <x v="0"/>
    <n v="414"/>
    <n v="64.39"/>
    <n v="1"/>
    <n v="28.9755"/>
  </r>
  <r>
    <s v="CLI-01714"/>
    <x v="1"/>
    <n v="9"/>
    <x v="0"/>
    <n v="27"/>
    <n v="99.02"/>
    <n v="3"/>
    <n v="0"/>
  </r>
  <r>
    <s v="CLI-01719"/>
    <x v="8"/>
    <n v="84"/>
    <x v="0"/>
    <n v="364"/>
    <n v="87.79"/>
    <n v="3"/>
    <n v="39.505500000000005"/>
  </r>
  <r>
    <s v="CLI-01720"/>
    <x v="16"/>
    <n v="27"/>
    <x v="0"/>
    <n v="275"/>
    <n v="80.069999999999993"/>
    <n v="1"/>
    <n v="36.031500000000001"/>
  </r>
  <r>
    <s v="CLI-01721"/>
    <x v="15"/>
    <n v="56"/>
    <x v="0"/>
    <n v="114"/>
    <n v="64.39"/>
    <n v="1"/>
    <n v="0"/>
  </r>
  <r>
    <s v="CLI-01722"/>
    <x v="21"/>
    <n v="51"/>
    <x v="2"/>
    <n v="152"/>
    <n v="34.630000000000003"/>
    <n v="2"/>
    <n v="0"/>
  </r>
  <r>
    <s v="CLI-01723"/>
    <x v="2"/>
    <n v="26"/>
    <x v="0"/>
    <n v="174"/>
    <n v="90.53"/>
    <n v="3"/>
    <n v="0"/>
  </r>
  <r>
    <s v="CLI-01724"/>
    <x v="18"/>
    <n v="60"/>
    <x v="0"/>
    <n v="168"/>
    <n v="67.650000000000006"/>
    <n v="1"/>
    <n v="0"/>
  </r>
  <r>
    <s v="CLI-01726"/>
    <x v="1"/>
    <n v="47"/>
    <x v="0"/>
    <n v="199"/>
    <n v="23.19"/>
    <n v="2"/>
    <n v="0"/>
  </r>
  <r>
    <s v="CLI-01728"/>
    <x v="9"/>
    <n v="7"/>
    <x v="0"/>
    <n v="257"/>
    <n v="73.040000000000006"/>
    <n v="3"/>
    <n v="32.868000000000002"/>
  </r>
  <r>
    <s v="CLI-01729"/>
    <x v="8"/>
    <n v="59"/>
    <x v="1"/>
    <n v="369"/>
    <n v="26.64"/>
    <n v="4"/>
    <n v="11.988000000000001"/>
  </r>
  <r>
    <s v="CLI-01731"/>
    <x v="3"/>
    <n v="104"/>
    <x v="0"/>
    <n v="243"/>
    <n v="65.819999999999993"/>
    <n v="0"/>
    <n v="29.618999999999996"/>
  </r>
  <r>
    <s v="CLI-01732"/>
    <x v="5"/>
    <n v="48"/>
    <x v="2"/>
    <n v="15"/>
    <n v="50.67"/>
    <n v="1"/>
    <n v="0"/>
  </r>
  <r>
    <s v="CLI-01735"/>
    <x v="5"/>
    <n v="71"/>
    <x v="0"/>
    <n v="364"/>
    <n v="39.58"/>
    <n v="1"/>
    <n v="17.811"/>
  </r>
  <r>
    <s v="CLI-01736"/>
    <x v="1"/>
    <n v="88"/>
    <x v="2"/>
    <n v="154"/>
    <n v="62.62"/>
    <n v="5"/>
    <n v="0"/>
  </r>
  <r>
    <s v="CLI-01739"/>
    <x v="3"/>
    <n v="119"/>
    <x v="2"/>
    <n v="231"/>
    <n v="20.22"/>
    <n v="2"/>
    <n v="0"/>
  </r>
  <r>
    <s v="CLI-01740"/>
    <x v="5"/>
    <n v="81"/>
    <x v="1"/>
    <n v="298"/>
    <n v="53.61"/>
    <n v="2"/>
    <n v="24.124500000000001"/>
  </r>
  <r>
    <s v="CLI-01741"/>
    <x v="8"/>
    <n v="45"/>
    <x v="3"/>
    <n v="244"/>
    <n v="55.17"/>
    <n v="2"/>
    <n v="24.826500000000003"/>
  </r>
  <r>
    <s v="CLI-01746"/>
    <x v="15"/>
    <n v="86"/>
    <x v="3"/>
    <n v="471"/>
    <n v="33.380000000000003"/>
    <n v="4"/>
    <n v="15.021000000000001"/>
  </r>
  <r>
    <s v="CLI-01749"/>
    <x v="4"/>
    <n v="33"/>
    <x v="3"/>
    <n v="444"/>
    <n v="10.28"/>
    <n v="5"/>
    <n v="4.6259999999999994"/>
  </r>
  <r>
    <s v="CLI-01757"/>
    <x v="15"/>
    <n v="104"/>
    <x v="1"/>
    <n v="317"/>
    <n v="79.150000000000006"/>
    <n v="1"/>
    <n v="35.617500000000007"/>
  </r>
  <r>
    <s v="CLI-01759"/>
    <x v="12"/>
    <n v="90"/>
    <x v="1"/>
    <n v="195"/>
    <n v="52.71"/>
    <n v="2"/>
    <n v="0"/>
  </r>
  <r>
    <s v="CLI-01761"/>
    <x v="24"/>
    <n v="108"/>
    <x v="2"/>
    <n v="278"/>
    <n v="40.51"/>
    <n v="3"/>
    <n v="18.229499999999998"/>
  </r>
  <r>
    <s v="CLI-01765"/>
    <x v="20"/>
    <n v="57"/>
    <x v="2"/>
    <n v="375"/>
    <n v="64.73"/>
    <n v="1"/>
    <n v="29.128500000000003"/>
  </r>
  <r>
    <s v="CLI-01766"/>
    <x v="11"/>
    <n v="101"/>
    <x v="1"/>
    <n v="210"/>
    <n v="35.4"/>
    <n v="1"/>
    <n v="0"/>
  </r>
  <r>
    <s v="CLI-01768"/>
    <x v="4"/>
    <n v="72"/>
    <x v="1"/>
    <n v="333"/>
    <n v="34.57"/>
    <n v="2"/>
    <n v="15.5565"/>
  </r>
  <r>
    <s v="CLI-01773"/>
    <x v="9"/>
    <n v="91"/>
    <x v="2"/>
    <n v="404"/>
    <n v="76.53"/>
    <n v="5"/>
    <n v="34.438500000000005"/>
  </r>
  <r>
    <s v="CLI-01775"/>
    <x v="15"/>
    <n v="118"/>
    <x v="0"/>
    <n v="300"/>
    <n v="98.22"/>
    <n v="4"/>
    <n v="44.198999999999998"/>
  </r>
  <r>
    <s v="CLI-01776"/>
    <x v="11"/>
    <n v="79"/>
    <x v="0"/>
    <n v="357"/>
    <n v="69.900000000000006"/>
    <n v="5"/>
    <n v="31.455000000000002"/>
  </r>
  <r>
    <s v="CLI-01780"/>
    <x v="8"/>
    <n v="112"/>
    <x v="2"/>
    <n v="281"/>
    <n v="80.72"/>
    <n v="2"/>
    <n v="36.323999999999998"/>
  </r>
  <r>
    <s v="CLI-01782"/>
    <x v="7"/>
    <n v="93"/>
    <x v="1"/>
    <n v="153"/>
    <n v="86.19"/>
    <n v="0"/>
    <n v="0"/>
  </r>
  <r>
    <s v="CLI-01783"/>
    <x v="14"/>
    <n v="48"/>
    <x v="0"/>
    <n v="482"/>
    <n v="83.24"/>
    <n v="0"/>
    <n v="37.457999999999998"/>
  </r>
  <r>
    <s v="CLI-01788"/>
    <x v="18"/>
    <n v="22"/>
    <x v="1"/>
    <n v="127"/>
    <n v="49.06"/>
    <n v="2"/>
    <n v="0"/>
  </r>
  <r>
    <s v="CLI-01793"/>
    <x v="16"/>
    <n v="87"/>
    <x v="1"/>
    <n v="205"/>
    <n v="40.159999999999997"/>
    <n v="5"/>
    <n v="0"/>
  </r>
  <r>
    <s v="CLI-01794"/>
    <x v="9"/>
    <n v="100"/>
    <x v="0"/>
    <n v="471"/>
    <n v="61.2"/>
    <n v="3"/>
    <n v="27.540000000000003"/>
  </r>
  <r>
    <s v="CLI-01796"/>
    <x v="20"/>
    <n v="51"/>
    <x v="2"/>
    <n v="433"/>
    <n v="12.89"/>
    <n v="1"/>
    <n v="5.8005000000000004"/>
  </r>
  <r>
    <s v="CLI-01797"/>
    <x v="16"/>
    <n v="15"/>
    <x v="0"/>
    <n v="30"/>
    <n v="30.5"/>
    <n v="1"/>
    <n v="0"/>
  </r>
  <r>
    <s v="CLI-01802"/>
    <x v="0"/>
    <n v="55"/>
    <x v="0"/>
    <n v="407"/>
    <n v="23.11"/>
    <n v="0"/>
    <n v="10.3995"/>
  </r>
  <r>
    <s v="CLI-01804"/>
    <x v="7"/>
    <n v="99"/>
    <x v="1"/>
    <n v="42"/>
    <n v="98.77"/>
    <n v="3"/>
    <n v="0"/>
  </r>
  <r>
    <s v="CLI-01812"/>
    <x v="17"/>
    <n v="50"/>
    <x v="0"/>
    <n v="258"/>
    <n v="25.06"/>
    <n v="4"/>
    <n v="11.276999999999999"/>
  </r>
  <r>
    <s v="CLI-01814"/>
    <x v="19"/>
    <n v="22"/>
    <x v="2"/>
    <n v="451"/>
    <n v="76.38"/>
    <n v="3"/>
    <n v="34.371000000000002"/>
  </r>
  <r>
    <s v="CLI-01816"/>
    <x v="18"/>
    <n v="83"/>
    <x v="1"/>
    <n v="91"/>
    <n v="73.73"/>
    <n v="2"/>
    <n v="0"/>
  </r>
  <r>
    <s v="CLI-01818"/>
    <x v="12"/>
    <n v="35"/>
    <x v="2"/>
    <n v="421"/>
    <n v="29.57"/>
    <n v="5"/>
    <n v="13.3065"/>
  </r>
  <r>
    <s v="CLI-01820"/>
    <x v="18"/>
    <n v="99"/>
    <x v="2"/>
    <n v="137"/>
    <n v="23.05"/>
    <n v="4"/>
    <n v="0"/>
  </r>
  <r>
    <s v="CLI-01821"/>
    <x v="0"/>
    <n v="115"/>
    <x v="1"/>
    <n v="262"/>
    <n v="66.34"/>
    <n v="3"/>
    <n v="29.853000000000002"/>
  </r>
  <r>
    <s v="CLI-01822"/>
    <x v="10"/>
    <n v="112"/>
    <x v="2"/>
    <n v="483"/>
    <n v="93.98"/>
    <n v="0"/>
    <n v="42.291000000000004"/>
  </r>
  <r>
    <s v="CLI-01823"/>
    <x v="4"/>
    <n v="7"/>
    <x v="0"/>
    <n v="233"/>
    <n v="10.94"/>
    <n v="0"/>
    <n v="0"/>
  </r>
  <r>
    <s v="CLI-01824"/>
    <x v="18"/>
    <n v="42"/>
    <x v="1"/>
    <n v="389"/>
    <n v="80.08"/>
    <n v="1"/>
    <n v="36.036000000000001"/>
  </r>
  <r>
    <s v="CLI-01830"/>
    <x v="14"/>
    <n v="104"/>
    <x v="0"/>
    <n v="245"/>
    <n v="38.270000000000003"/>
    <n v="0"/>
    <n v="17.221500000000002"/>
  </r>
  <r>
    <s v="CLI-01832"/>
    <x v="22"/>
    <n v="23"/>
    <x v="1"/>
    <n v="120"/>
    <n v="73.12"/>
    <n v="1"/>
    <n v="0"/>
  </r>
  <r>
    <s v="CLI-01835"/>
    <x v="2"/>
    <n v="76"/>
    <x v="0"/>
    <n v="192"/>
    <n v="68.53"/>
    <n v="0"/>
    <n v="0"/>
  </r>
  <r>
    <s v="CLI-01836"/>
    <x v="16"/>
    <n v="35"/>
    <x v="1"/>
    <n v="496"/>
    <n v="19.78"/>
    <n v="5"/>
    <n v="8.9010000000000016"/>
  </r>
  <r>
    <s v="CLI-01837"/>
    <x v="21"/>
    <n v="97"/>
    <x v="1"/>
    <n v="319"/>
    <n v="31.25"/>
    <n v="1"/>
    <n v="14.0625"/>
  </r>
  <r>
    <s v="CLI-01839"/>
    <x v="4"/>
    <n v="114"/>
    <x v="3"/>
    <n v="482"/>
    <n v="16.25"/>
    <n v="3"/>
    <n v="7.3125"/>
  </r>
  <r>
    <s v="CLI-01843"/>
    <x v="14"/>
    <n v="89"/>
    <x v="0"/>
    <n v="474"/>
    <n v="28.51"/>
    <n v="5"/>
    <n v="12.829500000000001"/>
  </r>
  <r>
    <s v="CLI-01844"/>
    <x v="14"/>
    <n v="41"/>
    <x v="1"/>
    <n v="206"/>
    <n v="83.16"/>
    <n v="2"/>
    <n v="0"/>
  </r>
  <r>
    <s v="CLI-01845"/>
    <x v="11"/>
    <n v="110"/>
    <x v="2"/>
    <n v="454"/>
    <n v="31.05"/>
    <n v="1"/>
    <n v="13.9725"/>
  </r>
  <r>
    <s v="CLI-01846"/>
    <x v="8"/>
    <n v="85"/>
    <x v="1"/>
    <n v="75"/>
    <n v="98.01"/>
    <n v="1"/>
    <n v="0"/>
  </r>
  <r>
    <s v="CLI-01847"/>
    <x v="12"/>
    <n v="79"/>
    <x v="0"/>
    <n v="462"/>
    <n v="18.28"/>
    <n v="0"/>
    <n v="8.2260000000000009"/>
  </r>
  <r>
    <s v="CLI-01848"/>
    <x v="24"/>
    <n v="46"/>
    <x v="3"/>
    <n v="43"/>
    <n v="98.44"/>
    <n v="2"/>
    <n v="44.298000000000002"/>
  </r>
  <r>
    <s v="CLI-01850"/>
    <x v="10"/>
    <n v="1"/>
    <x v="1"/>
    <n v="326"/>
    <n v="54.63"/>
    <n v="3"/>
    <n v="24.583500000000001"/>
  </r>
  <r>
    <s v="CLI-01851"/>
    <x v="12"/>
    <n v="26"/>
    <x v="3"/>
    <n v="378"/>
    <n v="45.21"/>
    <n v="5"/>
    <n v="20.3445"/>
  </r>
  <r>
    <s v="CLI-01852"/>
    <x v="6"/>
    <n v="73"/>
    <x v="1"/>
    <n v="268"/>
    <n v="56.86"/>
    <n v="5"/>
    <n v="25.587"/>
  </r>
  <r>
    <s v="CLI-01854"/>
    <x v="20"/>
    <n v="16"/>
    <x v="0"/>
    <n v="13"/>
    <n v="14.91"/>
    <n v="1"/>
    <n v="0"/>
  </r>
  <r>
    <s v="CLI-01855"/>
    <x v="11"/>
    <n v="101"/>
    <x v="2"/>
    <n v="358"/>
    <n v="29.24"/>
    <n v="3"/>
    <n v="13.157999999999999"/>
  </r>
  <r>
    <s v="CLI-01858"/>
    <x v="6"/>
    <n v="103"/>
    <x v="2"/>
    <n v="291"/>
    <n v="60.34"/>
    <n v="5"/>
    <n v="27.153000000000002"/>
  </r>
  <r>
    <s v="CLI-01860"/>
    <x v="8"/>
    <n v="92"/>
    <x v="3"/>
    <n v="116"/>
    <n v="23.83"/>
    <n v="3"/>
    <n v="0"/>
  </r>
  <r>
    <s v="CLI-01861"/>
    <x v="23"/>
    <n v="116"/>
    <x v="2"/>
    <n v="231"/>
    <n v="19.12"/>
    <n v="5"/>
    <n v="0"/>
  </r>
  <r>
    <s v="CLI-01868"/>
    <x v="22"/>
    <n v="89"/>
    <x v="1"/>
    <n v="381"/>
    <n v="68.17"/>
    <n v="0"/>
    <n v="30.676500000000001"/>
  </r>
  <r>
    <s v="CLI-01871"/>
    <x v="24"/>
    <n v="65"/>
    <x v="3"/>
    <n v="15"/>
    <n v="44.47"/>
    <n v="0"/>
    <n v="0"/>
  </r>
  <r>
    <s v="CLI-01873"/>
    <x v="1"/>
    <n v="61"/>
    <x v="1"/>
    <n v="362"/>
    <n v="75.03"/>
    <n v="0"/>
    <n v="33.763500000000001"/>
  </r>
  <r>
    <s v="CLI-01876"/>
    <x v="23"/>
    <n v="17"/>
    <x v="1"/>
    <n v="206"/>
    <n v="63.46"/>
    <n v="3"/>
    <n v="0"/>
  </r>
  <r>
    <s v="CLI-01877"/>
    <x v="21"/>
    <n v="19"/>
    <x v="0"/>
    <n v="125"/>
    <n v="11.78"/>
    <n v="4"/>
    <n v="0"/>
  </r>
  <r>
    <s v="CLI-01880"/>
    <x v="13"/>
    <n v="13"/>
    <x v="0"/>
    <n v="180"/>
    <n v="24.01"/>
    <n v="0"/>
    <n v="0"/>
  </r>
  <r>
    <s v="CLI-01885"/>
    <x v="19"/>
    <n v="90"/>
    <x v="1"/>
    <n v="299"/>
    <n v="71.760000000000005"/>
    <n v="1"/>
    <n v="32.292000000000002"/>
  </r>
  <r>
    <s v="CLI-01888"/>
    <x v="17"/>
    <n v="41"/>
    <x v="3"/>
    <n v="64"/>
    <n v="91.95"/>
    <n v="1"/>
    <n v="41.377500000000005"/>
  </r>
  <r>
    <s v="CLI-01890"/>
    <x v="23"/>
    <n v="74"/>
    <x v="2"/>
    <n v="359"/>
    <n v="92.63"/>
    <n v="0"/>
    <n v="41.683500000000002"/>
  </r>
  <r>
    <s v="CLI-01891"/>
    <x v="16"/>
    <n v="62"/>
    <x v="3"/>
    <n v="116"/>
    <n v="92.99"/>
    <n v="5"/>
    <n v="0"/>
  </r>
  <r>
    <s v="CLI-01893"/>
    <x v="23"/>
    <n v="118"/>
    <x v="1"/>
    <n v="80"/>
    <n v="97.58"/>
    <n v="3"/>
    <n v="0"/>
  </r>
  <r>
    <s v="CLI-01906"/>
    <x v="21"/>
    <n v="99"/>
    <x v="0"/>
    <n v="28"/>
    <n v="70.19"/>
    <n v="1"/>
    <n v="0"/>
  </r>
  <r>
    <s v="CLI-01908"/>
    <x v="24"/>
    <n v="80"/>
    <x v="3"/>
    <n v="121"/>
    <n v="83.14"/>
    <n v="5"/>
    <n v="0"/>
  </r>
  <r>
    <s v="CLI-01911"/>
    <x v="20"/>
    <n v="58"/>
    <x v="2"/>
    <n v="61"/>
    <n v="58.64"/>
    <n v="3"/>
    <n v="0"/>
  </r>
  <r>
    <s v="CLI-01916"/>
    <x v="3"/>
    <n v="4"/>
    <x v="0"/>
    <n v="453"/>
    <n v="75.260000000000005"/>
    <n v="5"/>
    <n v="33.867000000000004"/>
  </r>
  <r>
    <s v="CLI-01917"/>
    <x v="4"/>
    <n v="41"/>
    <x v="0"/>
    <n v="398"/>
    <n v="28.56"/>
    <n v="2"/>
    <n v="12.852"/>
  </r>
  <r>
    <s v="CLI-01920"/>
    <x v="15"/>
    <n v="49"/>
    <x v="1"/>
    <n v="229"/>
    <n v="53.94"/>
    <n v="5"/>
    <n v="0"/>
  </r>
  <r>
    <s v="CLI-01923"/>
    <x v="21"/>
    <n v="29"/>
    <x v="2"/>
    <n v="416"/>
    <n v="61.26"/>
    <n v="0"/>
    <n v="27.567"/>
  </r>
  <r>
    <s v="CLI-01926"/>
    <x v="16"/>
    <n v="9"/>
    <x v="2"/>
    <n v="227"/>
    <n v="63.74"/>
    <n v="3"/>
    <n v="0"/>
  </r>
  <r>
    <s v="CLI-01927"/>
    <x v="6"/>
    <n v="97"/>
    <x v="1"/>
    <n v="276"/>
    <n v="88.35"/>
    <n v="0"/>
    <n v="39.7575"/>
  </r>
  <r>
    <s v="CLI-01929"/>
    <x v="23"/>
    <n v="32"/>
    <x v="2"/>
    <n v="31"/>
    <n v="67.040000000000006"/>
    <n v="1"/>
    <n v="0"/>
  </r>
  <r>
    <s v="CLI-01931"/>
    <x v="16"/>
    <n v="87"/>
    <x v="2"/>
    <n v="498"/>
    <n v="61.57"/>
    <n v="0"/>
    <n v="27.706500000000002"/>
  </r>
  <r>
    <s v="CLI-01932"/>
    <x v="1"/>
    <n v="112"/>
    <x v="1"/>
    <n v="18"/>
    <n v="27.33"/>
    <n v="5"/>
    <n v="0"/>
  </r>
  <r>
    <s v="CLI-01933"/>
    <x v="19"/>
    <n v="97"/>
    <x v="3"/>
    <n v="296"/>
    <n v="10.87"/>
    <n v="4"/>
    <n v="4.8914999999999997"/>
  </r>
  <r>
    <s v="CLI-01938"/>
    <x v="9"/>
    <n v="14"/>
    <x v="1"/>
    <n v="303"/>
    <n v="61.43"/>
    <n v="1"/>
    <n v="27.6435"/>
  </r>
  <r>
    <s v="CLI-01940"/>
    <x v="20"/>
    <n v="104"/>
    <x v="3"/>
    <n v="68"/>
    <n v="21.15"/>
    <n v="2"/>
    <n v="0"/>
  </r>
  <r>
    <s v="CLI-01949"/>
    <x v="2"/>
    <n v="38"/>
    <x v="3"/>
    <n v="432"/>
    <n v="53.65"/>
    <n v="4"/>
    <n v="24.142499999999998"/>
  </r>
  <r>
    <s v="CLI-01950"/>
    <x v="19"/>
    <n v="91"/>
    <x v="3"/>
    <n v="467"/>
    <n v="84.74"/>
    <n v="1"/>
    <n v="38.132999999999996"/>
  </r>
  <r>
    <s v="CLI-01957"/>
    <x v="6"/>
    <n v="14"/>
    <x v="0"/>
    <n v="415"/>
    <n v="36.93"/>
    <n v="5"/>
    <n v="16.618500000000001"/>
  </r>
  <r>
    <s v="CLI-01959"/>
    <x v="15"/>
    <n v="7"/>
    <x v="1"/>
    <n v="268"/>
    <n v="33.04"/>
    <n v="5"/>
    <n v="14.868"/>
  </r>
  <r>
    <s v="CLI-01960"/>
    <x v="16"/>
    <n v="93"/>
    <x v="0"/>
    <n v="365"/>
    <n v="72.319999999999993"/>
    <n v="1"/>
    <n v="32.543999999999997"/>
  </r>
  <r>
    <s v="CLI-01964"/>
    <x v="17"/>
    <n v="30"/>
    <x v="3"/>
    <n v="197"/>
    <n v="15.42"/>
    <n v="0"/>
    <n v="6.9390000000000001"/>
  </r>
  <r>
    <s v="CLI-01966"/>
    <x v="16"/>
    <n v="58"/>
    <x v="3"/>
    <n v="485"/>
    <n v="65.41"/>
    <n v="5"/>
    <n v="29.4345"/>
  </r>
  <r>
    <s v="CLI-01967"/>
    <x v="14"/>
    <n v="113"/>
    <x v="3"/>
    <n v="246"/>
    <n v="29.18"/>
    <n v="2"/>
    <n v="13.131"/>
  </r>
  <r>
    <s v="CLI-01969"/>
    <x v="23"/>
    <n v="19"/>
    <x v="0"/>
    <n v="141"/>
    <n v="53.95"/>
    <n v="1"/>
    <n v="0"/>
  </r>
  <r>
    <s v="CLI-01970"/>
    <x v="3"/>
    <n v="33"/>
    <x v="0"/>
    <n v="332"/>
    <n v="76.41"/>
    <n v="1"/>
    <n v="34.384500000000003"/>
  </r>
  <r>
    <s v="CLI-01971"/>
    <x v="6"/>
    <n v="103"/>
    <x v="0"/>
    <n v="98"/>
    <n v="38.69"/>
    <n v="4"/>
    <n v="0"/>
  </r>
  <r>
    <s v="CLI-01972"/>
    <x v="13"/>
    <n v="72"/>
    <x v="0"/>
    <n v="332"/>
    <n v="83.36"/>
    <n v="4"/>
    <n v="37.512"/>
  </r>
  <r>
    <s v="CLI-01973"/>
    <x v="15"/>
    <n v="23"/>
    <x v="1"/>
    <n v="262"/>
    <n v="46.3"/>
    <n v="1"/>
    <n v="20.835000000000001"/>
  </r>
  <r>
    <s v="CLI-01974"/>
    <x v="16"/>
    <n v="91"/>
    <x v="1"/>
    <n v="358"/>
    <n v="21.14"/>
    <n v="5"/>
    <n v="9.5129999999999999"/>
  </r>
  <r>
    <s v="CLI-01975"/>
    <x v="22"/>
    <n v="65"/>
    <x v="1"/>
    <n v="246"/>
    <n v="69.17"/>
    <n v="0"/>
    <n v="31.1265"/>
  </r>
  <r>
    <s v="CLI-01977"/>
    <x v="0"/>
    <n v="10"/>
    <x v="2"/>
    <n v="418"/>
    <n v="27.66"/>
    <n v="2"/>
    <n v="12.447000000000001"/>
  </r>
  <r>
    <s v="CLI-01979"/>
    <x v="2"/>
    <n v="10"/>
    <x v="1"/>
    <n v="129"/>
    <n v="70.12"/>
    <n v="0"/>
    <n v="0"/>
  </r>
  <r>
    <s v="CLI-01981"/>
    <x v="18"/>
    <n v="80"/>
    <x v="2"/>
    <n v="101"/>
    <n v="61.92"/>
    <n v="4"/>
    <n v="0"/>
  </r>
  <r>
    <s v="CLI-01982"/>
    <x v="21"/>
    <n v="61"/>
    <x v="0"/>
    <n v="383"/>
    <n v="39.72"/>
    <n v="4"/>
    <n v="17.873999999999999"/>
  </r>
  <r>
    <s v="CLI-01986"/>
    <x v="5"/>
    <n v="1"/>
    <x v="0"/>
    <n v="237"/>
    <n v="58.7"/>
    <n v="4"/>
    <n v="0"/>
  </r>
  <r>
    <s v="CLI-01988"/>
    <x v="21"/>
    <n v="111"/>
    <x v="1"/>
    <n v="447"/>
    <n v="51.35"/>
    <n v="0"/>
    <n v="23.107500000000002"/>
  </r>
  <r>
    <s v="CLI-01990"/>
    <x v="1"/>
    <n v="100"/>
    <x v="2"/>
    <n v="240"/>
    <n v="24.83"/>
    <n v="4"/>
    <n v="11.173499999999999"/>
  </r>
  <r>
    <s v="CLI-01992"/>
    <x v="1"/>
    <n v="20"/>
    <x v="2"/>
    <n v="217"/>
    <n v="55.3"/>
    <n v="4"/>
    <n v="0"/>
  </r>
  <r>
    <s v="CLI-01995"/>
    <x v="6"/>
    <n v="5"/>
    <x v="3"/>
    <n v="71"/>
    <n v="93.81"/>
    <n v="3"/>
    <n v="42.214500000000001"/>
  </r>
  <r>
    <s v="CLI-01998"/>
    <x v="20"/>
    <n v="7"/>
    <x v="1"/>
    <n v="332"/>
    <n v="83.95"/>
    <n v="4"/>
    <n v="37.777500000000003"/>
  </r>
  <r>
    <s v="CLI-01999"/>
    <x v="16"/>
    <n v="47"/>
    <x v="1"/>
    <n v="149"/>
    <n v="28.35"/>
    <n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563E40-09E8-40FD-B5D7-6FD2D3910EB2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7" indent="0" outline="1" outlineData="1" multipleFieldFilters="0" chartFormat="2" rowHeaderCaption="Province Clients">
  <location ref="A3:C134" firstHeaderRow="0" firstDataRow="1" firstDataCol="1"/>
  <pivotFields count="8">
    <pivotField showAll="0"/>
    <pivotField axis="axisRow" showAll="0">
      <items count="27">
        <item x="5"/>
        <item x="18"/>
        <item x="14"/>
        <item x="4"/>
        <item x="12"/>
        <item x="8"/>
        <item x="13"/>
        <item x="15"/>
        <item x="21"/>
        <item x="23"/>
        <item x="3"/>
        <item x="19"/>
        <item x="1"/>
        <item x="10"/>
        <item x="25"/>
        <item x="17"/>
        <item x="7"/>
        <item x="2"/>
        <item x="9"/>
        <item x="22"/>
        <item x="24"/>
        <item x="11"/>
        <item x="16"/>
        <item x="0"/>
        <item x="20"/>
        <item x="6"/>
        <item t="default"/>
      </items>
    </pivotField>
    <pivotField showAll="0"/>
    <pivotField axis="axisRow" showAll="0">
      <items count="5">
        <item x="0"/>
        <item x="2"/>
        <item x="3"/>
        <item x="1"/>
        <item t="default"/>
      </items>
    </pivotField>
    <pivotField dataField="1" showAll="0"/>
    <pivotField showAll="0"/>
    <pivotField dataField="1" showAll="0"/>
    <pivotField showAll="0"/>
  </pivotFields>
  <rowFields count="2">
    <field x="1"/>
    <field x="3"/>
  </rowFields>
  <rowItems count="13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>
      <x v="7"/>
    </i>
    <i r="1">
      <x/>
    </i>
    <i r="1">
      <x v="1"/>
    </i>
    <i r="1">
      <x v="2"/>
    </i>
    <i r="1">
      <x v="3"/>
    </i>
    <i>
      <x v="8"/>
    </i>
    <i r="1">
      <x/>
    </i>
    <i r="1">
      <x v="1"/>
    </i>
    <i r="1">
      <x v="2"/>
    </i>
    <i r="1">
      <x v="3"/>
    </i>
    <i>
      <x v="9"/>
    </i>
    <i r="1">
      <x/>
    </i>
    <i r="1">
      <x v="1"/>
    </i>
    <i r="1">
      <x v="2"/>
    </i>
    <i r="1">
      <x v="3"/>
    </i>
    <i>
      <x v="10"/>
    </i>
    <i r="1">
      <x/>
    </i>
    <i r="1">
      <x v="1"/>
    </i>
    <i r="1">
      <x v="2"/>
    </i>
    <i r="1">
      <x v="3"/>
    </i>
    <i>
      <x v="11"/>
    </i>
    <i r="1">
      <x/>
    </i>
    <i r="1">
      <x v="1"/>
    </i>
    <i r="1">
      <x v="2"/>
    </i>
    <i r="1">
      <x v="3"/>
    </i>
    <i>
      <x v="12"/>
    </i>
    <i r="1">
      <x/>
    </i>
    <i r="1">
      <x v="1"/>
    </i>
    <i r="1">
      <x v="2"/>
    </i>
    <i r="1">
      <x v="3"/>
    </i>
    <i>
      <x v="13"/>
    </i>
    <i r="1">
      <x/>
    </i>
    <i r="1">
      <x v="1"/>
    </i>
    <i r="1">
      <x v="2"/>
    </i>
    <i r="1">
      <x v="3"/>
    </i>
    <i>
      <x v="14"/>
    </i>
    <i r="1">
      <x/>
    </i>
    <i r="1">
      <x v="1"/>
    </i>
    <i r="1">
      <x v="2"/>
    </i>
    <i r="1">
      <x v="3"/>
    </i>
    <i>
      <x v="15"/>
    </i>
    <i r="1">
      <x/>
    </i>
    <i r="1">
      <x v="1"/>
    </i>
    <i r="1">
      <x v="2"/>
    </i>
    <i r="1">
      <x v="3"/>
    </i>
    <i>
      <x v="16"/>
    </i>
    <i r="1">
      <x/>
    </i>
    <i r="1">
      <x v="1"/>
    </i>
    <i r="1">
      <x v="2"/>
    </i>
    <i r="1">
      <x v="3"/>
    </i>
    <i>
      <x v="17"/>
    </i>
    <i r="1">
      <x/>
    </i>
    <i r="1">
      <x v="1"/>
    </i>
    <i r="1">
      <x v="2"/>
    </i>
    <i r="1">
      <x v="3"/>
    </i>
    <i>
      <x v="18"/>
    </i>
    <i r="1">
      <x/>
    </i>
    <i r="1">
      <x v="1"/>
    </i>
    <i r="1">
      <x v="2"/>
    </i>
    <i r="1">
      <x v="3"/>
    </i>
    <i>
      <x v="19"/>
    </i>
    <i r="1">
      <x/>
    </i>
    <i r="1">
      <x v="1"/>
    </i>
    <i r="1">
      <x v="2"/>
    </i>
    <i r="1">
      <x v="3"/>
    </i>
    <i>
      <x v="20"/>
    </i>
    <i r="1">
      <x/>
    </i>
    <i r="1">
      <x v="1"/>
    </i>
    <i r="1">
      <x v="2"/>
    </i>
    <i r="1">
      <x v="3"/>
    </i>
    <i>
      <x v="21"/>
    </i>
    <i r="1">
      <x/>
    </i>
    <i r="1">
      <x v="1"/>
    </i>
    <i r="1">
      <x v="2"/>
    </i>
    <i r="1">
      <x v="3"/>
    </i>
    <i>
      <x v="22"/>
    </i>
    <i r="1">
      <x/>
    </i>
    <i r="1">
      <x v="1"/>
    </i>
    <i r="1">
      <x v="2"/>
    </i>
    <i r="1">
      <x v="3"/>
    </i>
    <i>
      <x v="23"/>
    </i>
    <i r="1">
      <x/>
    </i>
    <i r="1">
      <x v="1"/>
    </i>
    <i r="1">
      <x v="2"/>
    </i>
    <i r="1">
      <x v="3"/>
    </i>
    <i>
      <x v="24"/>
    </i>
    <i r="1">
      <x/>
    </i>
    <i r="1">
      <x v="1"/>
    </i>
    <i r="1">
      <x v="2"/>
    </i>
    <i r="1">
      <x v="3"/>
    </i>
    <i>
      <x v="25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 Duree_Cumulee_Panne_Min" fld="4" baseField="1" baseItem="0"/>
    <dataField name="Moyenne de Plaintes_Service_Client" fld="6" subtotal="average" baseField="1" baseItem="0"/>
  </dataFields>
  <formats count="41">
    <format dxfId="40">
      <pivotArea dataOnly="0" outline="0" fieldPosition="0">
        <references count="1">
          <reference field="4294967294" count="1">
            <x v="1"/>
          </reference>
        </references>
      </pivotArea>
    </format>
    <format dxfId="39">
      <pivotArea dataOnly="0" fieldPosition="0">
        <references count="1">
          <reference field="1" count="1">
            <x v="0"/>
          </reference>
        </references>
      </pivotArea>
    </format>
    <format dxfId="38">
      <pivotArea dataOnly="0" fieldPosition="0">
        <references count="1">
          <reference field="1" count="1">
            <x v="0"/>
          </reference>
        </references>
      </pivotArea>
    </format>
    <format dxfId="37">
      <pivotArea dataOnly="0" fieldPosition="0">
        <references count="1">
          <reference field="1" count="1">
            <x v="1"/>
          </reference>
        </references>
      </pivotArea>
    </format>
    <format dxfId="36">
      <pivotArea dataOnly="0" fieldPosition="0">
        <references count="1">
          <reference field="1" count="1">
            <x v="2"/>
          </reference>
        </references>
      </pivotArea>
    </format>
    <format dxfId="35">
      <pivotArea dataOnly="0" fieldPosition="0">
        <references count="1">
          <reference field="1" count="1">
            <x v="2"/>
          </reference>
        </references>
      </pivotArea>
    </format>
    <format dxfId="34">
      <pivotArea dataOnly="0" fieldPosition="0">
        <references count="1">
          <reference field="1" count="1">
            <x v="2"/>
          </reference>
        </references>
      </pivotArea>
    </format>
    <format dxfId="33">
      <pivotArea dataOnly="0" fieldPosition="0">
        <references count="1">
          <reference field="1" count="1">
            <x v="3"/>
          </reference>
        </references>
      </pivotArea>
    </format>
    <format dxfId="32">
      <pivotArea dataOnly="0" fieldPosition="0">
        <references count="1">
          <reference field="1" count="1">
            <x v="3"/>
          </reference>
        </references>
      </pivotArea>
    </format>
    <format dxfId="31">
      <pivotArea dataOnly="0" fieldPosition="0">
        <references count="1">
          <reference field="1" count="1">
            <x v="4"/>
          </reference>
        </references>
      </pivotArea>
    </format>
    <format dxfId="30">
      <pivotArea dataOnly="0" fieldPosition="0">
        <references count="1">
          <reference field="1" count="1">
            <x v="5"/>
          </reference>
        </references>
      </pivotArea>
    </format>
    <format dxfId="29">
      <pivotArea dataOnly="0" fieldPosition="0">
        <references count="1">
          <reference field="1" count="1">
            <x v="6"/>
          </reference>
        </references>
      </pivotArea>
    </format>
    <format dxfId="28">
      <pivotArea dataOnly="0" fieldPosition="0">
        <references count="1">
          <reference field="1" count="1">
            <x v="7"/>
          </reference>
        </references>
      </pivotArea>
    </format>
    <format dxfId="27">
      <pivotArea dataOnly="0" fieldPosition="0">
        <references count="1">
          <reference field="1" count="1">
            <x v="8"/>
          </reference>
        </references>
      </pivotArea>
    </format>
    <format dxfId="26">
      <pivotArea dataOnly="0" fieldPosition="0">
        <references count="1">
          <reference field="1" count="1">
            <x v="9"/>
          </reference>
        </references>
      </pivotArea>
    </format>
    <format dxfId="25">
      <pivotArea dataOnly="0" fieldPosition="0">
        <references count="1">
          <reference field="1" count="1">
            <x v="10"/>
          </reference>
        </references>
      </pivotArea>
    </format>
    <format dxfId="24">
      <pivotArea dataOnly="0" fieldPosition="0">
        <references count="1">
          <reference field="1" count="1">
            <x v="11"/>
          </reference>
        </references>
      </pivotArea>
    </format>
    <format dxfId="23">
      <pivotArea dataOnly="0" fieldPosition="0">
        <references count="1">
          <reference field="1" count="1">
            <x v="12"/>
          </reference>
        </references>
      </pivotArea>
    </format>
    <format dxfId="22">
      <pivotArea dataOnly="0" fieldPosition="0">
        <references count="1">
          <reference field="1" count="1">
            <x v="11"/>
          </reference>
        </references>
      </pivotArea>
    </format>
    <format dxfId="21">
      <pivotArea dataOnly="0" fieldPosition="0">
        <references count="1">
          <reference field="1" count="1">
            <x v="12"/>
          </reference>
        </references>
      </pivotArea>
    </format>
    <format dxfId="20">
      <pivotArea dataOnly="0" fieldPosition="0">
        <references count="1">
          <reference field="1" count="1">
            <x v="13"/>
          </reference>
        </references>
      </pivotArea>
    </format>
    <format dxfId="19">
      <pivotArea dataOnly="0" fieldPosition="0">
        <references count="1">
          <reference field="1" count="1">
            <x v="14"/>
          </reference>
        </references>
      </pivotArea>
    </format>
    <format dxfId="18">
      <pivotArea dataOnly="0" fieldPosition="0">
        <references count="1">
          <reference field="1" count="1">
            <x v="15"/>
          </reference>
        </references>
      </pivotArea>
    </format>
    <format dxfId="17">
      <pivotArea dataOnly="0" fieldPosition="0">
        <references count="1">
          <reference field="1" count="1">
            <x v="16"/>
          </reference>
        </references>
      </pivotArea>
    </format>
    <format dxfId="16">
      <pivotArea dataOnly="0" fieldPosition="0">
        <references count="1">
          <reference field="1" count="1">
            <x v="17"/>
          </reference>
        </references>
      </pivotArea>
    </format>
    <format dxfId="15">
      <pivotArea dataOnly="0" fieldPosition="0">
        <references count="1">
          <reference field="1" count="1">
            <x v="17"/>
          </reference>
        </references>
      </pivotArea>
    </format>
    <format dxfId="14">
      <pivotArea dataOnly="0" fieldPosition="0">
        <references count="1">
          <reference field="1" count="1">
            <x v="18"/>
          </reference>
        </references>
      </pivotArea>
    </format>
    <format dxfId="13">
      <pivotArea dataOnly="0" fieldPosition="0">
        <references count="1">
          <reference field="1" count="1">
            <x v="18"/>
          </reference>
        </references>
      </pivotArea>
    </format>
    <format dxfId="12">
      <pivotArea dataOnly="0" fieldPosition="0">
        <references count="1">
          <reference field="1" count="1">
            <x v="19"/>
          </reference>
        </references>
      </pivotArea>
    </format>
    <format dxfId="11">
      <pivotArea dataOnly="0" fieldPosition="0">
        <references count="1">
          <reference field="1" count="1">
            <x v="20"/>
          </reference>
        </references>
      </pivotArea>
    </format>
    <format dxfId="10">
      <pivotArea dataOnly="0" fieldPosition="0">
        <references count="1">
          <reference field="1" count="1">
            <x v="21"/>
          </reference>
        </references>
      </pivotArea>
    </format>
    <format dxfId="9">
      <pivotArea dataOnly="0" labelOnly="1" fieldPosition="0">
        <references count="1">
          <reference field="1" count="1">
            <x v="22"/>
          </reference>
        </references>
      </pivotArea>
    </format>
    <format dxfId="8">
      <pivotArea dataOnly="0" labelOnly="1" fieldPosition="0">
        <references count="1">
          <reference field="1" count="1">
            <x v="22"/>
          </reference>
        </references>
      </pivotArea>
    </format>
    <format dxfId="7">
      <pivotArea dataOnly="0" fieldPosition="0">
        <references count="1">
          <reference field="1" count="1">
            <x v="22"/>
          </reference>
        </references>
      </pivotArea>
    </format>
    <format dxfId="6">
      <pivotArea dataOnly="0" fieldPosition="0">
        <references count="1">
          <reference field="1" count="1">
            <x v="22"/>
          </reference>
        </references>
      </pivotArea>
    </format>
    <format dxfId="5">
      <pivotArea dataOnly="0" fieldPosition="0">
        <references count="1">
          <reference field="1" count="1">
            <x v="23"/>
          </reference>
        </references>
      </pivotArea>
    </format>
    <format dxfId="4">
      <pivotArea dataOnly="0" fieldPosition="0">
        <references count="1">
          <reference field="1" count="1">
            <x v="24"/>
          </reference>
        </references>
      </pivotArea>
    </format>
    <format dxfId="3">
      <pivotArea dataOnly="0" fieldPosition="0">
        <references count="1">
          <reference field="1" count="1">
            <x v="25"/>
          </reference>
        </references>
      </pivotArea>
    </format>
    <format dxfId="2">
      <pivotArea dataOnly="0" grandRow="1" fieldPosition="0"/>
    </format>
    <format dxfId="1">
      <pivotArea dataOnly="0" grandRow="1" fieldPosition="0"/>
    </format>
    <format dxfId="0">
      <pivotArea dataOnly="0" grandRow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1A9C44-BFA5-4D7A-BF86-65E2EF7DE54B}" name="Tableau1" displayName="Tableau1" ref="A1:H1914" totalsRowShown="0" headerRowDxfId="46">
  <autoFilter ref="A1:H1914" xr:uid="{E81A9C44-BFA5-4D7A-BF86-65E2EF7DE54B}"/>
  <tableColumns count="8">
    <tableColumn id="1" xr3:uid="{1B934D15-10DE-4AA4-A53D-26088ED35208}" name="Date_Heure_Panne" dataDxfId="45"/>
    <tableColumn id="2" xr3:uid="{58C78CF3-73A3-4CBF-AFA1-613BEB5EDC19}" name="Cell_ID"/>
    <tableColumn id="6" xr3:uid="{C70478C4-3C4D-4F48-B507-32DC9D34B7E8}" name="Province RDC" dataDxfId="44">
      <calculatedColumnFormula>_xlfn.XLOOKUP(B2,Tableau13[ID_Antenne],Tableau13[Province_RDC],"Non répertoriées")</calculatedColumnFormula>
    </tableColumn>
    <tableColumn id="3" xr3:uid="{83881D9A-A57E-4EC1-A35A-7D5666F4F50E}" name="Duree_Panne_Min"/>
    <tableColumn id="8" xr3:uid="{F5DEAD27-FCDA-4936-9CBA-D1FEB557989E}" name="Technologie" dataDxfId="43">
      <calculatedColumnFormula>_xlfn.XLOOKUP(B2,Tableau13[ID_Antenne],Tableau13[Technologie],"Non répertoriées")</calculatedColumnFormula>
    </tableColumn>
    <tableColumn id="7" xr3:uid="{F6A9CBCF-5489-4AB8-8A9C-12814D546651}" name="Latitude" dataDxfId="42">
      <calculatedColumnFormula>_xlfn.XLOOKUP(B2,Tableau13[ID_Antenne],Tableau13[Latitude],"Non répertoriées")</calculatedColumnFormula>
    </tableColumn>
    <tableColumn id="5" xr3:uid="{75A68F71-B2B2-420C-9D04-89C4883CC582}" name="Longiture" dataDxfId="41">
      <calculatedColumnFormula>_xlfn.XLOOKUP(B2,Tableau13[ID_Antenne],Tableau13[Longitude],"Non répertoriées")</calculatedColumnFormula>
    </tableColumn>
    <tableColumn id="4" xr3:uid="{DF7697F7-0E10-498D-9777-0E3FE38C889F}" name="Statut_Resolu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33789C-71D5-4B05-9C7C-397380A6AA84}" name="Tableau2" displayName="Tableau2" ref="A1:I751" totalsRowShown="0" headerRowDxfId="49">
  <autoFilter ref="A1:I751" xr:uid="{6E33789C-71D5-4B05-9C7C-397380A6AA84}">
    <filterColumn colId="2">
      <filters>
        <filter val="1"/>
        <filter val="10"/>
        <filter val="100"/>
        <filter val="101"/>
        <filter val="102"/>
        <filter val="103"/>
        <filter val="104"/>
        <filter val="105"/>
        <filter val="106"/>
        <filter val="107"/>
        <filter val="108"/>
        <filter val="109"/>
        <filter val="11"/>
        <filter val="110"/>
        <filter val="111"/>
        <filter val="112"/>
        <filter val="113"/>
        <filter val="114"/>
        <filter val="115"/>
        <filter val="116"/>
        <filter val="117"/>
        <filter val="118"/>
        <filter val="119"/>
        <filter val="12"/>
        <filter val="120"/>
        <filter val="13"/>
        <filter val="14"/>
        <filter val="15"/>
        <filter val="16"/>
        <filter val="17"/>
        <filter val="18"/>
        <filter val="19"/>
        <filter val="2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4"/>
        <filter val="40"/>
        <filter val="41"/>
        <filter val="42"/>
        <filter val="43"/>
        <filter val="44"/>
        <filter val="45"/>
        <filter val="46"/>
        <filter val="47"/>
        <filter val="48"/>
        <filter val="49"/>
        <filter val="5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6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7"/>
        <filter val="70"/>
        <filter val="71"/>
        <filter val="72"/>
        <filter val="73"/>
        <filter val="74"/>
        <filter val="75"/>
        <filter val="76"/>
        <filter val="77"/>
        <filter val="78"/>
        <filter val="79"/>
        <filter val="8"/>
        <filter val="80"/>
        <filter val="81"/>
        <filter val="82"/>
        <filter val="83"/>
        <filter val="84"/>
        <filter val="85"/>
        <filter val="86"/>
        <filter val="87"/>
        <filter val="88"/>
        <filter val="89"/>
        <filter val="9"/>
        <filter val="90"/>
        <filter val="91"/>
        <filter val="92"/>
        <filter val="93"/>
        <filter val="94"/>
        <filter val="95"/>
        <filter val="96"/>
        <filter val="97"/>
        <filter val="98"/>
        <filter val="99"/>
      </filters>
    </filterColumn>
  </autoFilter>
  <sortState xmlns:xlrd2="http://schemas.microsoft.com/office/spreadsheetml/2017/richdata2" ref="A2:G751">
    <sortCondition ref="A1:A764"/>
  </sortState>
  <tableColumns count="9">
    <tableColumn id="1" xr3:uid="{62FAD964-91AB-4E2E-A618-6818CDAB106F}" name="ID_Client"/>
    <tableColumn id="2" xr3:uid="{329E77D3-8157-4260-91D2-4AFED6EB955B}" name="Province_Client"/>
    <tableColumn id="3" xr3:uid="{44C25C0A-807B-4D2B-ACC5-AEB7784D0369}" name="Anciennete_Mois"/>
    <tableColumn id="4" xr3:uid="{3359D232-B0AC-47C0-B03F-FC1FE989B9B3}" name="Type_Forfait"/>
    <tableColumn id="5" xr3:uid="{A99EB0DD-20D4-4458-9DB3-7FCD21D85003}" name="Duree_Cumulee_Panne_Min"/>
    <tableColumn id="6" xr3:uid="{8C0CEA27-22B0-48F0-A072-D234BCE57A81}" name="Facture_Mensuelle $" dataDxfId="48"/>
    <tableColumn id="7" xr3:uid="{854A691E-122C-4E68-AEC5-B9BA84529B42}" name="Plaintes_Service_Client $"/>
    <tableColumn id="8" xr3:uid="{8BD23F7B-0E23-4EFD-8ACC-C91811B6D2A6}" name="Remise taux" dataDxfId="47">
      <calculatedColumnFormula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calculatedColumnFormula>
    </tableColumn>
    <tableColumn id="9" xr3:uid="{14914643-09D1-468D-BE41-1CF5B45AFA88}" name="Perte financière $">
      <calculatedColumnFormula>Tableau2[[#This Row],[Facture_Mensuelle $]]*Tableau2[[#This Row],[Remise taux]]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213EC5-0461-4528-ACA1-5C7E959F7981}" name="Tableau13" displayName="Tableau13" ref="A1:F1048576" totalsRowShown="0">
  <autoFilter ref="A1:F1048576" xr:uid="{31213EC5-0461-4528-ACA1-5C7E959F7981}"/>
  <tableColumns count="6">
    <tableColumn id="1" xr3:uid="{FE6825FE-524A-4A9C-AA7C-BE28CDBD6347}" name="ID_Antenne"/>
    <tableColumn id="2" xr3:uid="{E1E14679-BD16-4B23-AEA6-B8B3023F781E}" name="Province_RDC"/>
    <tableColumn id="3" xr3:uid="{A6E4D5DF-27E0-4C56-B86F-A10F472EEBAD}" name="Latitude"/>
    <tableColumn id="4" xr3:uid="{229AC094-6DDE-4F7D-BCB4-70531530D65B}" name="Longitude"/>
    <tableColumn id="5" xr3:uid="{4D71F51E-2E34-47BB-B751-4A5ACAC3CEE6}" name="Technologie"/>
    <tableColumn id="6" xr3:uid="{5076115D-72F2-4195-B00A-206283C44F9E}" name="Equipementi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AC3CC-D55B-45AF-B71B-9ED7BF54F214}">
  <dimension ref="A1:H1914"/>
  <sheetViews>
    <sheetView workbookViewId="0">
      <selection activeCell="J6" sqref="J6"/>
    </sheetView>
  </sheetViews>
  <sheetFormatPr baseColWidth="10" defaultColWidth="11.42578125" defaultRowHeight="15" x14ac:dyDescent="0.25"/>
  <cols>
    <col min="1" max="1" width="20.5703125" bestFit="1" customWidth="1"/>
    <col min="2" max="3" width="20.5703125" customWidth="1"/>
    <col min="4" max="4" width="20" bestFit="1" customWidth="1"/>
    <col min="5" max="5" width="16.42578125" style="31" bestFit="1" customWidth="1"/>
    <col min="6" max="7" width="16.42578125" bestFit="1" customWidth="1"/>
    <col min="8" max="8" width="19.7109375" customWidth="1"/>
  </cols>
  <sheetData>
    <row r="1" spans="1:8" x14ac:dyDescent="0.25">
      <c r="A1" s="4" t="s">
        <v>0</v>
      </c>
      <c r="B1" s="4" t="s">
        <v>1</v>
      </c>
      <c r="C1" s="4" t="s">
        <v>760</v>
      </c>
      <c r="D1" s="4" t="s">
        <v>2</v>
      </c>
      <c r="E1" s="30" t="s">
        <v>791</v>
      </c>
      <c r="F1" s="4" t="s">
        <v>789</v>
      </c>
      <c r="G1" s="4" t="s">
        <v>1710</v>
      </c>
      <c r="H1" s="4" t="s">
        <v>3</v>
      </c>
    </row>
    <row r="2" spans="1:8" x14ac:dyDescent="0.25">
      <c r="A2" s="1">
        <v>45203.032638888893</v>
      </c>
      <c r="B2" t="s">
        <v>4</v>
      </c>
      <c r="C2" s="29" t="str">
        <f>_xlfn.XLOOKUP(B2,Tableau13[ID_Antenne],Tableau13[Province_RDC],"Non répertoriées")</f>
        <v>Tanganyika</v>
      </c>
      <c r="D2">
        <v>73</v>
      </c>
      <c r="E2" s="31" t="str">
        <f>_xlfn.XLOOKUP(B2,Tableau13[ID_Antenne],Tableau13[Technologie],"Non répertoriées")</f>
        <v>4G</v>
      </c>
      <c r="F2" s="3">
        <f>_xlfn.XLOOKUP(B2,Tableau13[ID_Antenne],Tableau13[Latitude],"Non répertoriées")</f>
        <v>-11.144149000000001</v>
      </c>
      <c r="G2" s="32">
        <f>_xlfn.XLOOKUP(B2,Tableau13[ID_Antenne],Tableau13[Longitude],"Non répertoriées")</f>
        <v>27.244658999999999</v>
      </c>
      <c r="H2" t="s">
        <v>5</v>
      </c>
    </row>
    <row r="3" spans="1:8" x14ac:dyDescent="0.25">
      <c r="A3" s="1">
        <v>45208.301388888889</v>
      </c>
      <c r="B3" t="s">
        <v>6</v>
      </c>
      <c r="C3" t="str">
        <f>_xlfn.XLOOKUP(B3,Tableau13[ID_Antenne],Tableau13[Province_RDC],"Non répertoriées")</f>
        <v>Non répertoriées</v>
      </c>
      <c r="D3">
        <v>38</v>
      </c>
      <c r="E3" t="str">
        <f>_xlfn.XLOOKUP(B3,Tableau13[ID_Antenne],Tableau13[Technologie],"Non répertoriées")</f>
        <v>Non répertoriées</v>
      </c>
      <c r="F3" t="str">
        <f>_xlfn.XLOOKUP(B3,Tableau13[ID_Antenne],Tableau13[Latitude],"Non répertoriées")</f>
        <v>Non répertoriées</v>
      </c>
      <c r="G3" t="str">
        <f>_xlfn.XLOOKUP(B3,Tableau13[ID_Antenne],Tableau13[Longitude],"Non répertoriées")</f>
        <v>Non répertoriées</v>
      </c>
      <c r="H3" t="s">
        <v>5</v>
      </c>
    </row>
    <row r="4" spans="1:8" x14ac:dyDescent="0.25">
      <c r="A4" s="1">
        <v>45204.962500000001</v>
      </c>
      <c r="B4" t="s">
        <v>7</v>
      </c>
      <c r="C4" t="str">
        <f>_xlfn.XLOOKUP(B4,Tableau13[ID_Antenne],Tableau13[Province_RDC],"Non répertoriées")</f>
        <v>Non répertoriées</v>
      </c>
      <c r="D4">
        <v>100</v>
      </c>
      <c r="E4" t="str">
        <f>_xlfn.XLOOKUP(B4,Tableau13[ID_Antenne],Tableau13[Technologie],"Non répertoriées")</f>
        <v>Non répertoriées</v>
      </c>
      <c r="F4" t="str">
        <f>_xlfn.XLOOKUP(B4,Tableau13[ID_Antenne],Tableau13[Latitude],"Non répertoriées")</f>
        <v>Non répertoriées</v>
      </c>
      <c r="G4" t="str">
        <f>_xlfn.XLOOKUP(B4,Tableau13[ID_Antenne],Tableau13[Longitude],"Non répertoriées")</f>
        <v>Non répertoriées</v>
      </c>
      <c r="H4" t="s">
        <v>8</v>
      </c>
    </row>
    <row r="5" spans="1:8" x14ac:dyDescent="0.25">
      <c r="A5" s="1">
        <v>45221.997916666667</v>
      </c>
      <c r="B5" t="s">
        <v>9</v>
      </c>
      <c r="C5" t="str">
        <f>_xlfn.XLOOKUP(B5,Tableau13[ID_Antenne],Tableau13[Province_RDC],"Non répertoriées")</f>
        <v>Non répertoriées</v>
      </c>
      <c r="D5">
        <v>79</v>
      </c>
      <c r="E5" t="str">
        <f>_xlfn.XLOOKUP(B5,Tableau13[ID_Antenne],Tableau13[Technologie],"Non répertoriées")</f>
        <v>Non répertoriées</v>
      </c>
      <c r="F5" t="str">
        <f>_xlfn.XLOOKUP(B5,Tableau13[ID_Antenne],Tableau13[Latitude],"Non répertoriées")</f>
        <v>Non répertoriées</v>
      </c>
      <c r="G5" t="str">
        <f>_xlfn.XLOOKUP(B5,Tableau13[ID_Antenne],Tableau13[Longitude],"Non répertoriées")</f>
        <v>Non répertoriées</v>
      </c>
      <c r="H5" t="s">
        <v>10</v>
      </c>
    </row>
    <row r="6" spans="1:8" x14ac:dyDescent="0.25">
      <c r="A6" s="1">
        <v>45217.109027777777</v>
      </c>
      <c r="B6" t="s">
        <v>11</v>
      </c>
      <c r="C6" t="str">
        <f>_xlfn.XLOOKUP(B6,Tableau13[ID_Antenne],Tableau13[Province_RDC],"Non répertoriées")</f>
        <v>Non répertoriées</v>
      </c>
      <c r="D6">
        <v>59</v>
      </c>
      <c r="E6" t="str">
        <f>_xlfn.XLOOKUP(B6,Tableau13[ID_Antenne],Tableau13[Technologie],"Non répertoriées")</f>
        <v>Non répertoriées</v>
      </c>
      <c r="F6" t="str">
        <f>_xlfn.XLOOKUP(B6,Tableau13[ID_Antenne],Tableau13[Latitude],"Non répertoriées")</f>
        <v>Non répertoriées</v>
      </c>
      <c r="G6" t="str">
        <f>_xlfn.XLOOKUP(B6,Tableau13[ID_Antenne],Tableau13[Longitude],"Non répertoriées")</f>
        <v>Non répertoriées</v>
      </c>
      <c r="H6" t="s">
        <v>5</v>
      </c>
    </row>
    <row r="7" spans="1:8" x14ac:dyDescent="0.25">
      <c r="A7" s="1">
        <v>45213.042361111111</v>
      </c>
      <c r="B7" t="s">
        <v>12</v>
      </c>
      <c r="C7" s="29" t="str">
        <f>_xlfn.XLOOKUP(B7,Tableau13[ID_Antenne],Tableau13[Province_RDC],"Non répertoriées")</f>
        <v>Kongo-Central</v>
      </c>
      <c r="D7">
        <v>119</v>
      </c>
      <c r="E7" s="31" t="str">
        <f>_xlfn.XLOOKUP(B7,Tableau13[ID_Antenne],Tableau13[Technologie],"Non répertoriées")</f>
        <v>5G</v>
      </c>
      <c r="F7" s="3">
        <f>_xlfn.XLOOKUP(B7,Tableau13[ID_Antenne],Tableau13[Latitude],"Non répertoriées")</f>
        <v>-2.8211520000000001</v>
      </c>
      <c r="G7" s="32">
        <f>_xlfn.XLOOKUP(B7,Tableau13[ID_Antenne],Tableau13[Longitude],"Non répertoriées")</f>
        <v>20.651419000000001</v>
      </c>
      <c r="H7" t="s">
        <v>8</v>
      </c>
    </row>
    <row r="8" spans="1:8" x14ac:dyDescent="0.25">
      <c r="A8" s="1">
        <v>45202.259722222218</v>
      </c>
      <c r="B8" t="s">
        <v>13</v>
      </c>
      <c r="C8" s="29" t="str">
        <f>_xlfn.XLOOKUP(B8,Tableau13[ID_Antenne],Tableau13[Province_RDC],"Non répertoriées")</f>
        <v>Kasai-Central</v>
      </c>
      <c r="D8">
        <v>79</v>
      </c>
      <c r="E8" s="31" t="str">
        <f>_xlfn.XLOOKUP(B8,Tableau13[ID_Antenne],Tableau13[Technologie],"Non répertoriées")</f>
        <v>5G</v>
      </c>
      <c r="F8" s="3">
        <f>_xlfn.XLOOKUP(B8,Tableau13[ID_Antenne],Tableau13[Latitude],"Non répertoriées")</f>
        <v>-1.648264</v>
      </c>
      <c r="G8" s="32">
        <f>_xlfn.XLOOKUP(B8,Tableau13[ID_Antenne],Tableau13[Longitude],"Non répertoriées")</f>
        <v>28.866143999999998</v>
      </c>
      <c r="H8" t="s">
        <v>5</v>
      </c>
    </row>
    <row r="9" spans="1:8" x14ac:dyDescent="0.25">
      <c r="A9" s="1">
        <v>45216.792361111111</v>
      </c>
      <c r="B9" t="s">
        <v>14</v>
      </c>
      <c r="C9" t="str">
        <f>_xlfn.XLOOKUP(B9,Tableau13[ID_Antenne],Tableau13[Province_RDC],"Non répertoriées")</f>
        <v>Non répertoriées</v>
      </c>
      <c r="D9">
        <v>56</v>
      </c>
      <c r="E9" t="str">
        <f>_xlfn.XLOOKUP(B9,Tableau13[ID_Antenne],Tableau13[Technologie],"Non répertoriées")</f>
        <v>Non répertoriées</v>
      </c>
      <c r="F9" t="str">
        <f>_xlfn.XLOOKUP(B9,Tableau13[ID_Antenne],Tableau13[Latitude],"Non répertoriées")</f>
        <v>Non répertoriées</v>
      </c>
      <c r="G9" t="str">
        <f>_xlfn.XLOOKUP(B9,Tableau13[ID_Antenne],Tableau13[Longitude],"Non répertoriées")</f>
        <v>Non répertoriées</v>
      </c>
      <c r="H9" t="s">
        <v>5</v>
      </c>
    </row>
    <row r="10" spans="1:8" x14ac:dyDescent="0.25">
      <c r="A10" s="1">
        <v>45217.28125</v>
      </c>
      <c r="B10" t="s">
        <v>15</v>
      </c>
      <c r="C10" t="str">
        <f>_xlfn.XLOOKUP(B10,Tableau13[ID_Antenne],Tableau13[Province_RDC],"Non répertoriées")</f>
        <v>Non répertoriées</v>
      </c>
      <c r="D10">
        <v>51</v>
      </c>
      <c r="E10" t="str">
        <f>_xlfn.XLOOKUP(B10,Tableau13[ID_Antenne],Tableau13[Technologie],"Non répertoriées")</f>
        <v>Non répertoriées</v>
      </c>
      <c r="F10" t="str">
        <f>_xlfn.XLOOKUP(B10,Tableau13[ID_Antenne],Tableau13[Latitude],"Non répertoriées")</f>
        <v>Non répertoriées</v>
      </c>
      <c r="G10" t="str">
        <f>_xlfn.XLOOKUP(B10,Tableau13[ID_Antenne],Tableau13[Longitude],"Non répertoriées")</f>
        <v>Non répertoriées</v>
      </c>
      <c r="H10" t="s">
        <v>8</v>
      </c>
    </row>
    <row r="11" spans="1:8" x14ac:dyDescent="0.25">
      <c r="A11" s="1">
        <v>45220.94027777778</v>
      </c>
      <c r="B11" t="s">
        <v>16</v>
      </c>
      <c r="C11" t="str">
        <f>_xlfn.XLOOKUP(B11,Tableau13[ID_Antenne],Tableau13[Province_RDC],"Non répertoriées")</f>
        <v>Non répertoriées</v>
      </c>
      <c r="D11">
        <v>33</v>
      </c>
      <c r="E11" t="str">
        <f>_xlfn.XLOOKUP(B11,Tableau13[ID_Antenne],Tableau13[Technologie],"Non répertoriées")</f>
        <v>Non répertoriées</v>
      </c>
      <c r="F11" t="str">
        <f>_xlfn.XLOOKUP(B11,Tableau13[ID_Antenne],Tableau13[Latitude],"Non répertoriées")</f>
        <v>Non répertoriées</v>
      </c>
      <c r="G11" t="str">
        <f>_xlfn.XLOOKUP(B11,Tableau13[ID_Antenne],Tableau13[Longitude],"Non répertoriées")</f>
        <v>Non répertoriées</v>
      </c>
      <c r="H11" t="s">
        <v>10</v>
      </c>
    </row>
    <row r="12" spans="1:8" x14ac:dyDescent="0.25">
      <c r="A12" s="1">
        <v>45213.311111111107</v>
      </c>
      <c r="B12" t="s">
        <v>17</v>
      </c>
      <c r="C12" s="29" t="str">
        <f>_xlfn.XLOOKUP(B12,Tableau13[ID_Antenne],Tableau13[Province_RDC],"Non répertoriées")</f>
        <v>Kwango</v>
      </c>
      <c r="D12">
        <v>22</v>
      </c>
      <c r="E12" s="31" t="str">
        <f>_xlfn.XLOOKUP(B12,Tableau13[ID_Antenne],Tableau13[Technologie],"Non répertoriées")</f>
        <v>5G</v>
      </c>
      <c r="F12" s="3">
        <f>_xlfn.XLOOKUP(B12,Tableau13[ID_Antenne],Tableau13[Latitude],"Non répertoriées")</f>
        <v>4.8319039999999998</v>
      </c>
      <c r="G12" s="32">
        <f>_xlfn.XLOOKUP(B12,Tableau13[ID_Antenne],Tableau13[Longitude],"Non répertoriées")</f>
        <v>20.733468999999999</v>
      </c>
      <c r="H12" t="s">
        <v>8</v>
      </c>
    </row>
    <row r="13" spans="1:8" x14ac:dyDescent="0.25">
      <c r="A13" s="1">
        <v>45218.368750000001</v>
      </c>
      <c r="B13" t="s">
        <v>18</v>
      </c>
      <c r="C13" s="29" t="str">
        <f>_xlfn.XLOOKUP(B13,Tableau13[ID_Antenne],Tableau13[Province_RDC],"Non répertoriées")</f>
        <v>Lomami</v>
      </c>
      <c r="D13">
        <v>70</v>
      </c>
      <c r="E13" s="31" t="str">
        <f>_xlfn.XLOOKUP(B13,Tableau13[ID_Antenne],Tableau13[Technologie],"Non répertoriées")</f>
        <v>4G</v>
      </c>
      <c r="F13" s="3">
        <f>_xlfn.XLOOKUP(B13,Tableau13[ID_Antenne],Tableau13[Latitude],"Non répertoriées")</f>
        <v>-8.4227860000000003</v>
      </c>
      <c r="G13" s="32">
        <f>_xlfn.XLOOKUP(B13,Tableau13[ID_Antenne],Tableau13[Longitude],"Non répertoriées")</f>
        <v>16.781293000000002</v>
      </c>
      <c r="H13" t="s">
        <v>5</v>
      </c>
    </row>
    <row r="14" spans="1:8" x14ac:dyDescent="0.25">
      <c r="A14" s="1">
        <v>45227.033333333333</v>
      </c>
      <c r="B14" t="s">
        <v>19</v>
      </c>
      <c r="C14" s="29" t="str">
        <f>_xlfn.XLOOKUP(B14,Tableau13[ID_Antenne],Tableau13[Province_RDC],"Non répertoriées")</f>
        <v>Nord-Ubangi</v>
      </c>
      <c r="D14">
        <v>68</v>
      </c>
      <c r="E14" s="31" t="str">
        <f>_xlfn.XLOOKUP(B14,Tableau13[ID_Antenne],Tableau13[Technologie],"Non répertoriées")</f>
        <v>5G</v>
      </c>
      <c r="F14" s="3">
        <f>_xlfn.XLOOKUP(B14,Tableau13[ID_Antenne],Tableau13[Latitude],"Non répertoriées")</f>
        <v>-10.375266999999999</v>
      </c>
      <c r="G14" s="32">
        <f>_xlfn.XLOOKUP(B14,Tableau13[ID_Antenne],Tableau13[Longitude],"Non répertoriées")</f>
        <v>17.993663000000002</v>
      </c>
      <c r="H14" t="s">
        <v>10</v>
      </c>
    </row>
    <row r="15" spans="1:8" x14ac:dyDescent="0.25">
      <c r="A15" s="1">
        <v>45225.238888888889</v>
      </c>
      <c r="B15" t="s">
        <v>20</v>
      </c>
      <c r="C15" t="str">
        <f>_xlfn.XLOOKUP(B15,Tableau13[ID_Antenne],Tableau13[Province_RDC],"Non répertoriées")</f>
        <v>Non répertoriées</v>
      </c>
      <c r="D15">
        <v>16</v>
      </c>
      <c r="E15" t="str">
        <f>_xlfn.XLOOKUP(B15,Tableau13[ID_Antenne],Tableau13[Technologie],"Non répertoriées")</f>
        <v>Non répertoriées</v>
      </c>
      <c r="F15" t="str">
        <f>_xlfn.XLOOKUP(B15,Tableau13[ID_Antenne],Tableau13[Latitude],"Non répertoriées")</f>
        <v>Non répertoriées</v>
      </c>
      <c r="G15" t="str">
        <f>_xlfn.XLOOKUP(B15,Tableau13[ID_Antenne],Tableau13[Longitude],"Non répertoriées")</f>
        <v>Non répertoriées</v>
      </c>
      <c r="H15" t="s">
        <v>8</v>
      </c>
    </row>
    <row r="16" spans="1:8" x14ac:dyDescent="0.25">
      <c r="A16" s="1">
        <v>45213.428472222222</v>
      </c>
      <c r="B16" t="s">
        <v>21</v>
      </c>
      <c r="C16" t="str">
        <f>_xlfn.XLOOKUP(B16,Tableau13[ID_Antenne],Tableau13[Province_RDC],"Non répertoriées")</f>
        <v>Non répertoriées</v>
      </c>
      <c r="D16">
        <v>101</v>
      </c>
      <c r="E16" t="str">
        <f>_xlfn.XLOOKUP(B16,Tableau13[ID_Antenne],Tableau13[Technologie],"Non répertoriées")</f>
        <v>Non répertoriées</v>
      </c>
      <c r="F16" t="str">
        <f>_xlfn.XLOOKUP(B16,Tableau13[ID_Antenne],Tableau13[Latitude],"Non répertoriées")</f>
        <v>Non répertoriées</v>
      </c>
      <c r="G16" t="str">
        <f>_xlfn.XLOOKUP(B16,Tableau13[ID_Antenne],Tableau13[Longitude],"Non répertoriées")</f>
        <v>Non répertoriées</v>
      </c>
      <c r="H16" t="s">
        <v>8</v>
      </c>
    </row>
    <row r="17" spans="1:8" x14ac:dyDescent="0.25">
      <c r="A17" s="1">
        <v>45204.283333333333</v>
      </c>
      <c r="B17" t="s">
        <v>22</v>
      </c>
      <c r="C17" s="29" t="str">
        <f>_xlfn.XLOOKUP(B17,Tableau13[ID_Antenne],Tableau13[Province_RDC],"Non répertoriées")</f>
        <v>Lomami</v>
      </c>
      <c r="D17">
        <v>11</v>
      </c>
      <c r="E17" s="31" t="str">
        <f>_xlfn.XLOOKUP(B17,Tableau13[ID_Antenne],Tableau13[Technologie],"Non répertoriées")</f>
        <v>3G</v>
      </c>
      <c r="F17" s="3">
        <f>_xlfn.XLOOKUP(B17,Tableau13[ID_Antenne],Tableau13[Latitude],"Non répertoriées")</f>
        <v>-2.2371569999999998</v>
      </c>
      <c r="G17" s="32">
        <f>_xlfn.XLOOKUP(B17,Tableau13[ID_Antenne],Tableau13[Longitude],"Non répertoriées")</f>
        <v>25.926188</v>
      </c>
      <c r="H17" t="s">
        <v>10</v>
      </c>
    </row>
    <row r="18" spans="1:8" x14ac:dyDescent="0.25">
      <c r="A18" s="1">
        <v>45210.128472222219</v>
      </c>
      <c r="B18" t="s">
        <v>23</v>
      </c>
      <c r="C18" t="str">
        <f>_xlfn.XLOOKUP(B18,Tableau13[ID_Antenne],Tableau13[Province_RDC],"Non répertoriées")</f>
        <v>Non répertoriées</v>
      </c>
      <c r="D18">
        <v>115</v>
      </c>
      <c r="E18" t="str">
        <f>_xlfn.XLOOKUP(B18,Tableau13[ID_Antenne],Tableau13[Technologie],"Non répertoriées")</f>
        <v>Non répertoriées</v>
      </c>
      <c r="F18" t="str">
        <f>_xlfn.XLOOKUP(B18,Tableau13[ID_Antenne],Tableau13[Latitude],"Non répertoriées")</f>
        <v>Non répertoriées</v>
      </c>
      <c r="G18" t="str">
        <f>_xlfn.XLOOKUP(B18,Tableau13[ID_Antenne],Tableau13[Longitude],"Non répertoriées")</f>
        <v>Non répertoriées</v>
      </c>
      <c r="H18" t="s">
        <v>5</v>
      </c>
    </row>
    <row r="19" spans="1:8" x14ac:dyDescent="0.25">
      <c r="A19" s="1">
        <v>45212.140277777777</v>
      </c>
      <c r="B19" t="s">
        <v>24</v>
      </c>
      <c r="C19" s="29" t="str">
        <f>_xlfn.XLOOKUP(B19,Tableau13[ID_Antenne],Tableau13[Province_RDC],"Non répertoriées")</f>
        <v>Tanganyika</v>
      </c>
      <c r="D19">
        <v>19</v>
      </c>
      <c r="E19" s="31" t="str">
        <f>_xlfn.XLOOKUP(B19,Tableau13[ID_Antenne],Tableau13[Technologie],"Non répertoriées")</f>
        <v>3G</v>
      </c>
      <c r="F19" s="3">
        <f>_xlfn.XLOOKUP(B19,Tableau13[ID_Antenne],Tableau13[Latitude],"Non répertoriées")</f>
        <v>-9.4708620000000003</v>
      </c>
      <c r="G19" s="32">
        <f>_xlfn.XLOOKUP(B19,Tableau13[ID_Antenne],Tableau13[Longitude],"Non répertoriées")</f>
        <v>29.234387999999999</v>
      </c>
      <c r="H19" t="s">
        <v>8</v>
      </c>
    </row>
    <row r="20" spans="1:8" x14ac:dyDescent="0.25">
      <c r="A20" s="1">
        <v>45227.484722222223</v>
      </c>
      <c r="B20" t="s">
        <v>25</v>
      </c>
      <c r="C20" t="str">
        <f>_xlfn.XLOOKUP(B20,Tableau13[ID_Antenne],Tableau13[Province_RDC],"Non répertoriées")</f>
        <v>Non répertoriées</v>
      </c>
      <c r="D20">
        <v>24</v>
      </c>
      <c r="E20" t="str">
        <f>_xlfn.XLOOKUP(B20,Tableau13[ID_Antenne],Tableau13[Technologie],"Non répertoriées")</f>
        <v>Non répertoriées</v>
      </c>
      <c r="F20" t="str">
        <f>_xlfn.XLOOKUP(B20,Tableau13[ID_Antenne],Tableau13[Latitude],"Non répertoriées")</f>
        <v>Non répertoriées</v>
      </c>
      <c r="G20" t="str">
        <f>_xlfn.XLOOKUP(B20,Tableau13[ID_Antenne],Tableau13[Longitude],"Non répertoriées")</f>
        <v>Non répertoriées</v>
      </c>
      <c r="H20" t="s">
        <v>8</v>
      </c>
    </row>
    <row r="21" spans="1:8" x14ac:dyDescent="0.25">
      <c r="A21" s="1">
        <v>45208.073611111111</v>
      </c>
      <c r="B21" t="s">
        <v>18</v>
      </c>
      <c r="C21" s="29" t="str">
        <f>_xlfn.XLOOKUP(B21,Tableau13[ID_Antenne],Tableau13[Province_RDC],"Non répertoriées")</f>
        <v>Lomami</v>
      </c>
      <c r="D21">
        <v>85</v>
      </c>
      <c r="E21" s="31" t="str">
        <f>_xlfn.XLOOKUP(B21,Tableau13[ID_Antenne],Tableau13[Technologie],"Non répertoriées")</f>
        <v>4G</v>
      </c>
      <c r="F21" s="3">
        <f>_xlfn.XLOOKUP(B21,Tableau13[ID_Antenne],Tableau13[Latitude],"Non répertoriées")</f>
        <v>-8.4227860000000003</v>
      </c>
      <c r="G21" s="32">
        <f>_xlfn.XLOOKUP(B21,Tableau13[ID_Antenne],Tableau13[Longitude],"Non répertoriées")</f>
        <v>16.781293000000002</v>
      </c>
      <c r="H21" t="s">
        <v>8</v>
      </c>
    </row>
    <row r="22" spans="1:8" x14ac:dyDescent="0.25">
      <c r="A22" s="1">
        <v>45214.713194444441</v>
      </c>
      <c r="B22" t="s">
        <v>26</v>
      </c>
      <c r="C22" s="29" t="str">
        <f>_xlfn.XLOOKUP(B22,Tableau13[ID_Antenne],Tableau13[Province_RDC],"Non répertoriées")</f>
        <v>Haut-Katanga</v>
      </c>
      <c r="D22">
        <v>25</v>
      </c>
      <c r="E22" s="31" t="str">
        <f>_xlfn.XLOOKUP(B22,Tableau13[ID_Antenne],Tableau13[Technologie],"Non répertoriées")</f>
        <v>3G</v>
      </c>
      <c r="F22" s="3">
        <f>_xlfn.XLOOKUP(B22,Tableau13[ID_Antenne],Tableau13[Latitude],"Non répertoriées")</f>
        <v>0.172153</v>
      </c>
      <c r="G22" s="32">
        <f>_xlfn.XLOOKUP(B22,Tableau13[ID_Antenne],Tableau13[Longitude],"Non répertoriées")</f>
        <v>21.091376</v>
      </c>
      <c r="H22" t="s">
        <v>5</v>
      </c>
    </row>
    <row r="23" spans="1:8" x14ac:dyDescent="0.25">
      <c r="A23" s="1">
        <v>45229.503472222219</v>
      </c>
      <c r="B23" t="s">
        <v>27</v>
      </c>
      <c r="C23" t="str">
        <f>_xlfn.XLOOKUP(B23,Tableau13[ID_Antenne],Tableau13[Province_RDC],"Non répertoriées")</f>
        <v>Non répertoriées</v>
      </c>
      <c r="D23">
        <v>106</v>
      </c>
      <c r="E23" t="str">
        <f>_xlfn.XLOOKUP(B23,Tableau13[ID_Antenne],Tableau13[Technologie],"Non répertoriées")</f>
        <v>Non répertoriées</v>
      </c>
      <c r="F23" t="str">
        <f>_xlfn.XLOOKUP(B23,Tableau13[ID_Antenne],Tableau13[Latitude],"Non répertoriées")</f>
        <v>Non répertoriées</v>
      </c>
      <c r="G23" t="str">
        <f>_xlfn.XLOOKUP(B23,Tableau13[ID_Antenne],Tableau13[Longitude],"Non répertoriées")</f>
        <v>Non répertoriées</v>
      </c>
      <c r="H23" t="s">
        <v>8</v>
      </c>
    </row>
    <row r="24" spans="1:8" x14ac:dyDescent="0.25">
      <c r="A24" s="1">
        <v>45217.411805555559</v>
      </c>
      <c r="B24" t="s">
        <v>28</v>
      </c>
      <c r="C24" t="str">
        <f>_xlfn.XLOOKUP(B24,Tableau13[ID_Antenne],Tableau13[Province_RDC],"Non répertoriées")</f>
        <v>Non répertoriées</v>
      </c>
      <c r="D24">
        <v>92</v>
      </c>
      <c r="E24" t="str">
        <f>_xlfn.XLOOKUP(B24,Tableau13[ID_Antenne],Tableau13[Technologie],"Non répertoriées")</f>
        <v>Non répertoriées</v>
      </c>
      <c r="F24" t="str">
        <f>_xlfn.XLOOKUP(B24,Tableau13[ID_Antenne],Tableau13[Latitude],"Non répertoriées")</f>
        <v>Non répertoriées</v>
      </c>
      <c r="G24" t="str">
        <f>_xlfn.XLOOKUP(B24,Tableau13[ID_Antenne],Tableau13[Longitude],"Non répertoriées")</f>
        <v>Non répertoriées</v>
      </c>
      <c r="H24" t="s">
        <v>10</v>
      </c>
    </row>
    <row r="25" spans="1:8" x14ac:dyDescent="0.25">
      <c r="A25" s="1">
        <v>45220.830555555563</v>
      </c>
      <c r="B25" t="s">
        <v>29</v>
      </c>
      <c r="C25" t="str">
        <f>_xlfn.XLOOKUP(B25,Tableau13[ID_Antenne],Tableau13[Province_RDC],"Non répertoriées")</f>
        <v>Non répertoriées</v>
      </c>
      <c r="D25">
        <v>59</v>
      </c>
      <c r="E25" t="str">
        <f>_xlfn.XLOOKUP(B25,Tableau13[ID_Antenne],Tableau13[Technologie],"Non répertoriées")</f>
        <v>Non répertoriées</v>
      </c>
      <c r="F25" t="str">
        <f>_xlfn.XLOOKUP(B25,Tableau13[ID_Antenne],Tableau13[Latitude],"Non répertoriées")</f>
        <v>Non répertoriées</v>
      </c>
      <c r="G25" t="str">
        <f>_xlfn.XLOOKUP(B25,Tableau13[ID_Antenne],Tableau13[Longitude],"Non répertoriées")</f>
        <v>Non répertoriées</v>
      </c>
      <c r="H25" t="s">
        <v>10</v>
      </c>
    </row>
    <row r="26" spans="1:8" x14ac:dyDescent="0.25">
      <c r="A26" s="1">
        <v>45227.48333333333</v>
      </c>
      <c r="B26" t="s">
        <v>16</v>
      </c>
      <c r="C26" t="str">
        <f>_xlfn.XLOOKUP(B26,Tableau13[ID_Antenne],Tableau13[Province_RDC],"Non répertoriées")</f>
        <v>Non répertoriées</v>
      </c>
      <c r="D26">
        <v>81</v>
      </c>
      <c r="E26" t="str">
        <f>_xlfn.XLOOKUP(B26,Tableau13[ID_Antenne],Tableau13[Technologie],"Non répertoriées")</f>
        <v>Non répertoriées</v>
      </c>
      <c r="F26" t="str">
        <f>_xlfn.XLOOKUP(B26,Tableau13[ID_Antenne],Tableau13[Latitude],"Non répertoriées")</f>
        <v>Non répertoriées</v>
      </c>
      <c r="G26" t="str">
        <f>_xlfn.XLOOKUP(B26,Tableau13[ID_Antenne],Tableau13[Longitude],"Non répertoriées")</f>
        <v>Non répertoriées</v>
      </c>
      <c r="H26" t="s">
        <v>8</v>
      </c>
    </row>
    <row r="27" spans="1:8" x14ac:dyDescent="0.25">
      <c r="A27" s="1">
        <v>45206.919444444437</v>
      </c>
      <c r="B27" t="s">
        <v>30</v>
      </c>
      <c r="C27" s="29" t="str">
        <f>_xlfn.XLOOKUP(B27,Tableau13[ID_Antenne],Tableau13[Province_RDC],"Non répertoriées")</f>
        <v>Sud-Ubangi</v>
      </c>
      <c r="D27">
        <v>13</v>
      </c>
      <c r="E27" s="31" t="str">
        <f>_xlfn.XLOOKUP(B27,Tableau13[ID_Antenne],Tableau13[Technologie],"Non répertoriées")</f>
        <v>5G</v>
      </c>
      <c r="F27" s="3">
        <f>_xlfn.XLOOKUP(B27,Tableau13[ID_Antenne],Tableau13[Latitude],"Non répertoriées")</f>
        <v>-10.56448</v>
      </c>
      <c r="G27" s="32">
        <f>_xlfn.XLOOKUP(B27,Tableau13[ID_Antenne],Tableau13[Longitude],"Non répertoriées")</f>
        <v>19.792876</v>
      </c>
      <c r="H27" t="s">
        <v>8</v>
      </c>
    </row>
    <row r="28" spans="1:8" x14ac:dyDescent="0.25">
      <c r="A28" s="1">
        <v>45201.884722222218</v>
      </c>
      <c r="B28" t="s">
        <v>31</v>
      </c>
      <c r="C28" s="29" t="str">
        <f>_xlfn.XLOOKUP(B28,Tableau13[ID_Antenne],Tableau13[Province_RDC],"Non répertoriées")</f>
        <v>Nord-Kivu</v>
      </c>
      <c r="D28">
        <v>54</v>
      </c>
      <c r="E28" s="31" t="str">
        <f>_xlfn.XLOOKUP(B28,Tableau13[ID_Antenne],Tableau13[Technologie],"Non répertoriées")</f>
        <v>4G</v>
      </c>
      <c r="F28" s="3">
        <f>_xlfn.XLOOKUP(B28,Tableau13[ID_Antenne],Tableau13[Latitude],"Non répertoriées")</f>
        <v>4.6287159999999998</v>
      </c>
      <c r="G28" s="32">
        <f>_xlfn.XLOOKUP(B28,Tableau13[ID_Antenne],Tableau13[Longitude],"Non répertoriées")</f>
        <v>19.407077999999998</v>
      </c>
      <c r="H28" t="s">
        <v>10</v>
      </c>
    </row>
    <row r="29" spans="1:8" x14ac:dyDescent="0.25">
      <c r="A29" s="1">
        <v>45224.378472222219</v>
      </c>
      <c r="B29" t="s">
        <v>7</v>
      </c>
      <c r="C29" t="str">
        <f>_xlfn.XLOOKUP(B29,Tableau13[ID_Antenne],Tableau13[Province_RDC],"Non répertoriées")</f>
        <v>Non répertoriées</v>
      </c>
      <c r="D29">
        <v>53</v>
      </c>
      <c r="E29" t="str">
        <f>_xlfn.XLOOKUP(B29,Tableau13[ID_Antenne],Tableau13[Technologie],"Non répertoriées")</f>
        <v>Non répertoriées</v>
      </c>
      <c r="F29" t="str">
        <f>_xlfn.XLOOKUP(B29,Tableau13[ID_Antenne],Tableau13[Latitude],"Non répertoriées")</f>
        <v>Non répertoriées</v>
      </c>
      <c r="G29" t="str">
        <f>_xlfn.XLOOKUP(B29,Tableau13[ID_Antenne],Tableau13[Longitude],"Non répertoriées")</f>
        <v>Non répertoriées</v>
      </c>
      <c r="H29" t="s">
        <v>10</v>
      </c>
    </row>
    <row r="30" spans="1:8" x14ac:dyDescent="0.25">
      <c r="A30" s="1">
        <v>45227.329861111109</v>
      </c>
      <c r="B30" t="s">
        <v>32</v>
      </c>
      <c r="C30" t="str">
        <f>_xlfn.XLOOKUP(B30,Tableau13[ID_Antenne],Tableau13[Province_RDC],"Non répertoriées")</f>
        <v>Non répertoriées</v>
      </c>
      <c r="D30">
        <v>81</v>
      </c>
      <c r="E30" t="str">
        <f>_xlfn.XLOOKUP(B30,Tableau13[ID_Antenne],Tableau13[Technologie],"Non répertoriées")</f>
        <v>Non répertoriées</v>
      </c>
      <c r="F30" t="str">
        <f>_xlfn.XLOOKUP(B30,Tableau13[ID_Antenne],Tableau13[Latitude],"Non répertoriées")</f>
        <v>Non répertoriées</v>
      </c>
      <c r="G30" t="str">
        <f>_xlfn.XLOOKUP(B30,Tableau13[ID_Antenne],Tableau13[Longitude],"Non répertoriées")</f>
        <v>Non répertoriées</v>
      </c>
      <c r="H30" t="s">
        <v>8</v>
      </c>
    </row>
    <row r="31" spans="1:8" x14ac:dyDescent="0.25">
      <c r="A31" s="1">
        <v>45203.511805555558</v>
      </c>
      <c r="B31" t="s">
        <v>33</v>
      </c>
      <c r="C31" s="29" t="str">
        <f>_xlfn.XLOOKUP(B31,Tableau13[ID_Antenne],Tableau13[Province_RDC],"Non répertoriées")</f>
        <v>Tshopo</v>
      </c>
      <c r="D31">
        <v>64</v>
      </c>
      <c r="E31" s="31" t="str">
        <f>_xlfn.XLOOKUP(B31,Tableau13[ID_Antenne],Tableau13[Technologie],"Non répertoriées")</f>
        <v>3G</v>
      </c>
      <c r="F31" s="3">
        <f>_xlfn.XLOOKUP(B31,Tableau13[ID_Antenne],Tableau13[Latitude],"Non répertoriées")</f>
        <v>0.23583499999999999</v>
      </c>
      <c r="G31" s="32">
        <f>_xlfn.XLOOKUP(B31,Tableau13[ID_Antenne],Tableau13[Longitude],"Non répertoriées")</f>
        <v>24.889558999999998</v>
      </c>
      <c r="H31" t="s">
        <v>10</v>
      </c>
    </row>
    <row r="32" spans="1:8" x14ac:dyDescent="0.25">
      <c r="A32" s="1">
        <v>45214.870138888888</v>
      </c>
      <c r="B32" t="s">
        <v>34</v>
      </c>
      <c r="C32" t="str">
        <f>_xlfn.XLOOKUP(B32,Tableau13[ID_Antenne],Tableau13[Province_RDC],"Non répertoriées")</f>
        <v>Non répertoriées</v>
      </c>
      <c r="D32">
        <v>72</v>
      </c>
      <c r="E32" t="str">
        <f>_xlfn.XLOOKUP(B32,Tableau13[ID_Antenne],Tableau13[Technologie],"Non répertoriées")</f>
        <v>Non répertoriées</v>
      </c>
      <c r="F32" t="str">
        <f>_xlfn.XLOOKUP(B32,Tableau13[ID_Antenne],Tableau13[Latitude],"Non répertoriées")</f>
        <v>Non répertoriées</v>
      </c>
      <c r="G32" t="str">
        <f>_xlfn.XLOOKUP(B32,Tableau13[ID_Antenne],Tableau13[Longitude],"Non répertoriées")</f>
        <v>Non répertoriées</v>
      </c>
      <c r="H32" t="s">
        <v>5</v>
      </c>
    </row>
    <row r="33" spans="1:8" x14ac:dyDescent="0.25">
      <c r="A33" s="1">
        <v>45211.224305555559</v>
      </c>
      <c r="B33" t="s">
        <v>35</v>
      </c>
      <c r="C33" s="29" t="str">
        <f>_xlfn.XLOOKUP(B33,Tableau13[ID_Antenne],Tableau13[Province_RDC],"Non répertoriées")</f>
        <v>Tanganyika</v>
      </c>
      <c r="D33">
        <v>37</v>
      </c>
      <c r="E33" s="31" t="str">
        <f>_xlfn.XLOOKUP(B33,Tableau13[ID_Antenne],Tableau13[Technologie],"Non répertoriées")</f>
        <v>5G</v>
      </c>
      <c r="F33" s="3">
        <f>_xlfn.XLOOKUP(B33,Tableau13[ID_Antenne],Tableau13[Latitude],"Non répertoriées")</f>
        <v>-2.4662510000000002</v>
      </c>
      <c r="G33" s="32">
        <f>_xlfn.XLOOKUP(B33,Tableau13[ID_Antenne],Tableau13[Longitude],"Non répertoriées")</f>
        <v>18.007998000000001</v>
      </c>
      <c r="H33" t="s">
        <v>5</v>
      </c>
    </row>
    <row r="34" spans="1:8" x14ac:dyDescent="0.25">
      <c r="A34" s="1">
        <v>45211.279166666667</v>
      </c>
      <c r="B34" t="s">
        <v>36</v>
      </c>
      <c r="C34" s="29" t="str">
        <f>_xlfn.XLOOKUP(B34,Tableau13[ID_Antenne],Tableau13[Province_RDC],"Non répertoriées")</f>
        <v>Nord-Ubangi</v>
      </c>
      <c r="D34">
        <v>75</v>
      </c>
      <c r="E34" s="31" t="str">
        <f>_xlfn.XLOOKUP(B34,Tableau13[ID_Antenne],Tableau13[Technologie],"Non répertoriées")</f>
        <v>4G</v>
      </c>
      <c r="F34" s="3">
        <f>_xlfn.XLOOKUP(B34,Tableau13[ID_Antenne],Tableau13[Latitude],"Non répertoriées")</f>
        <v>-8.1437910000000002</v>
      </c>
      <c r="G34" s="32">
        <f>_xlfn.XLOOKUP(B34,Tableau13[ID_Antenne],Tableau13[Longitude],"Non répertoriées")</f>
        <v>28.946161</v>
      </c>
      <c r="H34" t="s">
        <v>5</v>
      </c>
    </row>
    <row r="35" spans="1:8" x14ac:dyDescent="0.25">
      <c r="A35" s="1">
        <v>45208.957638888889</v>
      </c>
      <c r="B35" t="s">
        <v>37</v>
      </c>
      <c r="C35" s="29" t="str">
        <f>_xlfn.XLOOKUP(B35,Tableau13[ID_Antenne],Tableau13[Province_RDC],"Non répertoriées")</f>
        <v>Tshopo</v>
      </c>
      <c r="D35">
        <v>115</v>
      </c>
      <c r="E35" s="31" t="str">
        <f>_xlfn.XLOOKUP(B35,Tableau13[ID_Antenne],Tableau13[Technologie],"Non répertoriées")</f>
        <v>3G</v>
      </c>
      <c r="F35" s="3">
        <f>_xlfn.XLOOKUP(B35,Tableau13[ID_Antenne],Tableau13[Latitude],"Non répertoriées")</f>
        <v>-6.1837850000000003</v>
      </c>
      <c r="G35" s="32">
        <f>_xlfn.XLOOKUP(B35,Tableau13[ID_Antenne],Tableau13[Longitude],"Non répertoriées")</f>
        <v>25.138759</v>
      </c>
      <c r="H35" t="s">
        <v>5</v>
      </c>
    </row>
    <row r="36" spans="1:8" x14ac:dyDescent="0.25">
      <c r="A36" s="1">
        <v>45221.836111111108</v>
      </c>
      <c r="B36" t="s">
        <v>38</v>
      </c>
      <c r="C36" s="29" t="str">
        <f>_xlfn.XLOOKUP(B36,Tableau13[ID_Antenne],Tableau13[Province_RDC],"Non répertoriées")</f>
        <v>Kasai</v>
      </c>
      <c r="D36">
        <v>6</v>
      </c>
      <c r="E36" s="31" t="str">
        <f>_xlfn.XLOOKUP(B36,Tableau13[ID_Antenne],Tableau13[Technologie],"Non répertoriées")</f>
        <v>4G</v>
      </c>
      <c r="F36" s="3">
        <f>_xlfn.XLOOKUP(B36,Tableau13[ID_Antenne],Tableau13[Latitude],"Non répertoriées")</f>
        <v>-4.9789079999999997</v>
      </c>
      <c r="G36" s="32">
        <f>_xlfn.XLOOKUP(B36,Tableau13[ID_Antenne],Tableau13[Longitude],"Non répertoriées")</f>
        <v>28.506295000000001</v>
      </c>
      <c r="H36" t="s">
        <v>10</v>
      </c>
    </row>
    <row r="37" spans="1:8" x14ac:dyDescent="0.25">
      <c r="A37" s="1">
        <v>45219.840277777781</v>
      </c>
      <c r="B37" t="s">
        <v>39</v>
      </c>
      <c r="C37" t="str">
        <f>_xlfn.XLOOKUP(B37,Tableau13[ID_Antenne],Tableau13[Province_RDC],"Non répertoriées")</f>
        <v>Non répertoriées</v>
      </c>
      <c r="D37">
        <v>92</v>
      </c>
      <c r="E37" t="str">
        <f>_xlfn.XLOOKUP(B37,Tableau13[ID_Antenne],Tableau13[Technologie],"Non répertoriées")</f>
        <v>Non répertoriées</v>
      </c>
      <c r="F37" t="str">
        <f>_xlfn.XLOOKUP(B37,Tableau13[ID_Antenne],Tableau13[Latitude],"Non répertoriées")</f>
        <v>Non répertoriées</v>
      </c>
      <c r="G37" t="str">
        <f>_xlfn.XLOOKUP(B37,Tableau13[ID_Antenne],Tableau13[Longitude],"Non répertoriées")</f>
        <v>Non répertoriées</v>
      </c>
      <c r="H37" t="s">
        <v>5</v>
      </c>
    </row>
    <row r="38" spans="1:8" x14ac:dyDescent="0.25">
      <c r="A38" s="1">
        <v>45217.96875</v>
      </c>
      <c r="B38" t="s">
        <v>40</v>
      </c>
      <c r="C38" s="29" t="str">
        <f>_xlfn.XLOOKUP(B38,Tableau13[ID_Antenne],Tableau13[Province_RDC],"Non répertoriées")</f>
        <v>Kasai</v>
      </c>
      <c r="D38">
        <v>97</v>
      </c>
      <c r="E38" s="31" t="str">
        <f>_xlfn.XLOOKUP(B38,Tableau13[ID_Antenne],Tableau13[Technologie],"Non répertoriées")</f>
        <v>4G</v>
      </c>
      <c r="F38" s="3">
        <f>_xlfn.XLOOKUP(B38,Tableau13[ID_Antenne],Tableau13[Latitude],"Non répertoriées")</f>
        <v>-10.059846</v>
      </c>
      <c r="G38" s="32">
        <f>_xlfn.XLOOKUP(B38,Tableau13[ID_Antenne],Tableau13[Longitude],"Non répertoriées")</f>
        <v>14.375757999999999</v>
      </c>
      <c r="H38" t="s">
        <v>8</v>
      </c>
    </row>
    <row r="39" spans="1:8" x14ac:dyDescent="0.25">
      <c r="A39" s="1">
        <v>45205.599999999999</v>
      </c>
      <c r="B39" t="s">
        <v>41</v>
      </c>
      <c r="C39" t="str">
        <f>_xlfn.XLOOKUP(B39,Tableau13[ID_Antenne],Tableau13[Province_RDC],"Non répertoriées")</f>
        <v>Non répertoriées</v>
      </c>
      <c r="D39">
        <v>19</v>
      </c>
      <c r="E39" t="str">
        <f>_xlfn.XLOOKUP(B39,Tableau13[ID_Antenne],Tableau13[Technologie],"Non répertoriées")</f>
        <v>Non répertoriées</v>
      </c>
      <c r="F39" t="str">
        <f>_xlfn.XLOOKUP(B39,Tableau13[ID_Antenne],Tableau13[Latitude],"Non répertoriées")</f>
        <v>Non répertoriées</v>
      </c>
      <c r="G39" t="str">
        <f>_xlfn.XLOOKUP(B39,Tableau13[ID_Antenne],Tableau13[Longitude],"Non répertoriées")</f>
        <v>Non répertoriées</v>
      </c>
      <c r="H39" t="s">
        <v>8</v>
      </c>
    </row>
    <row r="40" spans="1:8" x14ac:dyDescent="0.25">
      <c r="A40" s="1">
        <v>45208.863888888889</v>
      </c>
      <c r="B40" t="s">
        <v>42</v>
      </c>
      <c r="C40" s="29" t="str">
        <f>_xlfn.XLOOKUP(B40,Tableau13[ID_Antenne],Tableau13[Province_RDC],"Non répertoriées")</f>
        <v>Kwilu</v>
      </c>
      <c r="D40">
        <v>92</v>
      </c>
      <c r="E40" s="31" t="str">
        <f>_xlfn.XLOOKUP(B40,Tableau13[ID_Antenne],Tableau13[Technologie],"Non répertoriées")</f>
        <v>4G</v>
      </c>
      <c r="F40" s="3">
        <f>_xlfn.XLOOKUP(B40,Tableau13[ID_Antenne],Tableau13[Latitude],"Non répertoriées")</f>
        <v>-0.77432100000000004</v>
      </c>
      <c r="G40" s="32">
        <f>_xlfn.XLOOKUP(B40,Tableau13[ID_Antenne],Tableau13[Longitude],"Non répertoriées")</f>
        <v>18.628658999999999</v>
      </c>
      <c r="H40" t="s">
        <v>5</v>
      </c>
    </row>
    <row r="41" spans="1:8" x14ac:dyDescent="0.25">
      <c r="A41" s="1">
        <v>45217.321527777778</v>
      </c>
      <c r="B41" t="s">
        <v>43</v>
      </c>
      <c r="C41" t="str">
        <f>_xlfn.XLOOKUP(B41,Tableau13[ID_Antenne],Tableau13[Province_RDC],"Non répertoriées")</f>
        <v>Non répertoriées</v>
      </c>
      <c r="D41">
        <v>118</v>
      </c>
      <c r="E41" t="str">
        <f>_xlfn.XLOOKUP(B41,Tableau13[ID_Antenne],Tableau13[Technologie],"Non répertoriées")</f>
        <v>Non répertoriées</v>
      </c>
      <c r="F41" t="str">
        <f>_xlfn.XLOOKUP(B41,Tableau13[ID_Antenne],Tableau13[Latitude],"Non répertoriées")</f>
        <v>Non répertoriées</v>
      </c>
      <c r="G41" t="str">
        <f>_xlfn.XLOOKUP(B41,Tableau13[ID_Antenne],Tableau13[Longitude],"Non répertoriées")</f>
        <v>Non répertoriées</v>
      </c>
      <c r="H41" t="s">
        <v>8</v>
      </c>
    </row>
    <row r="42" spans="1:8" x14ac:dyDescent="0.25">
      <c r="A42" s="1">
        <v>45210.051388888889</v>
      </c>
      <c r="B42" t="s">
        <v>44</v>
      </c>
      <c r="C42" s="29" t="str">
        <f>_xlfn.XLOOKUP(B42,Tableau13[ID_Antenne],Tableau13[Province_RDC],"Non répertoriées")</f>
        <v>Tanganyika</v>
      </c>
      <c r="D42">
        <v>73</v>
      </c>
      <c r="E42" s="31" t="str">
        <f>_xlfn.XLOOKUP(B42,Tableau13[ID_Antenne],Tableau13[Technologie],"Non répertoriées")</f>
        <v>4G</v>
      </c>
      <c r="F42" s="3">
        <f>_xlfn.XLOOKUP(B42,Tableau13[ID_Antenne],Tableau13[Latitude],"Non répertoriées")</f>
        <v>-10.776204</v>
      </c>
      <c r="G42" s="32">
        <f>_xlfn.XLOOKUP(B42,Tableau13[ID_Antenne],Tableau13[Longitude],"Non répertoriées")</f>
        <v>24.672934000000001</v>
      </c>
      <c r="H42" t="s">
        <v>5</v>
      </c>
    </row>
    <row r="43" spans="1:8" x14ac:dyDescent="0.25">
      <c r="A43" s="1">
        <v>45226.07708333333</v>
      </c>
      <c r="B43" t="s">
        <v>45</v>
      </c>
      <c r="C43" s="29" t="str">
        <f>_xlfn.XLOOKUP(B43,Tableau13[ID_Antenne],Tableau13[Province_RDC],"Non répertoriées")</f>
        <v>Sud-Kivu</v>
      </c>
      <c r="D43">
        <v>101</v>
      </c>
      <c r="E43" s="31" t="str">
        <f>_xlfn.XLOOKUP(B43,Tableau13[ID_Antenne],Tableau13[Technologie],"Non répertoriées")</f>
        <v>3G</v>
      </c>
      <c r="F43" s="3">
        <f>_xlfn.XLOOKUP(B43,Tableau13[ID_Antenne],Tableau13[Latitude],"Non répertoriées")</f>
        <v>4.2493650000000001</v>
      </c>
      <c r="G43" s="32">
        <f>_xlfn.XLOOKUP(B43,Tableau13[ID_Antenne],Tableau13[Longitude],"Non répertoriées")</f>
        <v>28.355039999999999</v>
      </c>
      <c r="H43" t="s">
        <v>5</v>
      </c>
    </row>
    <row r="44" spans="1:8" x14ac:dyDescent="0.25">
      <c r="A44" s="1">
        <v>45202.290277777778</v>
      </c>
      <c r="B44" t="s">
        <v>46</v>
      </c>
      <c r="C44" s="29" t="str">
        <f>_xlfn.XLOOKUP(B44,Tableau13[ID_Antenne],Tableau13[Province_RDC],"Non répertoriées")</f>
        <v>Equateur</v>
      </c>
      <c r="D44">
        <v>103</v>
      </c>
      <c r="E44" s="31" t="str">
        <f>_xlfn.XLOOKUP(B44,Tableau13[ID_Antenne],Tableau13[Technologie],"Non répertoriées")</f>
        <v>4G</v>
      </c>
      <c r="F44" s="3">
        <f>_xlfn.XLOOKUP(B44,Tableau13[ID_Antenne],Tableau13[Latitude],"Non répertoriées")</f>
        <v>4.9250049999999996</v>
      </c>
      <c r="G44" s="32">
        <f>_xlfn.XLOOKUP(B44,Tableau13[ID_Antenne],Tableau13[Longitude],"Non répertoriées")</f>
        <v>19.887931999999999</v>
      </c>
      <c r="H44" t="s">
        <v>8</v>
      </c>
    </row>
    <row r="45" spans="1:8" x14ac:dyDescent="0.25">
      <c r="A45" s="1">
        <v>45230.788888888892</v>
      </c>
      <c r="B45" t="s">
        <v>47</v>
      </c>
      <c r="C45" t="str">
        <f>_xlfn.XLOOKUP(B45,Tableau13[ID_Antenne],Tableau13[Province_RDC],"Non répertoriées")</f>
        <v>Non répertoriées</v>
      </c>
      <c r="D45">
        <v>87</v>
      </c>
      <c r="E45" t="str">
        <f>_xlfn.XLOOKUP(B45,Tableau13[ID_Antenne],Tableau13[Technologie],"Non répertoriées")</f>
        <v>Non répertoriées</v>
      </c>
      <c r="F45" t="str">
        <f>_xlfn.XLOOKUP(B45,Tableau13[ID_Antenne],Tableau13[Latitude],"Non répertoriées")</f>
        <v>Non répertoriées</v>
      </c>
      <c r="G45" t="str">
        <f>_xlfn.XLOOKUP(B45,Tableau13[ID_Antenne],Tableau13[Longitude],"Non répertoriées")</f>
        <v>Non répertoriées</v>
      </c>
      <c r="H45" t="s">
        <v>8</v>
      </c>
    </row>
    <row r="46" spans="1:8" x14ac:dyDescent="0.25">
      <c r="A46" s="1">
        <v>45222.425694444442</v>
      </c>
      <c r="B46" t="s">
        <v>48</v>
      </c>
      <c r="C46" t="str">
        <f>_xlfn.XLOOKUP(B46,Tableau13[ID_Antenne],Tableau13[Province_RDC],"Non répertoriées")</f>
        <v>Non répertoriées</v>
      </c>
      <c r="D46">
        <v>48</v>
      </c>
      <c r="E46" t="str">
        <f>_xlfn.XLOOKUP(B46,Tableau13[ID_Antenne],Tableau13[Technologie],"Non répertoriées")</f>
        <v>Non répertoriées</v>
      </c>
      <c r="F46" t="str">
        <f>_xlfn.XLOOKUP(B46,Tableau13[ID_Antenne],Tableau13[Latitude],"Non répertoriées")</f>
        <v>Non répertoriées</v>
      </c>
      <c r="G46" t="str">
        <f>_xlfn.XLOOKUP(B46,Tableau13[ID_Antenne],Tableau13[Longitude],"Non répertoriées")</f>
        <v>Non répertoriées</v>
      </c>
      <c r="H46" t="s">
        <v>5</v>
      </c>
    </row>
    <row r="47" spans="1:8" x14ac:dyDescent="0.25">
      <c r="A47" s="1">
        <v>45220.642361111109</v>
      </c>
      <c r="B47" t="s">
        <v>49</v>
      </c>
      <c r="C47" t="str">
        <f>_xlfn.XLOOKUP(B47,Tableau13[ID_Antenne],Tableau13[Province_RDC],"Non répertoriées")</f>
        <v>Non répertoriées</v>
      </c>
      <c r="D47">
        <v>19</v>
      </c>
      <c r="E47" t="str">
        <f>_xlfn.XLOOKUP(B47,Tableau13[ID_Antenne],Tableau13[Technologie],"Non répertoriées")</f>
        <v>Non répertoriées</v>
      </c>
      <c r="F47" t="str">
        <f>_xlfn.XLOOKUP(B47,Tableau13[ID_Antenne],Tableau13[Latitude],"Non répertoriées")</f>
        <v>Non répertoriées</v>
      </c>
      <c r="G47" t="str">
        <f>_xlfn.XLOOKUP(B47,Tableau13[ID_Antenne],Tableau13[Longitude],"Non répertoriées")</f>
        <v>Non répertoriées</v>
      </c>
      <c r="H47" t="s">
        <v>5</v>
      </c>
    </row>
    <row r="48" spans="1:8" x14ac:dyDescent="0.25">
      <c r="A48" s="1">
        <v>45228.853472222218</v>
      </c>
      <c r="B48" t="s">
        <v>44</v>
      </c>
      <c r="C48" s="29" t="str">
        <f>_xlfn.XLOOKUP(B48,Tableau13[ID_Antenne],Tableau13[Province_RDC],"Non répertoriées")</f>
        <v>Tanganyika</v>
      </c>
      <c r="D48">
        <v>42</v>
      </c>
      <c r="E48" s="31" t="str">
        <f>_xlfn.XLOOKUP(B48,Tableau13[ID_Antenne],Tableau13[Technologie],"Non répertoriées")</f>
        <v>4G</v>
      </c>
      <c r="F48" s="3">
        <f>_xlfn.XLOOKUP(B48,Tableau13[ID_Antenne],Tableau13[Latitude],"Non répertoriées")</f>
        <v>-10.776204</v>
      </c>
      <c r="G48" s="32">
        <f>_xlfn.XLOOKUP(B48,Tableau13[ID_Antenne],Tableau13[Longitude],"Non répertoriées")</f>
        <v>24.672934000000001</v>
      </c>
      <c r="H48" t="s">
        <v>5</v>
      </c>
    </row>
    <row r="49" spans="1:8" x14ac:dyDescent="0.25">
      <c r="A49" s="1">
        <v>45204.338888888888</v>
      </c>
      <c r="B49" t="s">
        <v>50</v>
      </c>
      <c r="C49" t="str">
        <f>_xlfn.XLOOKUP(B49,Tableau13[ID_Antenne],Tableau13[Province_RDC],"Non répertoriées")</f>
        <v>Non répertoriées</v>
      </c>
      <c r="D49">
        <v>60</v>
      </c>
      <c r="E49" t="str">
        <f>_xlfn.XLOOKUP(B49,Tableau13[ID_Antenne],Tableau13[Technologie],"Non répertoriées")</f>
        <v>Non répertoriées</v>
      </c>
      <c r="F49" t="str">
        <f>_xlfn.XLOOKUP(B49,Tableau13[ID_Antenne],Tableau13[Latitude],"Non répertoriées")</f>
        <v>Non répertoriées</v>
      </c>
      <c r="G49" t="str">
        <f>_xlfn.XLOOKUP(B49,Tableau13[ID_Antenne],Tableau13[Longitude],"Non répertoriées")</f>
        <v>Non répertoriées</v>
      </c>
      <c r="H49" t="s">
        <v>5</v>
      </c>
    </row>
    <row r="50" spans="1:8" x14ac:dyDescent="0.25">
      <c r="A50" s="1">
        <v>45207.982638888891</v>
      </c>
      <c r="B50" t="s">
        <v>51</v>
      </c>
      <c r="C50" s="29" t="str">
        <f>_xlfn.XLOOKUP(B50,Tableau13[ID_Antenne],Tableau13[Province_RDC],"Non répertoriées")</f>
        <v>Nord-Kivu</v>
      </c>
      <c r="D50">
        <v>25</v>
      </c>
      <c r="E50" s="31" t="str">
        <f>_xlfn.XLOOKUP(B50,Tableau13[ID_Antenne],Tableau13[Technologie],"Non répertoriées")</f>
        <v>3G</v>
      </c>
      <c r="F50" s="3">
        <f>_xlfn.XLOOKUP(B50,Tableau13[ID_Antenne],Tableau13[Latitude],"Non répertoriées")</f>
        <v>-11.866133</v>
      </c>
      <c r="G50" s="32">
        <f>_xlfn.XLOOKUP(B50,Tableau13[ID_Antenne],Tableau13[Longitude],"Non répertoriées")</f>
        <v>27.068932</v>
      </c>
      <c r="H50" t="s">
        <v>10</v>
      </c>
    </row>
    <row r="51" spans="1:8" x14ac:dyDescent="0.25">
      <c r="A51" s="1">
        <v>45218.635416666657</v>
      </c>
      <c r="B51" t="s">
        <v>52</v>
      </c>
      <c r="C51" t="str">
        <f>_xlfn.XLOOKUP(B51,Tableau13[ID_Antenne],Tableau13[Province_RDC],"Non répertoriées")</f>
        <v>Non répertoriées</v>
      </c>
      <c r="D51">
        <v>17</v>
      </c>
      <c r="E51" t="str">
        <f>_xlfn.XLOOKUP(B51,Tableau13[ID_Antenne],Tableau13[Technologie],"Non répertoriées")</f>
        <v>Non répertoriées</v>
      </c>
      <c r="F51" t="str">
        <f>_xlfn.XLOOKUP(B51,Tableau13[ID_Antenne],Tableau13[Latitude],"Non répertoriées")</f>
        <v>Non répertoriées</v>
      </c>
      <c r="G51" t="str">
        <f>_xlfn.XLOOKUP(B51,Tableau13[ID_Antenne],Tableau13[Longitude],"Non répertoriées")</f>
        <v>Non répertoriées</v>
      </c>
      <c r="H51" t="s">
        <v>10</v>
      </c>
    </row>
    <row r="52" spans="1:8" x14ac:dyDescent="0.25">
      <c r="A52" s="1">
        <v>45225.660416666673</v>
      </c>
      <c r="B52" t="s">
        <v>53</v>
      </c>
      <c r="C52" t="str">
        <f>_xlfn.XLOOKUP(B52,Tableau13[ID_Antenne],Tableau13[Province_RDC],"Non répertoriées")</f>
        <v>Non répertoriées</v>
      </c>
      <c r="D52">
        <v>14</v>
      </c>
      <c r="E52" t="str">
        <f>_xlfn.XLOOKUP(B52,Tableau13[ID_Antenne],Tableau13[Technologie],"Non répertoriées")</f>
        <v>Non répertoriées</v>
      </c>
      <c r="F52" t="str">
        <f>_xlfn.XLOOKUP(B52,Tableau13[ID_Antenne],Tableau13[Latitude],"Non répertoriées")</f>
        <v>Non répertoriées</v>
      </c>
      <c r="G52" t="str">
        <f>_xlfn.XLOOKUP(B52,Tableau13[ID_Antenne],Tableau13[Longitude],"Non répertoriées")</f>
        <v>Non répertoriées</v>
      </c>
      <c r="H52" t="s">
        <v>5</v>
      </c>
    </row>
    <row r="53" spans="1:8" x14ac:dyDescent="0.25">
      <c r="A53" s="1">
        <v>45213.254166666673</v>
      </c>
      <c r="B53" t="s">
        <v>54</v>
      </c>
      <c r="C53" s="29" t="str">
        <f>_xlfn.XLOOKUP(B53,Tableau13[ID_Antenne],Tableau13[Province_RDC],"Non répertoriées")</f>
        <v>Tshuapa</v>
      </c>
      <c r="D53">
        <v>73</v>
      </c>
      <c r="E53" s="31" t="str">
        <f>_xlfn.XLOOKUP(B53,Tableau13[ID_Antenne],Tableau13[Technologie],"Non répertoriées")</f>
        <v>5G</v>
      </c>
      <c r="F53" s="3">
        <f>_xlfn.XLOOKUP(B53,Tableau13[ID_Antenne],Tableau13[Latitude],"Non répertoriées")</f>
        <v>-5.1030600000000002</v>
      </c>
      <c r="G53" s="32">
        <f>_xlfn.XLOOKUP(B53,Tableau13[ID_Antenne],Tableau13[Longitude],"Non répertoriées")</f>
        <v>22.849231</v>
      </c>
      <c r="H53" t="s">
        <v>10</v>
      </c>
    </row>
    <row r="54" spans="1:8" x14ac:dyDescent="0.25">
      <c r="A54" s="1">
        <v>45203.893750000003</v>
      </c>
      <c r="B54" t="s">
        <v>55</v>
      </c>
      <c r="C54" t="str">
        <f>_xlfn.XLOOKUP(B54,Tableau13[ID_Antenne],Tableau13[Province_RDC],"Non répertoriées")</f>
        <v>Non répertoriées</v>
      </c>
      <c r="D54">
        <v>32</v>
      </c>
      <c r="E54" t="str">
        <f>_xlfn.XLOOKUP(B54,Tableau13[ID_Antenne],Tableau13[Technologie],"Non répertoriées")</f>
        <v>Non répertoriées</v>
      </c>
      <c r="F54" t="str">
        <f>_xlfn.XLOOKUP(B54,Tableau13[ID_Antenne],Tableau13[Latitude],"Non répertoriées")</f>
        <v>Non répertoriées</v>
      </c>
      <c r="G54" t="str">
        <f>_xlfn.XLOOKUP(B54,Tableau13[ID_Antenne],Tableau13[Longitude],"Non répertoriées")</f>
        <v>Non répertoriées</v>
      </c>
      <c r="H54" t="s">
        <v>5</v>
      </c>
    </row>
    <row r="55" spans="1:8" x14ac:dyDescent="0.25">
      <c r="A55" s="1">
        <v>45211.55972222222</v>
      </c>
      <c r="B55" t="s">
        <v>39</v>
      </c>
      <c r="C55" t="str">
        <f>_xlfn.XLOOKUP(B55,Tableau13[ID_Antenne],Tableau13[Province_RDC],"Non répertoriées")</f>
        <v>Non répertoriées</v>
      </c>
      <c r="D55">
        <v>69</v>
      </c>
      <c r="E55" t="str">
        <f>_xlfn.XLOOKUP(B55,Tableau13[ID_Antenne],Tableau13[Technologie],"Non répertoriées")</f>
        <v>Non répertoriées</v>
      </c>
      <c r="F55" t="str">
        <f>_xlfn.XLOOKUP(B55,Tableau13[ID_Antenne],Tableau13[Latitude],"Non répertoriées")</f>
        <v>Non répertoriées</v>
      </c>
      <c r="G55" t="str">
        <f>_xlfn.XLOOKUP(B55,Tableau13[ID_Antenne],Tableau13[Longitude],"Non répertoriées")</f>
        <v>Non répertoriées</v>
      </c>
      <c r="H55" t="s">
        <v>8</v>
      </c>
    </row>
    <row r="56" spans="1:8" x14ac:dyDescent="0.25">
      <c r="A56" s="1">
        <v>45214.960416666669</v>
      </c>
      <c r="B56" t="s">
        <v>56</v>
      </c>
      <c r="C56" s="29" t="str">
        <f>_xlfn.XLOOKUP(B56,Tableau13[ID_Antenne],Tableau13[Province_RDC],"Non répertoriées")</f>
        <v>Lualaba</v>
      </c>
      <c r="D56">
        <v>38</v>
      </c>
      <c r="E56" s="31" t="str">
        <f>_xlfn.XLOOKUP(B56,Tableau13[ID_Antenne],Tableau13[Technologie],"Non répertoriées")</f>
        <v>3G</v>
      </c>
      <c r="F56" s="3">
        <f>_xlfn.XLOOKUP(B56,Tableau13[ID_Antenne],Tableau13[Latitude],"Non répertoriées")</f>
        <v>-11.710407999999999</v>
      </c>
      <c r="G56" s="32">
        <f>_xlfn.XLOOKUP(B56,Tableau13[ID_Antenne],Tableau13[Longitude],"Non répertoriées")</f>
        <v>23.741330999999999</v>
      </c>
      <c r="H56" t="s">
        <v>5</v>
      </c>
    </row>
    <row r="57" spans="1:8" x14ac:dyDescent="0.25">
      <c r="A57" s="1">
        <v>45221.861805555563</v>
      </c>
      <c r="B57" t="s">
        <v>57</v>
      </c>
      <c r="C57" s="29" t="str">
        <f>_xlfn.XLOOKUP(B57,Tableau13[ID_Antenne],Tableau13[Province_RDC],"Non répertoriées")</f>
        <v>Tanganyika</v>
      </c>
      <c r="D57">
        <v>21</v>
      </c>
      <c r="E57" s="31" t="str">
        <f>_xlfn.XLOOKUP(B57,Tableau13[ID_Antenne],Tableau13[Technologie],"Non répertoriées")</f>
        <v>5G</v>
      </c>
      <c r="F57" s="3">
        <f>_xlfn.XLOOKUP(B57,Tableau13[ID_Antenne],Tableau13[Latitude],"Non répertoriées")</f>
        <v>-1.864393</v>
      </c>
      <c r="G57" s="32">
        <f>_xlfn.XLOOKUP(B57,Tableau13[ID_Antenne],Tableau13[Longitude],"Non répertoriées")</f>
        <v>21.453434000000001</v>
      </c>
      <c r="H57" t="s">
        <v>8</v>
      </c>
    </row>
    <row r="58" spans="1:8" x14ac:dyDescent="0.25">
      <c r="A58" s="1">
        <v>45203.059027777781</v>
      </c>
      <c r="B58" t="s">
        <v>58</v>
      </c>
      <c r="C58" t="str">
        <f>_xlfn.XLOOKUP(B58,Tableau13[ID_Antenne],Tableau13[Province_RDC],"Non répertoriées")</f>
        <v>Non répertoriées</v>
      </c>
      <c r="D58">
        <v>49</v>
      </c>
      <c r="E58" t="str">
        <f>_xlfn.XLOOKUP(B58,Tableau13[ID_Antenne],Tableau13[Technologie],"Non répertoriées")</f>
        <v>Non répertoriées</v>
      </c>
      <c r="F58" t="str">
        <f>_xlfn.XLOOKUP(B58,Tableau13[ID_Antenne],Tableau13[Latitude],"Non répertoriées")</f>
        <v>Non répertoriées</v>
      </c>
      <c r="G58" t="str">
        <f>_xlfn.XLOOKUP(B58,Tableau13[ID_Antenne],Tableau13[Longitude],"Non répertoriées")</f>
        <v>Non répertoriées</v>
      </c>
      <c r="H58" t="s">
        <v>5</v>
      </c>
    </row>
    <row r="59" spans="1:8" x14ac:dyDescent="0.25">
      <c r="A59" s="1">
        <v>45223.45208333333</v>
      </c>
      <c r="B59" t="s">
        <v>59</v>
      </c>
      <c r="C59" t="str">
        <f>_xlfn.XLOOKUP(B59,Tableau13[ID_Antenne],Tableau13[Province_RDC],"Non répertoriées")</f>
        <v>Non répertoriées</v>
      </c>
      <c r="D59">
        <v>117</v>
      </c>
      <c r="E59" t="str">
        <f>_xlfn.XLOOKUP(B59,Tableau13[ID_Antenne],Tableau13[Technologie],"Non répertoriées")</f>
        <v>Non répertoriées</v>
      </c>
      <c r="F59" t="str">
        <f>_xlfn.XLOOKUP(B59,Tableau13[ID_Antenne],Tableau13[Latitude],"Non répertoriées")</f>
        <v>Non répertoriées</v>
      </c>
      <c r="G59" t="str">
        <f>_xlfn.XLOOKUP(B59,Tableau13[ID_Antenne],Tableau13[Longitude],"Non répertoriées")</f>
        <v>Non répertoriées</v>
      </c>
      <c r="H59" t="s">
        <v>10</v>
      </c>
    </row>
    <row r="60" spans="1:8" x14ac:dyDescent="0.25">
      <c r="A60" s="1">
        <v>45227.135416666657</v>
      </c>
      <c r="B60" t="s">
        <v>60</v>
      </c>
      <c r="C60" t="str">
        <f>_xlfn.XLOOKUP(B60,Tableau13[ID_Antenne],Tableau13[Province_RDC],"Non répertoriées")</f>
        <v>Non répertoriées</v>
      </c>
      <c r="D60">
        <v>13</v>
      </c>
      <c r="E60" t="str">
        <f>_xlfn.XLOOKUP(B60,Tableau13[ID_Antenne],Tableau13[Technologie],"Non répertoriées")</f>
        <v>Non répertoriées</v>
      </c>
      <c r="F60" t="str">
        <f>_xlfn.XLOOKUP(B60,Tableau13[ID_Antenne],Tableau13[Latitude],"Non répertoriées")</f>
        <v>Non répertoriées</v>
      </c>
      <c r="G60" t="str">
        <f>_xlfn.XLOOKUP(B60,Tableau13[ID_Antenne],Tableau13[Longitude],"Non répertoriées")</f>
        <v>Non répertoriées</v>
      </c>
      <c r="H60" t="s">
        <v>8</v>
      </c>
    </row>
    <row r="61" spans="1:8" x14ac:dyDescent="0.25">
      <c r="A61" s="1">
        <v>45206.273611111108</v>
      </c>
      <c r="B61" t="s">
        <v>61</v>
      </c>
      <c r="C61" t="str">
        <f>_xlfn.XLOOKUP(B61,Tableau13[ID_Antenne],Tableau13[Province_RDC],"Non répertoriées")</f>
        <v>Non répertoriées</v>
      </c>
      <c r="D61">
        <v>117</v>
      </c>
      <c r="E61" t="str">
        <f>_xlfn.XLOOKUP(B61,Tableau13[ID_Antenne],Tableau13[Technologie],"Non répertoriées")</f>
        <v>Non répertoriées</v>
      </c>
      <c r="F61" t="str">
        <f>_xlfn.XLOOKUP(B61,Tableau13[ID_Antenne],Tableau13[Latitude],"Non répertoriées")</f>
        <v>Non répertoriées</v>
      </c>
      <c r="G61" t="str">
        <f>_xlfn.XLOOKUP(B61,Tableau13[ID_Antenne],Tableau13[Longitude],"Non répertoriées")</f>
        <v>Non répertoriées</v>
      </c>
      <c r="H61" t="s">
        <v>10</v>
      </c>
    </row>
    <row r="62" spans="1:8" x14ac:dyDescent="0.25">
      <c r="A62" s="1">
        <v>45214.185416666667</v>
      </c>
      <c r="B62" t="s">
        <v>52</v>
      </c>
      <c r="C62" t="str">
        <f>_xlfn.XLOOKUP(B62,Tableau13[ID_Antenne],Tableau13[Province_RDC],"Non répertoriées")</f>
        <v>Non répertoriées</v>
      </c>
      <c r="D62">
        <v>36</v>
      </c>
      <c r="E62" t="str">
        <f>_xlfn.XLOOKUP(B62,Tableau13[ID_Antenne],Tableau13[Technologie],"Non répertoriées")</f>
        <v>Non répertoriées</v>
      </c>
      <c r="F62" t="str">
        <f>_xlfn.XLOOKUP(B62,Tableau13[ID_Antenne],Tableau13[Latitude],"Non répertoriées")</f>
        <v>Non répertoriées</v>
      </c>
      <c r="G62" t="str">
        <f>_xlfn.XLOOKUP(B62,Tableau13[ID_Antenne],Tableau13[Longitude],"Non répertoriées")</f>
        <v>Non répertoriées</v>
      </c>
      <c r="H62" t="s">
        <v>8</v>
      </c>
    </row>
    <row r="63" spans="1:8" x14ac:dyDescent="0.25">
      <c r="A63" s="1">
        <v>45205.353472222218</v>
      </c>
      <c r="B63" t="s">
        <v>62</v>
      </c>
      <c r="C63" s="29" t="str">
        <f>_xlfn.XLOOKUP(B63,Tableau13[ID_Antenne],Tableau13[Province_RDC],"Non répertoriées")</f>
        <v>Tanganyika</v>
      </c>
      <c r="D63">
        <v>52</v>
      </c>
      <c r="E63" s="31" t="str">
        <f>_xlfn.XLOOKUP(B63,Tableau13[ID_Antenne],Tableau13[Technologie],"Non répertoriées")</f>
        <v>3G</v>
      </c>
      <c r="F63" s="3">
        <f>_xlfn.XLOOKUP(B63,Tableau13[ID_Antenne],Tableau13[Latitude],"Non répertoriées")</f>
        <v>3.1362930000000002</v>
      </c>
      <c r="G63" s="32">
        <f>_xlfn.XLOOKUP(B63,Tableau13[ID_Antenne],Tableau13[Longitude],"Non répertoriées")</f>
        <v>16.190878000000001</v>
      </c>
      <c r="H63" t="s">
        <v>8</v>
      </c>
    </row>
    <row r="64" spans="1:8" x14ac:dyDescent="0.25">
      <c r="A64" s="1">
        <v>45207.102777777778</v>
      </c>
      <c r="B64" t="s">
        <v>63</v>
      </c>
      <c r="C64" s="29" t="str">
        <f>_xlfn.XLOOKUP(B64,Tableau13[ID_Antenne],Tableau13[Province_RDC],"Non répertoriées")</f>
        <v>Kwilu</v>
      </c>
      <c r="D64">
        <v>41</v>
      </c>
      <c r="E64" s="31" t="str">
        <f>_xlfn.XLOOKUP(B64,Tableau13[ID_Antenne],Tableau13[Technologie],"Non répertoriées")</f>
        <v>3G</v>
      </c>
      <c r="F64" s="3">
        <f>_xlfn.XLOOKUP(B64,Tableau13[ID_Antenne],Tableau13[Latitude],"Non répertoriées")</f>
        <v>-5.9021970000000001</v>
      </c>
      <c r="G64" s="32">
        <f>_xlfn.XLOOKUP(B64,Tableau13[ID_Antenne],Tableau13[Longitude],"Non répertoriées")</f>
        <v>20.551169999999999</v>
      </c>
      <c r="H64" t="s">
        <v>5</v>
      </c>
    </row>
    <row r="65" spans="1:8" x14ac:dyDescent="0.25">
      <c r="A65" s="1">
        <v>45225.712500000001</v>
      </c>
      <c r="B65" t="s">
        <v>64</v>
      </c>
      <c r="C65" s="29" t="str">
        <f>_xlfn.XLOOKUP(B65,Tableau13[ID_Antenne],Tableau13[Province_RDC],"Non répertoriées")</f>
        <v>Haut-Katanga</v>
      </c>
      <c r="D65">
        <v>25</v>
      </c>
      <c r="E65" s="31" t="str">
        <f>_xlfn.XLOOKUP(B65,Tableau13[ID_Antenne],Tableau13[Technologie],"Non répertoriées")</f>
        <v>4G</v>
      </c>
      <c r="F65" s="3">
        <f>_xlfn.XLOOKUP(B65,Tableau13[ID_Antenne],Tableau13[Latitude],"Non répertoriées")</f>
        <v>-5.5445120000000001</v>
      </c>
      <c r="G65" s="32">
        <f>_xlfn.XLOOKUP(B65,Tableau13[ID_Antenne],Tableau13[Longitude],"Non répertoriées")</f>
        <v>27.547335</v>
      </c>
      <c r="H65" t="s">
        <v>5</v>
      </c>
    </row>
    <row r="66" spans="1:8" x14ac:dyDescent="0.25">
      <c r="A66" s="1">
        <v>45201.856944444437</v>
      </c>
      <c r="B66" t="s">
        <v>65</v>
      </c>
      <c r="C66" t="str">
        <f>_xlfn.XLOOKUP(B66,Tableau13[ID_Antenne],Tableau13[Province_RDC],"Non répertoriées")</f>
        <v>Non répertoriées</v>
      </c>
      <c r="D66">
        <v>61</v>
      </c>
      <c r="E66" t="str">
        <f>_xlfn.XLOOKUP(B66,Tableau13[ID_Antenne],Tableau13[Technologie],"Non répertoriées")</f>
        <v>Non répertoriées</v>
      </c>
      <c r="F66" t="str">
        <f>_xlfn.XLOOKUP(B66,Tableau13[ID_Antenne],Tableau13[Latitude],"Non répertoriées")</f>
        <v>Non répertoriées</v>
      </c>
      <c r="G66" t="str">
        <f>_xlfn.XLOOKUP(B66,Tableau13[ID_Antenne],Tableau13[Longitude],"Non répertoriées")</f>
        <v>Non répertoriées</v>
      </c>
      <c r="H66" t="s">
        <v>5</v>
      </c>
    </row>
    <row r="67" spans="1:8" x14ac:dyDescent="0.25">
      <c r="A67" s="1">
        <v>45226.003472222219</v>
      </c>
      <c r="B67" t="s">
        <v>6</v>
      </c>
      <c r="C67" t="str">
        <f>_xlfn.XLOOKUP(B67,Tableau13[ID_Antenne],Tableau13[Province_RDC],"Non répertoriées")</f>
        <v>Non répertoriées</v>
      </c>
      <c r="D67">
        <v>111</v>
      </c>
      <c r="E67" t="str">
        <f>_xlfn.XLOOKUP(B67,Tableau13[ID_Antenne],Tableau13[Technologie],"Non répertoriées")</f>
        <v>Non répertoriées</v>
      </c>
      <c r="F67" t="str">
        <f>_xlfn.XLOOKUP(B67,Tableau13[ID_Antenne],Tableau13[Latitude],"Non répertoriées")</f>
        <v>Non répertoriées</v>
      </c>
      <c r="G67" t="str">
        <f>_xlfn.XLOOKUP(B67,Tableau13[ID_Antenne],Tableau13[Longitude],"Non répertoriées")</f>
        <v>Non répertoriées</v>
      </c>
      <c r="H67" t="s">
        <v>5</v>
      </c>
    </row>
    <row r="68" spans="1:8" x14ac:dyDescent="0.25">
      <c r="A68" s="1">
        <v>45229.298611111109</v>
      </c>
      <c r="B68" t="s">
        <v>66</v>
      </c>
      <c r="C68" t="str">
        <f>_xlfn.XLOOKUP(B68,Tableau13[ID_Antenne],Tableau13[Province_RDC],"Non répertoriées")</f>
        <v>Non répertoriées</v>
      </c>
      <c r="D68">
        <v>74</v>
      </c>
      <c r="E68" t="str">
        <f>_xlfn.XLOOKUP(B68,Tableau13[ID_Antenne],Tableau13[Technologie],"Non répertoriées")</f>
        <v>Non répertoriées</v>
      </c>
      <c r="F68" t="str">
        <f>_xlfn.XLOOKUP(B68,Tableau13[ID_Antenne],Tableau13[Latitude],"Non répertoriées")</f>
        <v>Non répertoriées</v>
      </c>
      <c r="G68" t="str">
        <f>_xlfn.XLOOKUP(B68,Tableau13[ID_Antenne],Tableau13[Longitude],"Non répertoriées")</f>
        <v>Non répertoriées</v>
      </c>
      <c r="H68" t="s">
        <v>10</v>
      </c>
    </row>
    <row r="69" spans="1:8" x14ac:dyDescent="0.25">
      <c r="A69" s="1">
        <v>45213.645833333343</v>
      </c>
      <c r="B69" t="s">
        <v>67</v>
      </c>
      <c r="C69" s="29" t="str">
        <f>_xlfn.XLOOKUP(B69,Tableau13[ID_Antenne],Tableau13[Province_RDC],"Non répertoriées")</f>
        <v>Haut-Katanga</v>
      </c>
      <c r="D69">
        <v>95</v>
      </c>
      <c r="E69" s="31" t="str">
        <f>_xlfn.XLOOKUP(B69,Tableau13[ID_Antenne],Tableau13[Technologie],"Non répertoriées")</f>
        <v>5G</v>
      </c>
      <c r="F69" s="3">
        <f>_xlfn.XLOOKUP(B69,Tableau13[ID_Antenne],Tableau13[Latitude],"Non répertoriées")</f>
        <v>-2.9417719999999998</v>
      </c>
      <c r="G69" s="32">
        <f>_xlfn.XLOOKUP(B69,Tableau13[ID_Antenne],Tableau13[Longitude],"Non répertoriées")</f>
        <v>18.587305000000001</v>
      </c>
      <c r="H69" t="s">
        <v>5</v>
      </c>
    </row>
    <row r="70" spans="1:8" x14ac:dyDescent="0.25">
      <c r="A70" s="1">
        <v>45206.539583333331</v>
      </c>
      <c r="B70" t="s">
        <v>68</v>
      </c>
      <c r="C70" s="29" t="str">
        <f>_xlfn.XLOOKUP(B70,Tableau13[ID_Antenne],Tableau13[Province_RDC],"Non répertoriées")</f>
        <v>Kwango</v>
      </c>
      <c r="D70">
        <v>43</v>
      </c>
      <c r="E70" s="31" t="str">
        <f>_xlfn.XLOOKUP(B70,Tableau13[ID_Antenne],Tableau13[Technologie],"Non répertoriées")</f>
        <v>4G</v>
      </c>
      <c r="F70" s="3">
        <f>_xlfn.XLOOKUP(B70,Tableau13[ID_Antenne],Tableau13[Latitude],"Non répertoriées")</f>
        <v>-10.963041</v>
      </c>
      <c r="G70" s="32">
        <f>_xlfn.XLOOKUP(B70,Tableau13[ID_Antenne],Tableau13[Longitude],"Non répertoriées")</f>
        <v>12.269857</v>
      </c>
      <c r="H70" t="s">
        <v>5</v>
      </c>
    </row>
    <row r="71" spans="1:8" x14ac:dyDescent="0.25">
      <c r="A71" s="1">
        <v>45201.224999999999</v>
      </c>
      <c r="B71" t="s">
        <v>69</v>
      </c>
      <c r="C71" s="29" t="str">
        <f>_xlfn.XLOOKUP(B71,Tableau13[ID_Antenne],Tableau13[Province_RDC],"Non répertoriées")</f>
        <v>Nord-Kivu</v>
      </c>
      <c r="D71">
        <v>83</v>
      </c>
      <c r="E71" s="31" t="str">
        <f>_xlfn.XLOOKUP(B71,Tableau13[ID_Antenne],Tableau13[Technologie],"Non répertoriées")</f>
        <v>5G</v>
      </c>
      <c r="F71" s="3">
        <f>_xlfn.XLOOKUP(B71,Tableau13[ID_Antenne],Tableau13[Latitude],"Non répertoriées")</f>
        <v>0.82868600000000003</v>
      </c>
      <c r="G71" s="32">
        <f>_xlfn.XLOOKUP(B71,Tableau13[ID_Antenne],Tableau13[Longitude],"Non répertoriées")</f>
        <v>26.958843999999999</v>
      </c>
      <c r="H71" t="s">
        <v>8</v>
      </c>
    </row>
    <row r="72" spans="1:8" x14ac:dyDescent="0.25">
      <c r="A72" s="1">
        <v>45200.511111111111</v>
      </c>
      <c r="B72" t="s">
        <v>70</v>
      </c>
      <c r="C72" t="str">
        <f>_xlfn.XLOOKUP(B72,Tableau13[ID_Antenne],Tableau13[Province_RDC],"Non répertoriées")</f>
        <v>Non répertoriées</v>
      </c>
      <c r="D72">
        <v>108</v>
      </c>
      <c r="E72" t="str">
        <f>_xlfn.XLOOKUP(B72,Tableau13[ID_Antenne],Tableau13[Technologie],"Non répertoriées")</f>
        <v>Non répertoriées</v>
      </c>
      <c r="F72" t="str">
        <f>_xlfn.XLOOKUP(B72,Tableau13[ID_Antenne],Tableau13[Latitude],"Non répertoriées")</f>
        <v>Non répertoriées</v>
      </c>
      <c r="G72" t="str">
        <f>_xlfn.XLOOKUP(B72,Tableau13[ID_Antenne],Tableau13[Longitude],"Non répertoriées")</f>
        <v>Non répertoriées</v>
      </c>
      <c r="H72" t="s">
        <v>10</v>
      </c>
    </row>
    <row r="73" spans="1:8" x14ac:dyDescent="0.25">
      <c r="A73" s="1">
        <v>45229.595833333333</v>
      </c>
      <c r="B73" t="s">
        <v>30</v>
      </c>
      <c r="C73" s="29" t="str">
        <f>_xlfn.XLOOKUP(B73,Tableau13[ID_Antenne],Tableau13[Province_RDC],"Non répertoriées")</f>
        <v>Sud-Ubangi</v>
      </c>
      <c r="D73">
        <v>88</v>
      </c>
      <c r="E73" s="31" t="str">
        <f>_xlfn.XLOOKUP(B73,Tableau13[ID_Antenne],Tableau13[Technologie],"Non répertoriées")</f>
        <v>5G</v>
      </c>
      <c r="F73" s="3">
        <f>_xlfn.XLOOKUP(B73,Tableau13[ID_Antenne],Tableau13[Latitude],"Non répertoriées")</f>
        <v>-10.56448</v>
      </c>
      <c r="G73" s="32">
        <f>_xlfn.XLOOKUP(B73,Tableau13[ID_Antenne],Tableau13[Longitude],"Non répertoriées")</f>
        <v>19.792876</v>
      </c>
      <c r="H73" t="s">
        <v>10</v>
      </c>
    </row>
    <row r="74" spans="1:8" x14ac:dyDescent="0.25">
      <c r="A74" s="1">
        <v>45213.948611111111</v>
      </c>
      <c r="B74" t="s">
        <v>71</v>
      </c>
      <c r="C74" s="29" t="str">
        <f>_xlfn.XLOOKUP(B74,Tableau13[ID_Antenne],Tableau13[Province_RDC],"Non répertoriées")</f>
        <v>Sankuru</v>
      </c>
      <c r="D74">
        <v>72</v>
      </c>
      <c r="E74" s="31" t="str">
        <f>_xlfn.XLOOKUP(B74,Tableau13[ID_Antenne],Tableau13[Technologie],"Non répertoriées")</f>
        <v>4G</v>
      </c>
      <c r="F74" s="3">
        <f>_xlfn.XLOOKUP(B74,Tableau13[ID_Antenne],Tableau13[Latitude],"Non répertoriées")</f>
        <v>-2.7140689999999998</v>
      </c>
      <c r="G74" s="32">
        <f>_xlfn.XLOOKUP(B74,Tableau13[ID_Antenne],Tableau13[Longitude],"Non répertoriées")</f>
        <v>22.222104000000002</v>
      </c>
      <c r="H74" t="s">
        <v>8</v>
      </c>
    </row>
    <row r="75" spans="1:8" x14ac:dyDescent="0.25">
      <c r="A75" s="1">
        <v>45225.737500000003</v>
      </c>
      <c r="B75" t="s">
        <v>72</v>
      </c>
      <c r="C75" t="str">
        <f>_xlfn.XLOOKUP(B75,Tableau13[ID_Antenne],Tableau13[Province_RDC],"Non répertoriées")</f>
        <v>Non répertoriées</v>
      </c>
      <c r="D75">
        <v>6</v>
      </c>
      <c r="E75" t="str">
        <f>_xlfn.XLOOKUP(B75,Tableau13[ID_Antenne],Tableau13[Technologie],"Non répertoriées")</f>
        <v>Non répertoriées</v>
      </c>
      <c r="F75" t="str">
        <f>_xlfn.XLOOKUP(B75,Tableau13[ID_Antenne],Tableau13[Latitude],"Non répertoriées")</f>
        <v>Non répertoriées</v>
      </c>
      <c r="G75" t="str">
        <f>_xlfn.XLOOKUP(B75,Tableau13[ID_Antenne],Tableau13[Longitude],"Non répertoriées")</f>
        <v>Non répertoriées</v>
      </c>
      <c r="H75" t="s">
        <v>8</v>
      </c>
    </row>
    <row r="76" spans="1:8" x14ac:dyDescent="0.25">
      <c r="A76" s="1">
        <v>45222.631249999999</v>
      </c>
      <c r="B76" t="s">
        <v>73</v>
      </c>
      <c r="C76" s="29" t="str">
        <f>_xlfn.XLOOKUP(B76,Tableau13[ID_Antenne],Tableau13[Province_RDC],"Non répertoriées")</f>
        <v>Tanganyika</v>
      </c>
      <c r="D76">
        <v>90</v>
      </c>
      <c r="E76" s="31" t="str">
        <f>_xlfn.XLOOKUP(B76,Tableau13[ID_Antenne],Tableau13[Technologie],"Non répertoriées")</f>
        <v>3G</v>
      </c>
      <c r="F76" s="3">
        <f>_xlfn.XLOOKUP(B76,Tableau13[ID_Antenne],Tableau13[Latitude],"Non répertoriées")</f>
        <v>-2.099631</v>
      </c>
      <c r="G76" s="32">
        <f>_xlfn.XLOOKUP(B76,Tableau13[ID_Antenne],Tableau13[Longitude],"Non répertoriées")</f>
        <v>13.974640000000001</v>
      </c>
      <c r="H76" t="s">
        <v>5</v>
      </c>
    </row>
    <row r="77" spans="1:8" x14ac:dyDescent="0.25">
      <c r="A77" s="1">
        <v>45206.384027777778</v>
      </c>
      <c r="B77" t="s">
        <v>74</v>
      </c>
      <c r="C77" t="str">
        <f>_xlfn.XLOOKUP(B77,Tableau13[ID_Antenne],Tableau13[Province_RDC],"Non répertoriées")</f>
        <v>Non répertoriées</v>
      </c>
      <c r="D77">
        <v>109</v>
      </c>
      <c r="E77" t="str">
        <f>_xlfn.XLOOKUP(B77,Tableau13[ID_Antenne],Tableau13[Technologie],"Non répertoriées")</f>
        <v>Non répertoriées</v>
      </c>
      <c r="F77" t="str">
        <f>_xlfn.XLOOKUP(B77,Tableau13[ID_Antenne],Tableau13[Latitude],"Non répertoriées")</f>
        <v>Non répertoriées</v>
      </c>
      <c r="G77" t="str">
        <f>_xlfn.XLOOKUP(B77,Tableau13[ID_Antenne],Tableau13[Longitude],"Non répertoriées")</f>
        <v>Non répertoriées</v>
      </c>
      <c r="H77" t="s">
        <v>10</v>
      </c>
    </row>
    <row r="78" spans="1:8" x14ac:dyDescent="0.25">
      <c r="A78" s="1">
        <v>45230.067361111112</v>
      </c>
      <c r="B78" t="s">
        <v>75</v>
      </c>
      <c r="C78" t="str">
        <f>_xlfn.XLOOKUP(B78,Tableau13[ID_Antenne],Tableau13[Province_RDC],"Non répertoriées")</f>
        <v>Non répertoriées</v>
      </c>
      <c r="D78">
        <v>75</v>
      </c>
      <c r="E78" t="str">
        <f>_xlfn.XLOOKUP(B78,Tableau13[ID_Antenne],Tableau13[Technologie],"Non répertoriées")</f>
        <v>Non répertoriées</v>
      </c>
      <c r="F78" t="str">
        <f>_xlfn.XLOOKUP(B78,Tableau13[ID_Antenne],Tableau13[Latitude],"Non répertoriées")</f>
        <v>Non répertoriées</v>
      </c>
      <c r="G78" t="str">
        <f>_xlfn.XLOOKUP(B78,Tableau13[ID_Antenne],Tableau13[Longitude],"Non répertoriées")</f>
        <v>Non répertoriées</v>
      </c>
      <c r="H78" t="s">
        <v>5</v>
      </c>
    </row>
    <row r="79" spans="1:8" x14ac:dyDescent="0.25">
      <c r="A79" s="1">
        <v>45223.710416666669</v>
      </c>
      <c r="B79" t="s">
        <v>76</v>
      </c>
      <c r="C79" t="str">
        <f>_xlfn.XLOOKUP(B79,Tableau13[ID_Antenne],Tableau13[Province_RDC],"Non répertoriées")</f>
        <v>Non répertoriées</v>
      </c>
      <c r="D79">
        <v>43</v>
      </c>
      <c r="E79" t="str">
        <f>_xlfn.XLOOKUP(B79,Tableau13[ID_Antenne],Tableau13[Technologie],"Non répertoriées")</f>
        <v>Non répertoriées</v>
      </c>
      <c r="F79" t="str">
        <f>_xlfn.XLOOKUP(B79,Tableau13[ID_Antenne],Tableau13[Latitude],"Non répertoriées")</f>
        <v>Non répertoriées</v>
      </c>
      <c r="G79" t="str">
        <f>_xlfn.XLOOKUP(B79,Tableau13[ID_Antenne],Tableau13[Longitude],"Non répertoriées")</f>
        <v>Non répertoriées</v>
      </c>
      <c r="H79" t="s">
        <v>8</v>
      </c>
    </row>
    <row r="80" spans="1:8" x14ac:dyDescent="0.25">
      <c r="A80" s="1">
        <v>45223.418749999997</v>
      </c>
      <c r="B80" t="s">
        <v>77</v>
      </c>
      <c r="C80" s="29" t="str">
        <f>_xlfn.XLOOKUP(B80,Tableau13[ID_Antenne],Tableau13[Province_RDC],"Non répertoriées")</f>
        <v>Haut-Katanga</v>
      </c>
      <c r="D80">
        <v>89</v>
      </c>
      <c r="E80" s="31" t="str">
        <f>_xlfn.XLOOKUP(B80,Tableau13[ID_Antenne],Tableau13[Technologie],"Non répertoriées")</f>
        <v>3G</v>
      </c>
      <c r="F80" s="3">
        <f>_xlfn.XLOOKUP(B80,Tableau13[ID_Antenne],Tableau13[Latitude],"Non répertoriées")</f>
        <v>4.4712560000000003</v>
      </c>
      <c r="G80" s="32">
        <f>_xlfn.XLOOKUP(B80,Tableau13[ID_Antenne],Tableau13[Longitude],"Non répertoriées")</f>
        <v>27.107028</v>
      </c>
      <c r="H80" t="s">
        <v>5</v>
      </c>
    </row>
    <row r="81" spans="1:8" x14ac:dyDescent="0.25">
      <c r="A81" s="1">
        <v>45201.770833333343</v>
      </c>
      <c r="B81" t="s">
        <v>41</v>
      </c>
      <c r="C81" t="str">
        <f>_xlfn.XLOOKUP(B81,Tableau13[ID_Antenne],Tableau13[Province_RDC],"Non répertoriées")</f>
        <v>Non répertoriées</v>
      </c>
      <c r="D81">
        <v>18</v>
      </c>
      <c r="E81" t="str">
        <f>_xlfn.XLOOKUP(B81,Tableau13[ID_Antenne],Tableau13[Technologie],"Non répertoriées")</f>
        <v>Non répertoriées</v>
      </c>
      <c r="F81" t="str">
        <f>_xlfn.XLOOKUP(B81,Tableau13[ID_Antenne],Tableau13[Latitude],"Non répertoriées")</f>
        <v>Non répertoriées</v>
      </c>
      <c r="G81" t="str">
        <f>_xlfn.XLOOKUP(B81,Tableau13[ID_Antenne],Tableau13[Longitude],"Non répertoriées")</f>
        <v>Non répertoriées</v>
      </c>
      <c r="H81" t="s">
        <v>10</v>
      </c>
    </row>
    <row r="82" spans="1:8" x14ac:dyDescent="0.25">
      <c r="A82" s="1">
        <v>45216.673611111109</v>
      </c>
      <c r="B82" t="s">
        <v>78</v>
      </c>
      <c r="C82" s="29" t="str">
        <f>_xlfn.XLOOKUP(B82,Tableau13[ID_Antenne],Tableau13[Province_RDC],"Non répertoriées")</f>
        <v>Sud-Ubangi</v>
      </c>
      <c r="D82">
        <v>117</v>
      </c>
      <c r="E82" s="31" t="str">
        <f>_xlfn.XLOOKUP(B82,Tableau13[ID_Antenne],Tableau13[Technologie],"Non répertoriées")</f>
        <v>5G</v>
      </c>
      <c r="F82" s="3">
        <f>_xlfn.XLOOKUP(B82,Tableau13[ID_Antenne],Tableau13[Latitude],"Non répertoriées")</f>
        <v>-12.141233</v>
      </c>
      <c r="G82" s="32">
        <f>_xlfn.XLOOKUP(B82,Tableau13[ID_Antenne],Tableau13[Longitude],"Non répertoriées")</f>
        <v>15.179043999999999</v>
      </c>
      <c r="H82" t="s">
        <v>5</v>
      </c>
    </row>
    <row r="83" spans="1:8" x14ac:dyDescent="0.25">
      <c r="A83" s="1">
        <v>45201.670138888891</v>
      </c>
      <c r="B83" t="s">
        <v>79</v>
      </c>
      <c r="C83" t="str">
        <f>_xlfn.XLOOKUP(B83,Tableau13[ID_Antenne],Tableau13[Province_RDC],"Non répertoriées")</f>
        <v>Non répertoriées</v>
      </c>
      <c r="D83">
        <v>22</v>
      </c>
      <c r="E83" t="str">
        <f>_xlfn.XLOOKUP(B83,Tableau13[ID_Antenne],Tableau13[Technologie],"Non répertoriées")</f>
        <v>Non répertoriées</v>
      </c>
      <c r="F83" t="str">
        <f>_xlfn.XLOOKUP(B83,Tableau13[ID_Antenne],Tableau13[Latitude],"Non répertoriées")</f>
        <v>Non répertoriées</v>
      </c>
      <c r="G83" t="str">
        <f>_xlfn.XLOOKUP(B83,Tableau13[ID_Antenne],Tableau13[Longitude],"Non répertoriées")</f>
        <v>Non répertoriées</v>
      </c>
      <c r="H83" t="s">
        <v>10</v>
      </c>
    </row>
    <row r="84" spans="1:8" x14ac:dyDescent="0.25">
      <c r="A84" s="1">
        <v>45227.211111111108</v>
      </c>
      <c r="B84" t="s">
        <v>80</v>
      </c>
      <c r="C84" t="str">
        <f>_xlfn.XLOOKUP(B84,Tableau13[ID_Antenne],Tableau13[Province_RDC],"Non répertoriées")</f>
        <v>Non répertoriées</v>
      </c>
      <c r="D84">
        <v>38</v>
      </c>
      <c r="E84" t="str">
        <f>_xlfn.XLOOKUP(B84,Tableau13[ID_Antenne],Tableau13[Technologie],"Non répertoriées")</f>
        <v>Non répertoriées</v>
      </c>
      <c r="F84" t="str">
        <f>_xlfn.XLOOKUP(B84,Tableau13[ID_Antenne],Tableau13[Latitude],"Non répertoriées")</f>
        <v>Non répertoriées</v>
      </c>
      <c r="G84" t="str">
        <f>_xlfn.XLOOKUP(B84,Tableau13[ID_Antenne],Tableau13[Longitude],"Non répertoriées")</f>
        <v>Non répertoriées</v>
      </c>
      <c r="H84" t="s">
        <v>5</v>
      </c>
    </row>
    <row r="85" spans="1:8" x14ac:dyDescent="0.25">
      <c r="A85" s="1">
        <v>45219.113194444442</v>
      </c>
      <c r="B85" t="s">
        <v>81</v>
      </c>
      <c r="C85" s="29" t="str">
        <f>_xlfn.XLOOKUP(B85,Tableau13[ID_Antenne],Tableau13[Province_RDC],"Non répertoriées")</f>
        <v>Kwango</v>
      </c>
      <c r="D85">
        <v>19</v>
      </c>
      <c r="E85" s="31" t="str">
        <f>_xlfn.XLOOKUP(B85,Tableau13[ID_Antenne],Tableau13[Technologie],"Non répertoriées")</f>
        <v>3G</v>
      </c>
      <c r="F85" s="3">
        <f>_xlfn.XLOOKUP(B85,Tableau13[ID_Antenne],Tableau13[Latitude],"Non répertoriées")</f>
        <v>-9.7712979999999998</v>
      </c>
      <c r="G85" s="32">
        <f>_xlfn.XLOOKUP(B85,Tableau13[ID_Antenne],Tableau13[Longitude],"Non répertoriées")</f>
        <v>19.827895999999999</v>
      </c>
      <c r="H85" t="s">
        <v>5</v>
      </c>
    </row>
    <row r="86" spans="1:8" x14ac:dyDescent="0.25">
      <c r="A86" s="1">
        <v>45227.309027777781</v>
      </c>
      <c r="B86" t="s">
        <v>82</v>
      </c>
      <c r="C86" s="29" t="str">
        <f>_xlfn.XLOOKUP(B86,Tableau13[ID_Antenne],Tableau13[Province_RDC],"Non répertoriées")</f>
        <v>Sud-Ubangi</v>
      </c>
      <c r="D86">
        <v>118</v>
      </c>
      <c r="E86" s="31" t="str">
        <f>_xlfn.XLOOKUP(B86,Tableau13[ID_Antenne],Tableau13[Technologie],"Non répertoriées")</f>
        <v>4G</v>
      </c>
      <c r="F86" s="3">
        <f>_xlfn.XLOOKUP(B86,Tableau13[ID_Antenne],Tableau13[Latitude],"Non répertoriées")</f>
        <v>-10.914952</v>
      </c>
      <c r="G86" s="32">
        <f>_xlfn.XLOOKUP(B86,Tableau13[ID_Antenne],Tableau13[Longitude],"Non répertoriées")</f>
        <v>26.409648000000001</v>
      </c>
      <c r="H86" t="s">
        <v>10</v>
      </c>
    </row>
    <row r="87" spans="1:8" x14ac:dyDescent="0.25">
      <c r="A87" s="1">
        <v>45203.760416666657</v>
      </c>
      <c r="B87" t="s">
        <v>83</v>
      </c>
      <c r="C87" s="29" t="str">
        <f>_xlfn.XLOOKUP(B87,Tableau13[ID_Antenne],Tableau13[Province_RDC],"Non répertoriées")</f>
        <v>Nord-Ubangi</v>
      </c>
      <c r="D87">
        <v>18</v>
      </c>
      <c r="E87" s="31" t="str">
        <f>_xlfn.XLOOKUP(B87,Tableau13[ID_Antenne],Tableau13[Technologie],"Non répertoriées")</f>
        <v>5G</v>
      </c>
      <c r="F87" s="3">
        <f>_xlfn.XLOOKUP(B87,Tableau13[ID_Antenne],Tableau13[Latitude],"Non répertoriées")</f>
        <v>0.94539899999999999</v>
      </c>
      <c r="G87" s="32">
        <f>_xlfn.XLOOKUP(B87,Tableau13[ID_Antenne],Tableau13[Longitude],"Non répertoriées")</f>
        <v>14.401821999999999</v>
      </c>
      <c r="H87" t="s">
        <v>10</v>
      </c>
    </row>
    <row r="88" spans="1:8" x14ac:dyDescent="0.25">
      <c r="A88" s="1">
        <v>45218.793055555558</v>
      </c>
      <c r="B88" t="s">
        <v>84</v>
      </c>
      <c r="C88" t="str">
        <f>_xlfn.XLOOKUP(B88,Tableau13[ID_Antenne],Tableau13[Province_RDC],"Non répertoriées")</f>
        <v>Non répertoriées</v>
      </c>
      <c r="D88">
        <v>100</v>
      </c>
      <c r="E88" t="str">
        <f>_xlfn.XLOOKUP(B88,Tableau13[ID_Antenne],Tableau13[Technologie],"Non répertoriées")</f>
        <v>Non répertoriées</v>
      </c>
      <c r="F88" t="str">
        <f>_xlfn.XLOOKUP(B88,Tableau13[ID_Antenne],Tableau13[Latitude],"Non répertoriées")</f>
        <v>Non répertoriées</v>
      </c>
      <c r="G88" t="str">
        <f>_xlfn.XLOOKUP(B88,Tableau13[ID_Antenne],Tableau13[Longitude],"Non répertoriées")</f>
        <v>Non répertoriées</v>
      </c>
      <c r="H88" t="s">
        <v>10</v>
      </c>
    </row>
    <row r="89" spans="1:8" x14ac:dyDescent="0.25">
      <c r="A89" s="1">
        <v>45219.101388888892</v>
      </c>
      <c r="B89" t="s">
        <v>85</v>
      </c>
      <c r="C89" s="29" t="str">
        <f>_xlfn.XLOOKUP(B89,Tableau13[ID_Antenne],Tableau13[Province_RDC],"Non répertoriées")</f>
        <v>Ituri</v>
      </c>
      <c r="D89">
        <v>75</v>
      </c>
      <c r="E89" s="31" t="str">
        <f>_xlfn.XLOOKUP(B89,Tableau13[ID_Antenne],Tableau13[Technologie],"Non répertoriées")</f>
        <v>3G</v>
      </c>
      <c r="F89" s="3">
        <f>_xlfn.XLOOKUP(B89,Tableau13[ID_Antenne],Tableau13[Latitude],"Non répertoriées")</f>
        <v>-7.0076900000000002</v>
      </c>
      <c r="G89" s="32">
        <f>_xlfn.XLOOKUP(B89,Tableau13[ID_Antenne],Tableau13[Longitude],"Non répertoriées")</f>
        <v>27.367121999999998</v>
      </c>
      <c r="H89" t="s">
        <v>5</v>
      </c>
    </row>
    <row r="90" spans="1:8" x14ac:dyDescent="0.25">
      <c r="A90" s="1">
        <v>45221.775000000001</v>
      </c>
      <c r="B90" t="s">
        <v>86</v>
      </c>
      <c r="C90" s="29" t="str">
        <f>_xlfn.XLOOKUP(B90,Tableau13[ID_Antenne],Tableau13[Province_RDC],"Non répertoriées")</f>
        <v>Mongala</v>
      </c>
      <c r="D90">
        <v>24</v>
      </c>
      <c r="E90" s="31" t="str">
        <f>_xlfn.XLOOKUP(B90,Tableau13[ID_Antenne],Tableau13[Technologie],"Non répertoriées")</f>
        <v>5G</v>
      </c>
      <c r="F90" s="3">
        <f>_xlfn.XLOOKUP(B90,Tableau13[ID_Antenne],Tableau13[Latitude],"Non répertoriées")</f>
        <v>-11.514188000000001</v>
      </c>
      <c r="G90" s="32">
        <f>_xlfn.XLOOKUP(B90,Tableau13[ID_Antenne],Tableau13[Longitude],"Non répertoriées")</f>
        <v>15.971181</v>
      </c>
      <c r="H90" t="s">
        <v>5</v>
      </c>
    </row>
    <row r="91" spans="1:8" x14ac:dyDescent="0.25">
      <c r="A91" s="1">
        <v>45216.457638888889</v>
      </c>
      <c r="B91" t="s">
        <v>87</v>
      </c>
      <c r="C91" s="29" t="str">
        <f>_xlfn.XLOOKUP(B91,Tableau13[ID_Antenne],Tableau13[Province_RDC],"Non répertoriées")</f>
        <v>Kasai-Central</v>
      </c>
      <c r="D91">
        <v>39</v>
      </c>
      <c r="E91" s="31" t="str">
        <f>_xlfn.XLOOKUP(B91,Tableau13[ID_Antenne],Tableau13[Technologie],"Non répertoriées")</f>
        <v>4G</v>
      </c>
      <c r="F91" s="3">
        <f>_xlfn.XLOOKUP(B91,Tableau13[ID_Antenne],Tableau13[Latitude],"Non répertoriées")</f>
        <v>-9.5266249999999992</v>
      </c>
      <c r="G91" s="32">
        <f>_xlfn.XLOOKUP(B91,Tableau13[ID_Antenne],Tableau13[Longitude],"Non répertoriées")</f>
        <v>27.889690999999999</v>
      </c>
      <c r="H91" t="s">
        <v>5</v>
      </c>
    </row>
    <row r="92" spans="1:8" x14ac:dyDescent="0.25">
      <c r="A92" s="1">
        <v>45208.279166666667</v>
      </c>
      <c r="B92" t="s">
        <v>88</v>
      </c>
      <c r="C92" s="29" t="str">
        <f>_xlfn.XLOOKUP(B92,Tableau13[ID_Antenne],Tableau13[Province_RDC],"Non répertoriées")</f>
        <v>Nord-Ubangi</v>
      </c>
      <c r="D92">
        <v>41</v>
      </c>
      <c r="E92" s="31" t="str">
        <f>_xlfn.XLOOKUP(B92,Tableau13[ID_Antenne],Tableau13[Technologie],"Non répertoriées")</f>
        <v>5G</v>
      </c>
      <c r="F92" s="3">
        <f>_xlfn.XLOOKUP(B92,Tableau13[ID_Antenne],Tableau13[Latitude],"Non répertoriées")</f>
        <v>-9.3066320000000005</v>
      </c>
      <c r="G92" s="32">
        <f>_xlfn.XLOOKUP(B92,Tableau13[ID_Antenne],Tableau13[Longitude],"Non répertoriées")</f>
        <v>20.470889</v>
      </c>
      <c r="H92" t="s">
        <v>8</v>
      </c>
    </row>
    <row r="93" spans="1:8" x14ac:dyDescent="0.25">
      <c r="A93" s="1">
        <v>45222.427083333343</v>
      </c>
      <c r="B93" t="s">
        <v>89</v>
      </c>
      <c r="C93" s="29" t="str">
        <f>_xlfn.XLOOKUP(B93,Tableau13[ID_Antenne],Tableau13[Province_RDC],"Non répertoriées")</f>
        <v>Bas-Uele</v>
      </c>
      <c r="D93">
        <v>82</v>
      </c>
      <c r="E93" s="31" t="str">
        <f>_xlfn.XLOOKUP(B93,Tableau13[ID_Antenne],Tableau13[Technologie],"Non répertoriées")</f>
        <v>3G</v>
      </c>
      <c r="F93" s="3">
        <f>_xlfn.XLOOKUP(B93,Tableau13[ID_Antenne],Tableau13[Latitude],"Non répertoriées")</f>
        <v>-4.4697000000000001E-2</v>
      </c>
      <c r="G93" s="32">
        <f>_xlfn.XLOOKUP(B93,Tableau13[ID_Antenne],Tableau13[Longitude],"Non répertoriées")</f>
        <v>22.943373000000001</v>
      </c>
      <c r="H93" t="s">
        <v>5</v>
      </c>
    </row>
    <row r="94" spans="1:8" x14ac:dyDescent="0.25">
      <c r="A94" s="1">
        <v>45208.505555555559</v>
      </c>
      <c r="B94" t="s">
        <v>90</v>
      </c>
      <c r="C94" t="str">
        <f>_xlfn.XLOOKUP(B94,Tableau13[ID_Antenne],Tableau13[Province_RDC],"Non répertoriées")</f>
        <v>Non répertoriées</v>
      </c>
      <c r="D94">
        <v>31</v>
      </c>
      <c r="E94" t="str">
        <f>_xlfn.XLOOKUP(B94,Tableau13[ID_Antenne],Tableau13[Technologie],"Non répertoriées")</f>
        <v>Non répertoriées</v>
      </c>
      <c r="F94" t="str">
        <f>_xlfn.XLOOKUP(B94,Tableau13[ID_Antenne],Tableau13[Latitude],"Non répertoriées")</f>
        <v>Non répertoriées</v>
      </c>
      <c r="G94" t="str">
        <f>_xlfn.XLOOKUP(B94,Tableau13[ID_Antenne],Tableau13[Longitude],"Non répertoriées")</f>
        <v>Non répertoriées</v>
      </c>
      <c r="H94" t="s">
        <v>10</v>
      </c>
    </row>
    <row r="95" spans="1:8" x14ac:dyDescent="0.25">
      <c r="A95" s="1">
        <v>45221.84652777778</v>
      </c>
      <c r="B95" t="s">
        <v>91</v>
      </c>
      <c r="C95" s="29" t="str">
        <f>_xlfn.XLOOKUP(B95,Tableau13[ID_Antenne],Tableau13[Province_RDC],"Non répertoriées")</f>
        <v>Sud-Kivu</v>
      </c>
      <c r="D95">
        <v>96</v>
      </c>
      <c r="E95" s="31" t="str">
        <f>_xlfn.XLOOKUP(B95,Tableau13[ID_Antenne],Tableau13[Technologie],"Non répertoriées")</f>
        <v>3G</v>
      </c>
      <c r="F95" s="3">
        <f>_xlfn.XLOOKUP(B95,Tableau13[ID_Antenne],Tableau13[Latitude],"Non répertoriées")</f>
        <v>-5.2526849999999996</v>
      </c>
      <c r="G95" s="32">
        <f>_xlfn.XLOOKUP(B95,Tableau13[ID_Antenne],Tableau13[Longitude],"Non répertoriées")</f>
        <v>12.374528</v>
      </c>
      <c r="H95" t="s">
        <v>10</v>
      </c>
    </row>
    <row r="96" spans="1:8" x14ac:dyDescent="0.25">
      <c r="A96" s="1">
        <v>45214.457638888889</v>
      </c>
      <c r="B96" t="s">
        <v>92</v>
      </c>
      <c r="C96" s="29" t="str">
        <f>_xlfn.XLOOKUP(B96,Tableau13[ID_Antenne],Tableau13[Province_RDC],"Non répertoriées")</f>
        <v>Sud-Ubangi</v>
      </c>
      <c r="D96">
        <v>48</v>
      </c>
      <c r="E96" s="31" t="str">
        <f>_xlfn.XLOOKUP(B96,Tableau13[ID_Antenne],Tableau13[Technologie],"Non répertoriées")</f>
        <v>5G</v>
      </c>
      <c r="F96" s="3">
        <f>_xlfn.XLOOKUP(B96,Tableau13[ID_Antenne],Tableau13[Latitude],"Non répertoriées")</f>
        <v>-9.3652239999999995</v>
      </c>
      <c r="G96" s="32">
        <f>_xlfn.XLOOKUP(B96,Tableau13[ID_Antenne],Tableau13[Longitude],"Non répertoriées")</f>
        <v>22.593423999999999</v>
      </c>
      <c r="H96" t="s">
        <v>10</v>
      </c>
    </row>
    <row r="97" spans="1:8" x14ac:dyDescent="0.25">
      <c r="A97" s="1">
        <v>45224.083333333343</v>
      </c>
      <c r="B97" t="s">
        <v>93</v>
      </c>
      <c r="C97" t="str">
        <f>_xlfn.XLOOKUP(B97,Tableau13[ID_Antenne],Tableau13[Province_RDC],"Non répertoriées")</f>
        <v>Non répertoriées</v>
      </c>
      <c r="D97">
        <v>31</v>
      </c>
      <c r="E97" t="str">
        <f>_xlfn.XLOOKUP(B97,Tableau13[ID_Antenne],Tableau13[Technologie],"Non répertoriées")</f>
        <v>Non répertoriées</v>
      </c>
      <c r="F97" t="str">
        <f>_xlfn.XLOOKUP(B97,Tableau13[ID_Antenne],Tableau13[Latitude],"Non répertoriées")</f>
        <v>Non répertoriées</v>
      </c>
      <c r="G97" t="str">
        <f>_xlfn.XLOOKUP(B97,Tableau13[ID_Antenne],Tableau13[Longitude],"Non répertoriées")</f>
        <v>Non répertoriées</v>
      </c>
      <c r="H97" t="s">
        <v>5</v>
      </c>
    </row>
    <row r="98" spans="1:8" x14ac:dyDescent="0.25">
      <c r="A98" s="1">
        <v>45214.816666666673</v>
      </c>
      <c r="B98" t="s">
        <v>94</v>
      </c>
      <c r="C98" t="str">
        <f>_xlfn.XLOOKUP(B98,Tableau13[ID_Antenne],Tableau13[Province_RDC],"Non répertoriées")</f>
        <v>Non répertoriées</v>
      </c>
      <c r="D98">
        <v>92</v>
      </c>
      <c r="E98" t="str">
        <f>_xlfn.XLOOKUP(B98,Tableau13[ID_Antenne],Tableau13[Technologie],"Non répertoriées")</f>
        <v>Non répertoriées</v>
      </c>
      <c r="F98" t="str">
        <f>_xlfn.XLOOKUP(B98,Tableau13[ID_Antenne],Tableau13[Latitude],"Non répertoriées")</f>
        <v>Non répertoriées</v>
      </c>
      <c r="G98" t="str">
        <f>_xlfn.XLOOKUP(B98,Tableau13[ID_Antenne],Tableau13[Longitude],"Non répertoriées")</f>
        <v>Non répertoriées</v>
      </c>
      <c r="H98" t="s">
        <v>10</v>
      </c>
    </row>
    <row r="99" spans="1:8" x14ac:dyDescent="0.25">
      <c r="A99" s="1">
        <v>45230.004861111112</v>
      </c>
      <c r="B99" t="s">
        <v>95</v>
      </c>
      <c r="C99" s="29" t="str">
        <f>_xlfn.XLOOKUP(B99,Tableau13[ID_Antenne],Tableau13[Province_RDC],"Non répertoriées")</f>
        <v>Lualaba</v>
      </c>
      <c r="D99">
        <v>58</v>
      </c>
      <c r="E99" s="31" t="str">
        <f>_xlfn.XLOOKUP(B99,Tableau13[ID_Antenne],Tableau13[Technologie],"Non répertoriées")</f>
        <v>4G</v>
      </c>
      <c r="F99" s="3">
        <f>_xlfn.XLOOKUP(B99,Tableau13[ID_Antenne],Tableau13[Latitude],"Non répertoriées")</f>
        <v>-7.4608439999999998</v>
      </c>
      <c r="G99" s="32">
        <f>_xlfn.XLOOKUP(B99,Tableau13[ID_Antenne],Tableau13[Longitude],"Non répertoriées")</f>
        <v>23.268619999999999</v>
      </c>
      <c r="H99" t="s">
        <v>5</v>
      </c>
    </row>
    <row r="100" spans="1:8" x14ac:dyDescent="0.25">
      <c r="A100" s="1">
        <v>45228.34097222222</v>
      </c>
      <c r="B100" t="s">
        <v>96</v>
      </c>
      <c r="C100" t="str">
        <f>_xlfn.XLOOKUP(B100,Tableau13[ID_Antenne],Tableau13[Province_RDC],"Non répertoriées")</f>
        <v>Non répertoriées</v>
      </c>
      <c r="D100">
        <v>118</v>
      </c>
      <c r="E100" t="str">
        <f>_xlfn.XLOOKUP(B100,Tableau13[ID_Antenne],Tableau13[Technologie],"Non répertoriées")</f>
        <v>Non répertoriées</v>
      </c>
      <c r="F100" t="str">
        <f>_xlfn.XLOOKUP(B100,Tableau13[ID_Antenne],Tableau13[Latitude],"Non répertoriées")</f>
        <v>Non répertoriées</v>
      </c>
      <c r="G100" t="str">
        <f>_xlfn.XLOOKUP(B100,Tableau13[ID_Antenne],Tableau13[Longitude],"Non répertoriées")</f>
        <v>Non répertoriées</v>
      </c>
      <c r="H100" t="s">
        <v>10</v>
      </c>
    </row>
    <row r="101" spans="1:8" x14ac:dyDescent="0.25">
      <c r="A101" s="1">
        <v>45218.334722222222</v>
      </c>
      <c r="B101" t="s">
        <v>97</v>
      </c>
      <c r="C101" t="str">
        <f>_xlfn.XLOOKUP(B101,Tableau13[ID_Antenne],Tableau13[Province_RDC],"Non répertoriées")</f>
        <v>Non répertoriées</v>
      </c>
      <c r="D101">
        <v>85</v>
      </c>
      <c r="E101" t="str">
        <f>_xlfn.XLOOKUP(B101,Tableau13[ID_Antenne],Tableau13[Technologie],"Non répertoriées")</f>
        <v>Non répertoriées</v>
      </c>
      <c r="F101" t="str">
        <f>_xlfn.XLOOKUP(B101,Tableau13[ID_Antenne],Tableau13[Latitude],"Non répertoriées")</f>
        <v>Non répertoriées</v>
      </c>
      <c r="G101" t="str">
        <f>_xlfn.XLOOKUP(B101,Tableau13[ID_Antenne],Tableau13[Longitude],"Non répertoriées")</f>
        <v>Non répertoriées</v>
      </c>
      <c r="H101" t="s">
        <v>10</v>
      </c>
    </row>
    <row r="102" spans="1:8" x14ac:dyDescent="0.25">
      <c r="A102" s="1">
        <v>45203.810416666667</v>
      </c>
      <c r="B102" t="s">
        <v>98</v>
      </c>
      <c r="C102" t="str">
        <f>_xlfn.XLOOKUP(B102,Tableau13[ID_Antenne],Tableau13[Province_RDC],"Non répertoriées")</f>
        <v>Non répertoriées</v>
      </c>
      <c r="D102">
        <v>78</v>
      </c>
      <c r="E102" t="str">
        <f>_xlfn.XLOOKUP(B102,Tableau13[ID_Antenne],Tableau13[Technologie],"Non répertoriées")</f>
        <v>Non répertoriées</v>
      </c>
      <c r="F102" t="str">
        <f>_xlfn.XLOOKUP(B102,Tableau13[ID_Antenne],Tableau13[Latitude],"Non répertoriées")</f>
        <v>Non répertoriées</v>
      </c>
      <c r="G102" t="str">
        <f>_xlfn.XLOOKUP(B102,Tableau13[ID_Antenne],Tableau13[Longitude],"Non répertoriées")</f>
        <v>Non répertoriées</v>
      </c>
      <c r="H102" t="s">
        <v>10</v>
      </c>
    </row>
    <row r="103" spans="1:8" x14ac:dyDescent="0.25">
      <c r="A103" s="1">
        <v>45211.993055555547</v>
      </c>
      <c r="B103" t="s">
        <v>99</v>
      </c>
      <c r="C103" t="str">
        <f>_xlfn.XLOOKUP(B103,Tableau13[ID_Antenne],Tableau13[Province_RDC],"Non répertoriées")</f>
        <v>Non répertoriées</v>
      </c>
      <c r="D103">
        <v>29</v>
      </c>
      <c r="E103" t="str">
        <f>_xlfn.XLOOKUP(B103,Tableau13[ID_Antenne],Tableau13[Technologie],"Non répertoriées")</f>
        <v>Non répertoriées</v>
      </c>
      <c r="F103" t="str">
        <f>_xlfn.XLOOKUP(B103,Tableau13[ID_Antenne],Tableau13[Latitude],"Non répertoriées")</f>
        <v>Non répertoriées</v>
      </c>
      <c r="G103" t="str">
        <f>_xlfn.XLOOKUP(B103,Tableau13[ID_Antenne],Tableau13[Longitude],"Non répertoriées")</f>
        <v>Non répertoriées</v>
      </c>
      <c r="H103" t="s">
        <v>8</v>
      </c>
    </row>
    <row r="104" spans="1:8" x14ac:dyDescent="0.25">
      <c r="A104" s="1">
        <v>45210.568055555559</v>
      </c>
      <c r="B104" t="s">
        <v>100</v>
      </c>
      <c r="C104" s="29" t="str">
        <f>_xlfn.XLOOKUP(B104,Tableau13[ID_Antenne],Tableau13[Province_RDC],"Non répertoriées")</f>
        <v>Kinshasa</v>
      </c>
      <c r="D104">
        <v>96</v>
      </c>
      <c r="E104" s="31" t="str">
        <f>_xlfn.XLOOKUP(B104,Tableau13[ID_Antenne],Tableau13[Technologie],"Non répertoriées")</f>
        <v>5G</v>
      </c>
      <c r="F104" s="3">
        <f>_xlfn.XLOOKUP(B104,Tableau13[ID_Antenne],Tableau13[Latitude],"Non répertoriées")</f>
        <v>-5.4126279999999998</v>
      </c>
      <c r="G104" s="32">
        <f>_xlfn.XLOOKUP(B104,Tableau13[ID_Antenne],Tableau13[Longitude],"Non répertoriées")</f>
        <v>25.498235999999999</v>
      </c>
      <c r="H104" t="s">
        <v>5</v>
      </c>
    </row>
    <row r="105" spans="1:8" x14ac:dyDescent="0.25">
      <c r="A105" s="1">
        <v>45216.14166666667</v>
      </c>
      <c r="B105" t="s">
        <v>101</v>
      </c>
      <c r="C105" s="29" t="str">
        <f>_xlfn.XLOOKUP(B105,Tableau13[ID_Antenne],Tableau13[Province_RDC],"Non répertoriées")</f>
        <v>Nord-Kivu</v>
      </c>
      <c r="D105">
        <v>94</v>
      </c>
      <c r="E105" s="31" t="str">
        <f>_xlfn.XLOOKUP(B105,Tableau13[ID_Antenne],Tableau13[Technologie],"Non répertoriées")</f>
        <v>3G</v>
      </c>
      <c r="F105" s="3">
        <f>_xlfn.XLOOKUP(B105,Tableau13[ID_Antenne],Tableau13[Latitude],"Non répertoriées")</f>
        <v>1.8103860000000001</v>
      </c>
      <c r="G105" s="32">
        <f>_xlfn.XLOOKUP(B105,Tableau13[ID_Antenne],Tableau13[Longitude],"Non répertoriées")</f>
        <v>15.175582</v>
      </c>
      <c r="H105" t="s">
        <v>5</v>
      </c>
    </row>
    <row r="106" spans="1:8" x14ac:dyDescent="0.25">
      <c r="A106" s="1">
        <v>45228.758333333331</v>
      </c>
      <c r="B106" t="s">
        <v>102</v>
      </c>
      <c r="C106" t="str">
        <f>_xlfn.XLOOKUP(B106,Tableau13[ID_Antenne],Tableau13[Province_RDC],"Non répertoriées")</f>
        <v>Non répertoriées</v>
      </c>
      <c r="D106">
        <v>54</v>
      </c>
      <c r="E106" t="str">
        <f>_xlfn.XLOOKUP(B106,Tableau13[ID_Antenne],Tableau13[Technologie],"Non répertoriées")</f>
        <v>Non répertoriées</v>
      </c>
      <c r="F106" t="str">
        <f>_xlfn.XLOOKUP(B106,Tableau13[ID_Antenne],Tableau13[Latitude],"Non répertoriées")</f>
        <v>Non répertoriées</v>
      </c>
      <c r="G106" t="str">
        <f>_xlfn.XLOOKUP(B106,Tableau13[ID_Antenne],Tableau13[Longitude],"Non répertoriées")</f>
        <v>Non répertoriées</v>
      </c>
      <c r="H106" t="s">
        <v>5</v>
      </c>
    </row>
    <row r="107" spans="1:8" x14ac:dyDescent="0.25">
      <c r="A107" s="1">
        <v>45208.072916666657</v>
      </c>
      <c r="B107" t="s">
        <v>103</v>
      </c>
      <c r="C107" s="29" t="str">
        <f>_xlfn.XLOOKUP(B107,Tableau13[ID_Antenne],Tableau13[Province_RDC],"Non répertoriées")</f>
        <v>Nord-Kivu</v>
      </c>
      <c r="D107">
        <v>68</v>
      </c>
      <c r="E107" s="31" t="str">
        <f>_xlfn.XLOOKUP(B107,Tableau13[ID_Antenne],Tableau13[Technologie],"Non répertoriées")</f>
        <v>3G</v>
      </c>
      <c r="F107" s="3">
        <f>_xlfn.XLOOKUP(B107,Tableau13[ID_Antenne],Tableau13[Latitude],"Non répertoriées")</f>
        <v>1.017161</v>
      </c>
      <c r="G107" s="32">
        <f>_xlfn.XLOOKUP(B107,Tableau13[ID_Antenne],Tableau13[Longitude],"Non répertoriées")</f>
        <v>16.519689</v>
      </c>
      <c r="H107" t="s">
        <v>5</v>
      </c>
    </row>
    <row r="108" spans="1:8" x14ac:dyDescent="0.25">
      <c r="A108" s="1">
        <v>45213.022916666669</v>
      </c>
      <c r="B108" t="s">
        <v>12</v>
      </c>
      <c r="C108" s="29" t="str">
        <f>_xlfn.XLOOKUP(B108,Tableau13[ID_Antenne],Tableau13[Province_RDC],"Non répertoriées")</f>
        <v>Kongo-Central</v>
      </c>
      <c r="D108">
        <v>56</v>
      </c>
      <c r="E108" s="31" t="str">
        <f>_xlfn.XLOOKUP(B108,Tableau13[ID_Antenne],Tableau13[Technologie],"Non répertoriées")</f>
        <v>5G</v>
      </c>
      <c r="F108" s="3">
        <f>_xlfn.XLOOKUP(B108,Tableau13[ID_Antenne],Tableau13[Latitude],"Non répertoriées")</f>
        <v>-2.8211520000000001</v>
      </c>
      <c r="G108" s="32">
        <f>_xlfn.XLOOKUP(B108,Tableau13[ID_Antenne],Tableau13[Longitude],"Non répertoriées")</f>
        <v>20.651419000000001</v>
      </c>
      <c r="H108" t="s">
        <v>10</v>
      </c>
    </row>
    <row r="109" spans="1:8" x14ac:dyDescent="0.25">
      <c r="A109" s="1">
        <v>45229.738194444442</v>
      </c>
      <c r="B109" t="s">
        <v>104</v>
      </c>
      <c r="C109" s="29" t="str">
        <f>_xlfn.XLOOKUP(B109,Tableau13[ID_Antenne],Tableau13[Province_RDC],"Non répertoriées")</f>
        <v>Lomami</v>
      </c>
      <c r="D109">
        <v>36</v>
      </c>
      <c r="E109" s="31" t="str">
        <f>_xlfn.XLOOKUP(B109,Tableau13[ID_Antenne],Tableau13[Technologie],"Non répertoriées")</f>
        <v>5G</v>
      </c>
      <c r="F109" s="3">
        <f>_xlfn.XLOOKUP(B109,Tableau13[ID_Antenne],Tableau13[Latitude],"Non répertoriées")</f>
        <v>-11.218453999999999</v>
      </c>
      <c r="G109" s="32">
        <f>_xlfn.XLOOKUP(B109,Tableau13[ID_Antenne],Tableau13[Longitude],"Non répertoriées")</f>
        <v>28.230025000000001</v>
      </c>
      <c r="H109" t="s">
        <v>8</v>
      </c>
    </row>
    <row r="110" spans="1:8" x14ac:dyDescent="0.25">
      <c r="A110" s="1">
        <v>45223.990972222222</v>
      </c>
      <c r="B110" t="s">
        <v>105</v>
      </c>
      <c r="C110" s="29" t="str">
        <f>_xlfn.XLOOKUP(B110,Tableau13[ID_Antenne],Tableau13[Province_RDC],"Non répertoriées")</f>
        <v>Sankuru</v>
      </c>
      <c r="D110">
        <v>23</v>
      </c>
      <c r="E110" s="31" t="str">
        <f>_xlfn.XLOOKUP(B110,Tableau13[ID_Antenne],Tableau13[Technologie],"Non répertoriées")</f>
        <v>5G</v>
      </c>
      <c r="F110" s="3">
        <f>_xlfn.XLOOKUP(B110,Tableau13[ID_Antenne],Tableau13[Latitude],"Non répertoriées")</f>
        <v>-8.0922239999999999</v>
      </c>
      <c r="G110" s="32">
        <f>_xlfn.XLOOKUP(B110,Tableau13[ID_Antenne],Tableau13[Longitude],"Non répertoriées")</f>
        <v>15.483708</v>
      </c>
      <c r="H110" t="s">
        <v>5</v>
      </c>
    </row>
    <row r="111" spans="1:8" x14ac:dyDescent="0.25">
      <c r="A111" s="1">
        <v>45221.265972222223</v>
      </c>
      <c r="B111" t="s">
        <v>106</v>
      </c>
      <c r="C111" s="29" t="str">
        <f>_xlfn.XLOOKUP(B111,Tableau13[ID_Antenne],Tableau13[Province_RDC],"Non répertoriées")</f>
        <v>Kinshasa</v>
      </c>
      <c r="D111">
        <v>88</v>
      </c>
      <c r="E111" s="31" t="str">
        <f>_xlfn.XLOOKUP(B111,Tableau13[ID_Antenne],Tableau13[Technologie],"Non répertoriées")</f>
        <v>3G</v>
      </c>
      <c r="F111" s="3">
        <f>_xlfn.XLOOKUP(B111,Tableau13[ID_Antenne],Tableau13[Latitude],"Non répertoriées")</f>
        <v>-1.339734</v>
      </c>
      <c r="G111" s="32">
        <f>_xlfn.XLOOKUP(B111,Tableau13[ID_Antenne],Tableau13[Longitude],"Non répertoriées")</f>
        <v>15.243098</v>
      </c>
      <c r="H111" t="s">
        <v>8</v>
      </c>
    </row>
    <row r="112" spans="1:8" x14ac:dyDescent="0.25">
      <c r="A112" s="1">
        <v>45213.112500000003</v>
      </c>
      <c r="B112" t="s">
        <v>107</v>
      </c>
      <c r="C112" t="str">
        <f>_xlfn.XLOOKUP(B112,Tableau13[ID_Antenne],Tableau13[Province_RDC],"Non répertoriées")</f>
        <v>Non répertoriées</v>
      </c>
      <c r="D112">
        <v>93</v>
      </c>
      <c r="E112" t="str">
        <f>_xlfn.XLOOKUP(B112,Tableau13[ID_Antenne],Tableau13[Technologie],"Non répertoriées")</f>
        <v>Non répertoriées</v>
      </c>
      <c r="F112" t="str">
        <f>_xlfn.XLOOKUP(B112,Tableau13[ID_Antenne],Tableau13[Latitude],"Non répertoriées")</f>
        <v>Non répertoriées</v>
      </c>
      <c r="G112" t="str">
        <f>_xlfn.XLOOKUP(B112,Tableau13[ID_Antenne],Tableau13[Longitude],"Non répertoriées")</f>
        <v>Non répertoriées</v>
      </c>
      <c r="H112" t="s">
        <v>5</v>
      </c>
    </row>
    <row r="113" spans="1:8" x14ac:dyDescent="0.25">
      <c r="A113" s="1">
        <v>45229.443749999999</v>
      </c>
      <c r="B113" t="s">
        <v>108</v>
      </c>
      <c r="C113" s="29" t="str">
        <f>_xlfn.XLOOKUP(B113,Tableau13[ID_Antenne],Tableau13[Province_RDC],"Non répertoriées")</f>
        <v>Kasai-Central</v>
      </c>
      <c r="D113">
        <v>5</v>
      </c>
      <c r="E113" s="31" t="str">
        <f>_xlfn.XLOOKUP(B113,Tableau13[ID_Antenne],Tableau13[Technologie],"Non répertoriées")</f>
        <v>4G</v>
      </c>
      <c r="F113" s="3">
        <f>_xlfn.XLOOKUP(B113,Tableau13[ID_Antenne],Tableau13[Latitude],"Non répertoriées")</f>
        <v>-6.6803710000000001</v>
      </c>
      <c r="G113" s="32">
        <f>_xlfn.XLOOKUP(B113,Tableau13[ID_Antenne],Tableau13[Longitude],"Non répertoriées")</f>
        <v>21.955673000000001</v>
      </c>
      <c r="H113" t="s">
        <v>5</v>
      </c>
    </row>
    <row r="114" spans="1:8" x14ac:dyDescent="0.25">
      <c r="A114" s="1">
        <v>45210.912499999999</v>
      </c>
      <c r="B114" t="s">
        <v>109</v>
      </c>
      <c r="C114" t="str">
        <f>_xlfn.XLOOKUP(B114,Tableau13[ID_Antenne],Tableau13[Province_RDC],"Non répertoriées")</f>
        <v>Non répertoriées</v>
      </c>
      <c r="D114">
        <v>119</v>
      </c>
      <c r="E114" t="str">
        <f>_xlfn.XLOOKUP(B114,Tableau13[ID_Antenne],Tableau13[Technologie],"Non répertoriées")</f>
        <v>Non répertoriées</v>
      </c>
      <c r="F114" t="str">
        <f>_xlfn.XLOOKUP(B114,Tableau13[ID_Antenne],Tableau13[Latitude],"Non répertoriées")</f>
        <v>Non répertoriées</v>
      </c>
      <c r="G114" t="str">
        <f>_xlfn.XLOOKUP(B114,Tableau13[ID_Antenne],Tableau13[Longitude],"Non répertoriées")</f>
        <v>Non répertoriées</v>
      </c>
      <c r="H114" t="s">
        <v>10</v>
      </c>
    </row>
    <row r="115" spans="1:8" x14ac:dyDescent="0.25">
      <c r="A115" s="1">
        <v>45203.997916666667</v>
      </c>
      <c r="B115" t="s">
        <v>110</v>
      </c>
      <c r="C115" s="29" t="str">
        <f>_xlfn.XLOOKUP(B115,Tableau13[ID_Antenne],Tableau13[Province_RDC],"Non répertoriées")</f>
        <v>Nord-Kivu</v>
      </c>
      <c r="D115">
        <v>101</v>
      </c>
      <c r="E115" s="31" t="str">
        <f>_xlfn.XLOOKUP(B115,Tableau13[ID_Antenne],Tableau13[Technologie],"Non répertoriées")</f>
        <v>3G</v>
      </c>
      <c r="F115" s="3">
        <f>_xlfn.XLOOKUP(B115,Tableau13[ID_Antenne],Tableau13[Latitude],"Non répertoriées")</f>
        <v>-6.3148239999999998</v>
      </c>
      <c r="G115" s="32">
        <f>_xlfn.XLOOKUP(B115,Tableau13[ID_Antenne],Tableau13[Longitude],"Non répertoriées")</f>
        <v>24.507498999999999</v>
      </c>
      <c r="H115" t="s">
        <v>10</v>
      </c>
    </row>
    <row r="116" spans="1:8" x14ac:dyDescent="0.25">
      <c r="A116" s="1">
        <v>45209.679861111108</v>
      </c>
      <c r="B116" t="s">
        <v>111</v>
      </c>
      <c r="C116" t="str">
        <f>_xlfn.XLOOKUP(B116,Tableau13[ID_Antenne],Tableau13[Province_RDC],"Non répertoriées")</f>
        <v>Non répertoriées</v>
      </c>
      <c r="D116">
        <v>115</v>
      </c>
      <c r="E116" t="str">
        <f>_xlfn.XLOOKUP(B116,Tableau13[ID_Antenne],Tableau13[Technologie],"Non répertoriées")</f>
        <v>Non répertoriées</v>
      </c>
      <c r="F116" t="str">
        <f>_xlfn.XLOOKUP(B116,Tableau13[ID_Antenne],Tableau13[Latitude],"Non répertoriées")</f>
        <v>Non répertoriées</v>
      </c>
      <c r="G116" t="str">
        <f>_xlfn.XLOOKUP(B116,Tableau13[ID_Antenne],Tableau13[Longitude],"Non répertoriées")</f>
        <v>Non répertoriées</v>
      </c>
      <c r="H116" t="s">
        <v>10</v>
      </c>
    </row>
    <row r="117" spans="1:8" x14ac:dyDescent="0.25">
      <c r="A117" s="1">
        <v>45221.555555555547</v>
      </c>
      <c r="B117" t="s">
        <v>112</v>
      </c>
      <c r="C117" t="str">
        <f>_xlfn.XLOOKUP(B117,Tableau13[ID_Antenne],Tableau13[Province_RDC],"Non répertoriées")</f>
        <v>Non répertoriées</v>
      </c>
      <c r="D117">
        <v>103</v>
      </c>
      <c r="E117" t="str">
        <f>_xlfn.XLOOKUP(B117,Tableau13[ID_Antenne],Tableau13[Technologie],"Non répertoriées")</f>
        <v>Non répertoriées</v>
      </c>
      <c r="F117" t="str">
        <f>_xlfn.XLOOKUP(B117,Tableau13[ID_Antenne],Tableau13[Latitude],"Non répertoriées")</f>
        <v>Non répertoriées</v>
      </c>
      <c r="G117" t="str">
        <f>_xlfn.XLOOKUP(B117,Tableau13[ID_Antenne],Tableau13[Longitude],"Non répertoriées")</f>
        <v>Non répertoriées</v>
      </c>
      <c r="H117" t="s">
        <v>8</v>
      </c>
    </row>
    <row r="118" spans="1:8" x14ac:dyDescent="0.25">
      <c r="A118" s="1">
        <v>45212.929166666669</v>
      </c>
      <c r="B118" t="s">
        <v>113</v>
      </c>
      <c r="C118" t="str">
        <f>_xlfn.XLOOKUP(B118,Tableau13[ID_Antenne],Tableau13[Province_RDC],"Non répertoriées")</f>
        <v>Non répertoriées</v>
      </c>
      <c r="D118">
        <v>118</v>
      </c>
      <c r="E118" t="str">
        <f>_xlfn.XLOOKUP(B118,Tableau13[ID_Antenne],Tableau13[Technologie],"Non répertoriées")</f>
        <v>Non répertoriées</v>
      </c>
      <c r="F118" t="str">
        <f>_xlfn.XLOOKUP(B118,Tableau13[ID_Antenne],Tableau13[Latitude],"Non répertoriées")</f>
        <v>Non répertoriées</v>
      </c>
      <c r="G118" t="str">
        <f>_xlfn.XLOOKUP(B118,Tableau13[ID_Antenne],Tableau13[Longitude],"Non répertoriées")</f>
        <v>Non répertoriées</v>
      </c>
      <c r="H118" t="s">
        <v>10</v>
      </c>
    </row>
    <row r="119" spans="1:8" x14ac:dyDescent="0.25">
      <c r="A119" s="1">
        <v>45217.175000000003</v>
      </c>
      <c r="B119" t="s">
        <v>114</v>
      </c>
      <c r="C119" s="29" t="str">
        <f>_xlfn.XLOOKUP(B119,Tableau13[ID_Antenne],Tableau13[Province_RDC],"Non répertoriées")</f>
        <v>Sud-Kivu</v>
      </c>
      <c r="D119">
        <v>18</v>
      </c>
      <c r="E119" s="31" t="str">
        <f>_xlfn.XLOOKUP(B119,Tableau13[ID_Antenne],Tableau13[Technologie],"Non répertoriées")</f>
        <v>3G</v>
      </c>
      <c r="F119" s="3">
        <f>_xlfn.XLOOKUP(B119,Tableau13[ID_Antenne],Tableau13[Latitude],"Non répertoriées")</f>
        <v>-9.4702129999999993</v>
      </c>
      <c r="G119" s="32">
        <f>_xlfn.XLOOKUP(B119,Tableau13[ID_Antenne],Tableau13[Longitude],"Non répertoriées")</f>
        <v>12.826158</v>
      </c>
      <c r="H119" t="s">
        <v>10</v>
      </c>
    </row>
    <row r="120" spans="1:8" x14ac:dyDescent="0.25">
      <c r="A120" s="1">
        <v>45213.89166666667</v>
      </c>
      <c r="B120" t="s">
        <v>115</v>
      </c>
      <c r="C120" t="str">
        <f>_xlfn.XLOOKUP(B120,Tableau13[ID_Antenne],Tableau13[Province_RDC],"Non répertoriées")</f>
        <v>Non répertoriées</v>
      </c>
      <c r="D120">
        <v>104</v>
      </c>
      <c r="E120" t="str">
        <f>_xlfn.XLOOKUP(B120,Tableau13[ID_Antenne],Tableau13[Technologie],"Non répertoriées")</f>
        <v>Non répertoriées</v>
      </c>
      <c r="F120" t="str">
        <f>_xlfn.XLOOKUP(B120,Tableau13[ID_Antenne],Tableau13[Latitude],"Non répertoriées")</f>
        <v>Non répertoriées</v>
      </c>
      <c r="G120" t="str">
        <f>_xlfn.XLOOKUP(B120,Tableau13[ID_Antenne],Tableau13[Longitude],"Non répertoriées")</f>
        <v>Non répertoriées</v>
      </c>
      <c r="H120" t="s">
        <v>5</v>
      </c>
    </row>
    <row r="121" spans="1:8" x14ac:dyDescent="0.25">
      <c r="A121" s="1">
        <v>45221.997916666667</v>
      </c>
      <c r="B121" t="s">
        <v>116</v>
      </c>
      <c r="C121" t="str">
        <f>_xlfn.XLOOKUP(B121,Tableau13[ID_Antenne],Tableau13[Province_RDC],"Non répertoriées")</f>
        <v>Non répertoriées</v>
      </c>
      <c r="D121">
        <v>59</v>
      </c>
      <c r="E121" t="str">
        <f>_xlfn.XLOOKUP(B121,Tableau13[ID_Antenne],Tableau13[Technologie],"Non répertoriées")</f>
        <v>Non répertoriées</v>
      </c>
      <c r="F121" t="str">
        <f>_xlfn.XLOOKUP(B121,Tableau13[ID_Antenne],Tableau13[Latitude],"Non répertoriées")</f>
        <v>Non répertoriées</v>
      </c>
      <c r="G121" t="str">
        <f>_xlfn.XLOOKUP(B121,Tableau13[ID_Antenne],Tableau13[Longitude],"Non répertoriées")</f>
        <v>Non répertoriées</v>
      </c>
      <c r="H121" t="s">
        <v>5</v>
      </c>
    </row>
    <row r="122" spans="1:8" x14ac:dyDescent="0.25">
      <c r="A122" s="1">
        <v>45205.816666666673</v>
      </c>
      <c r="B122" t="s">
        <v>117</v>
      </c>
      <c r="C122" t="str">
        <f>_xlfn.XLOOKUP(B122,Tableau13[ID_Antenne],Tableau13[Province_RDC],"Non répertoriées")</f>
        <v>Non répertoriées</v>
      </c>
      <c r="D122">
        <v>33</v>
      </c>
      <c r="E122" t="str">
        <f>_xlfn.XLOOKUP(B122,Tableau13[ID_Antenne],Tableau13[Technologie],"Non répertoriées")</f>
        <v>Non répertoriées</v>
      </c>
      <c r="F122" t="str">
        <f>_xlfn.XLOOKUP(B122,Tableau13[ID_Antenne],Tableau13[Latitude],"Non répertoriées")</f>
        <v>Non répertoriées</v>
      </c>
      <c r="G122" t="str">
        <f>_xlfn.XLOOKUP(B122,Tableau13[ID_Antenne],Tableau13[Longitude],"Non répertoriées")</f>
        <v>Non répertoriées</v>
      </c>
      <c r="H122" t="s">
        <v>10</v>
      </c>
    </row>
    <row r="123" spans="1:8" x14ac:dyDescent="0.25">
      <c r="A123" s="1">
        <v>45209.524305555547</v>
      </c>
      <c r="B123" t="s">
        <v>118</v>
      </c>
      <c r="C123" s="29" t="str">
        <f>_xlfn.XLOOKUP(B123,Tableau13[ID_Antenne],Tableau13[Province_RDC],"Non répertoriées")</f>
        <v>Kwilu</v>
      </c>
      <c r="D123">
        <v>27</v>
      </c>
      <c r="E123" s="31" t="str">
        <f>_xlfn.XLOOKUP(B123,Tableau13[ID_Antenne],Tableau13[Technologie],"Non répertoriées")</f>
        <v>4G</v>
      </c>
      <c r="F123" s="3">
        <f>_xlfn.XLOOKUP(B123,Tableau13[ID_Antenne],Tableau13[Latitude],"Non répertoriées")</f>
        <v>2.4741019999999998</v>
      </c>
      <c r="G123" s="32">
        <f>_xlfn.XLOOKUP(B123,Tableau13[ID_Antenne],Tableau13[Longitude],"Non répertoriées")</f>
        <v>29.297391000000001</v>
      </c>
      <c r="H123" t="s">
        <v>10</v>
      </c>
    </row>
    <row r="124" spans="1:8" x14ac:dyDescent="0.25">
      <c r="A124" s="1">
        <v>45226.013194444437</v>
      </c>
      <c r="B124" t="s">
        <v>119</v>
      </c>
      <c r="C124" t="str">
        <f>_xlfn.XLOOKUP(B124,Tableau13[ID_Antenne],Tableau13[Province_RDC],"Non répertoriées")</f>
        <v>Non répertoriées</v>
      </c>
      <c r="D124">
        <v>107</v>
      </c>
      <c r="E124" t="str">
        <f>_xlfn.XLOOKUP(B124,Tableau13[ID_Antenne],Tableau13[Technologie],"Non répertoriées")</f>
        <v>Non répertoriées</v>
      </c>
      <c r="F124" t="str">
        <f>_xlfn.XLOOKUP(B124,Tableau13[ID_Antenne],Tableau13[Latitude],"Non répertoriées")</f>
        <v>Non répertoriées</v>
      </c>
      <c r="G124" t="str">
        <f>_xlfn.XLOOKUP(B124,Tableau13[ID_Antenne],Tableau13[Longitude],"Non répertoriées")</f>
        <v>Non répertoriées</v>
      </c>
      <c r="H124" t="s">
        <v>8</v>
      </c>
    </row>
    <row r="125" spans="1:8" x14ac:dyDescent="0.25">
      <c r="A125" s="1">
        <v>45209.268750000003</v>
      </c>
      <c r="B125" t="s">
        <v>120</v>
      </c>
      <c r="C125" t="str">
        <f>_xlfn.XLOOKUP(B125,Tableau13[ID_Antenne],Tableau13[Province_RDC],"Non répertoriées")</f>
        <v>Non répertoriées</v>
      </c>
      <c r="D125">
        <v>94</v>
      </c>
      <c r="E125" t="str">
        <f>_xlfn.XLOOKUP(B125,Tableau13[ID_Antenne],Tableau13[Technologie],"Non répertoriées")</f>
        <v>Non répertoriées</v>
      </c>
      <c r="F125" t="str">
        <f>_xlfn.XLOOKUP(B125,Tableau13[ID_Antenne],Tableau13[Latitude],"Non répertoriées")</f>
        <v>Non répertoriées</v>
      </c>
      <c r="G125" t="str">
        <f>_xlfn.XLOOKUP(B125,Tableau13[ID_Antenne],Tableau13[Longitude],"Non répertoriées")</f>
        <v>Non répertoriées</v>
      </c>
      <c r="H125" t="s">
        <v>8</v>
      </c>
    </row>
    <row r="126" spans="1:8" x14ac:dyDescent="0.25">
      <c r="A126" s="1">
        <v>45225.776388888888</v>
      </c>
      <c r="B126" t="s">
        <v>69</v>
      </c>
      <c r="C126" s="29" t="str">
        <f>_xlfn.XLOOKUP(B126,Tableau13[ID_Antenne],Tableau13[Province_RDC],"Non répertoriées")</f>
        <v>Nord-Kivu</v>
      </c>
      <c r="D126">
        <v>71</v>
      </c>
      <c r="E126" s="31" t="str">
        <f>_xlfn.XLOOKUP(B126,Tableau13[ID_Antenne],Tableau13[Technologie],"Non répertoriées")</f>
        <v>5G</v>
      </c>
      <c r="F126" s="3">
        <f>_xlfn.XLOOKUP(B126,Tableau13[ID_Antenne],Tableau13[Latitude],"Non répertoriées")</f>
        <v>0.82868600000000003</v>
      </c>
      <c r="G126" s="32">
        <f>_xlfn.XLOOKUP(B126,Tableau13[ID_Antenne],Tableau13[Longitude],"Non répertoriées")</f>
        <v>26.958843999999999</v>
      </c>
      <c r="H126" t="s">
        <v>5</v>
      </c>
    </row>
    <row r="127" spans="1:8" x14ac:dyDescent="0.25">
      <c r="A127" s="1">
        <v>45220.436805555553</v>
      </c>
      <c r="B127" t="s">
        <v>64</v>
      </c>
      <c r="C127" s="29" t="str">
        <f>_xlfn.XLOOKUP(B127,Tableau13[ID_Antenne],Tableau13[Province_RDC],"Non répertoriées")</f>
        <v>Haut-Katanga</v>
      </c>
      <c r="D127">
        <v>64</v>
      </c>
      <c r="E127" s="31" t="str">
        <f>_xlfn.XLOOKUP(B127,Tableau13[ID_Antenne],Tableau13[Technologie],"Non répertoriées")</f>
        <v>4G</v>
      </c>
      <c r="F127" s="3">
        <f>_xlfn.XLOOKUP(B127,Tableau13[ID_Antenne],Tableau13[Latitude],"Non répertoriées")</f>
        <v>-5.5445120000000001</v>
      </c>
      <c r="G127" s="32">
        <f>_xlfn.XLOOKUP(B127,Tableau13[ID_Antenne],Tableau13[Longitude],"Non répertoriées")</f>
        <v>27.547335</v>
      </c>
      <c r="H127" t="s">
        <v>8</v>
      </c>
    </row>
    <row r="128" spans="1:8" x14ac:dyDescent="0.25">
      <c r="A128" s="1">
        <v>45214.613194444442</v>
      </c>
      <c r="B128" t="s">
        <v>121</v>
      </c>
      <c r="C128" t="str">
        <f>_xlfn.XLOOKUP(B128,Tableau13[ID_Antenne],Tableau13[Province_RDC],"Non répertoriées")</f>
        <v>Non répertoriées</v>
      </c>
      <c r="D128">
        <v>11</v>
      </c>
      <c r="E128" t="str">
        <f>_xlfn.XLOOKUP(B128,Tableau13[ID_Antenne],Tableau13[Technologie],"Non répertoriées")</f>
        <v>Non répertoriées</v>
      </c>
      <c r="F128" t="str">
        <f>_xlfn.XLOOKUP(B128,Tableau13[ID_Antenne],Tableau13[Latitude],"Non répertoriées")</f>
        <v>Non répertoriées</v>
      </c>
      <c r="G128" t="str">
        <f>_xlfn.XLOOKUP(B128,Tableau13[ID_Antenne],Tableau13[Longitude],"Non répertoriées")</f>
        <v>Non répertoriées</v>
      </c>
      <c r="H128" t="s">
        <v>10</v>
      </c>
    </row>
    <row r="129" spans="1:8" x14ac:dyDescent="0.25">
      <c r="A129" s="1">
        <v>45206.6875</v>
      </c>
      <c r="B129" t="s">
        <v>122</v>
      </c>
      <c r="C129" s="29" t="str">
        <f>_xlfn.XLOOKUP(B129,Tableau13[ID_Antenne],Tableau13[Province_RDC],"Non répertoriées")</f>
        <v>Haut-Uele</v>
      </c>
      <c r="D129">
        <v>76</v>
      </c>
      <c r="E129" s="31" t="str">
        <f>_xlfn.XLOOKUP(B129,Tableau13[ID_Antenne],Tableau13[Technologie],"Non répertoriées")</f>
        <v>4G</v>
      </c>
      <c r="F129" s="3">
        <f>_xlfn.XLOOKUP(B129,Tableau13[ID_Antenne],Tableau13[Latitude],"Non répertoriées")</f>
        <v>-12.100756000000001</v>
      </c>
      <c r="G129" s="32">
        <f>_xlfn.XLOOKUP(B129,Tableau13[ID_Antenne],Tableau13[Longitude],"Non répertoriées")</f>
        <v>21.938649999999999</v>
      </c>
      <c r="H129" t="s">
        <v>10</v>
      </c>
    </row>
    <row r="130" spans="1:8" x14ac:dyDescent="0.25">
      <c r="A130" s="1">
        <v>45225.965277777781</v>
      </c>
      <c r="B130" t="s">
        <v>123</v>
      </c>
      <c r="C130" s="29" t="str">
        <f>_xlfn.XLOOKUP(B130,Tableau13[ID_Antenne],Tableau13[Province_RDC],"Non répertoriées")</f>
        <v>Tanganyika</v>
      </c>
      <c r="D130">
        <v>36</v>
      </c>
      <c r="E130" s="31" t="str">
        <f>_xlfn.XLOOKUP(B130,Tableau13[ID_Antenne],Tableau13[Technologie],"Non répertoriées")</f>
        <v>5G</v>
      </c>
      <c r="F130" s="3">
        <f>_xlfn.XLOOKUP(B130,Tableau13[ID_Antenne],Tableau13[Latitude],"Non répertoriées")</f>
        <v>-9.002459</v>
      </c>
      <c r="G130" s="32">
        <f>_xlfn.XLOOKUP(B130,Tableau13[ID_Antenne],Tableau13[Longitude],"Non répertoriées")</f>
        <v>25.182109000000001</v>
      </c>
      <c r="H130" t="s">
        <v>5</v>
      </c>
    </row>
    <row r="131" spans="1:8" x14ac:dyDescent="0.25">
      <c r="A131" s="1">
        <v>45221.095833333333</v>
      </c>
      <c r="B131" t="s">
        <v>124</v>
      </c>
      <c r="C131" t="str">
        <f>_xlfn.XLOOKUP(B131,Tableau13[ID_Antenne],Tableau13[Province_RDC],"Non répertoriées")</f>
        <v>Non répertoriées</v>
      </c>
      <c r="D131">
        <v>113</v>
      </c>
      <c r="E131" t="str">
        <f>_xlfn.XLOOKUP(B131,Tableau13[ID_Antenne],Tableau13[Technologie],"Non répertoriées")</f>
        <v>Non répertoriées</v>
      </c>
      <c r="F131" t="str">
        <f>_xlfn.XLOOKUP(B131,Tableau13[ID_Antenne],Tableau13[Latitude],"Non répertoriées")</f>
        <v>Non répertoriées</v>
      </c>
      <c r="G131" t="str">
        <f>_xlfn.XLOOKUP(B131,Tableau13[ID_Antenne],Tableau13[Longitude],"Non répertoriées")</f>
        <v>Non répertoriées</v>
      </c>
      <c r="H131" t="s">
        <v>10</v>
      </c>
    </row>
    <row r="132" spans="1:8" x14ac:dyDescent="0.25">
      <c r="A132" s="1">
        <v>45216.902777777781</v>
      </c>
      <c r="B132" t="s">
        <v>125</v>
      </c>
      <c r="C132" s="29" t="str">
        <f>_xlfn.XLOOKUP(B132,Tableau13[ID_Antenne],Tableau13[Province_RDC],"Non répertoriées")</f>
        <v>Kwilu</v>
      </c>
      <c r="D132">
        <v>20</v>
      </c>
      <c r="E132" s="31" t="str">
        <f>_xlfn.XLOOKUP(B132,Tableau13[ID_Antenne],Tableau13[Technologie],"Non répertoriées")</f>
        <v>4G</v>
      </c>
      <c r="F132" s="3">
        <f>_xlfn.XLOOKUP(B132,Tableau13[ID_Antenne],Tableau13[Latitude],"Non répertoriées")</f>
        <v>-4.2408359999999998</v>
      </c>
      <c r="G132" s="32">
        <f>_xlfn.XLOOKUP(B132,Tableau13[ID_Antenne],Tableau13[Longitude],"Non répertoriées")</f>
        <v>26.210014000000001</v>
      </c>
      <c r="H132" t="s">
        <v>10</v>
      </c>
    </row>
    <row r="133" spans="1:8" x14ac:dyDescent="0.25">
      <c r="A133" s="1">
        <v>45219.420138888891</v>
      </c>
      <c r="B133" t="s">
        <v>126</v>
      </c>
      <c r="C133" s="29" t="str">
        <f>_xlfn.XLOOKUP(B133,Tableau13[ID_Antenne],Tableau13[Province_RDC],"Non répertoriées")</f>
        <v>Lomami</v>
      </c>
      <c r="D133">
        <v>63</v>
      </c>
      <c r="E133" s="31" t="str">
        <f>_xlfn.XLOOKUP(B133,Tableau13[ID_Antenne],Tableau13[Technologie],"Non répertoriées")</f>
        <v>3G</v>
      </c>
      <c r="F133" s="3">
        <f>_xlfn.XLOOKUP(B133,Tableau13[ID_Antenne],Tableau13[Latitude],"Non répertoriées")</f>
        <v>-9.9875139999999991</v>
      </c>
      <c r="G133" s="32">
        <f>_xlfn.XLOOKUP(B133,Tableau13[ID_Antenne],Tableau13[Longitude],"Non répertoriées")</f>
        <v>12.013676999999999</v>
      </c>
      <c r="H133" t="s">
        <v>10</v>
      </c>
    </row>
    <row r="134" spans="1:8" x14ac:dyDescent="0.25">
      <c r="A134" s="1">
        <v>45226.321527777778</v>
      </c>
      <c r="B134" t="s">
        <v>127</v>
      </c>
      <c r="C134" s="29" t="str">
        <f>_xlfn.XLOOKUP(B134,Tableau13[ID_Antenne],Tableau13[Province_RDC],"Non répertoriées")</f>
        <v>Nord-Kivu</v>
      </c>
      <c r="D134">
        <v>22</v>
      </c>
      <c r="E134" s="31" t="str">
        <f>_xlfn.XLOOKUP(B134,Tableau13[ID_Antenne],Tableau13[Technologie],"Non répertoriées")</f>
        <v>4G</v>
      </c>
      <c r="F134" s="3">
        <f>_xlfn.XLOOKUP(B134,Tableau13[ID_Antenne],Tableau13[Latitude],"Non répertoriées")</f>
        <v>-10.25074</v>
      </c>
      <c r="G134" s="32">
        <f>_xlfn.XLOOKUP(B134,Tableau13[ID_Antenne],Tableau13[Longitude],"Non répertoriées")</f>
        <v>26.099086</v>
      </c>
      <c r="H134" t="s">
        <v>10</v>
      </c>
    </row>
    <row r="135" spans="1:8" x14ac:dyDescent="0.25">
      <c r="A135" s="1">
        <v>45209.32708333333</v>
      </c>
      <c r="B135" t="s">
        <v>128</v>
      </c>
      <c r="C135" s="29" t="str">
        <f>_xlfn.XLOOKUP(B135,Tableau13[ID_Antenne],Tableau13[Province_RDC],"Non répertoriées")</f>
        <v>Equateur</v>
      </c>
      <c r="D135">
        <v>107</v>
      </c>
      <c r="E135" s="31" t="str">
        <f>_xlfn.XLOOKUP(B135,Tableau13[ID_Antenne],Tableau13[Technologie],"Non répertoriées")</f>
        <v>3G</v>
      </c>
      <c r="F135" s="3">
        <f>_xlfn.XLOOKUP(B135,Tableau13[ID_Antenne],Tableau13[Latitude],"Non répertoriées")</f>
        <v>-5.0402180000000003</v>
      </c>
      <c r="G135" s="32">
        <f>_xlfn.XLOOKUP(B135,Tableau13[ID_Antenne],Tableau13[Longitude],"Non répertoriées")</f>
        <v>13.892471</v>
      </c>
      <c r="H135" t="s">
        <v>8</v>
      </c>
    </row>
    <row r="136" spans="1:8" x14ac:dyDescent="0.25">
      <c r="A136" s="1">
        <v>45206.167361111111</v>
      </c>
      <c r="B136" t="s">
        <v>129</v>
      </c>
      <c r="C136" s="29" t="str">
        <f>_xlfn.XLOOKUP(B136,Tableau13[ID_Antenne],Tableau13[Province_RDC],"Non répertoriées")</f>
        <v>Ituri</v>
      </c>
      <c r="D136">
        <v>64</v>
      </c>
      <c r="E136" s="31" t="str">
        <f>_xlfn.XLOOKUP(B136,Tableau13[ID_Antenne],Tableau13[Technologie],"Non répertoriées")</f>
        <v>4G</v>
      </c>
      <c r="F136" s="3">
        <f>_xlfn.XLOOKUP(B136,Tableau13[ID_Antenne],Tableau13[Latitude],"Non répertoriées")</f>
        <v>0.24202000000000001</v>
      </c>
      <c r="G136" s="32">
        <f>_xlfn.XLOOKUP(B136,Tableau13[ID_Antenne],Tableau13[Longitude],"Non répertoriées")</f>
        <v>17.396256999999999</v>
      </c>
      <c r="H136" t="s">
        <v>8</v>
      </c>
    </row>
    <row r="137" spans="1:8" x14ac:dyDescent="0.25">
      <c r="A137" s="1">
        <v>45201.3125</v>
      </c>
      <c r="B137" t="s">
        <v>130</v>
      </c>
      <c r="C137" s="29" t="str">
        <f>_xlfn.XLOOKUP(B137,Tableau13[ID_Antenne],Tableau13[Province_RDC],"Non répertoriées")</f>
        <v>Kasai-Oriental</v>
      </c>
      <c r="D137">
        <v>90</v>
      </c>
      <c r="E137" s="31" t="str">
        <f>_xlfn.XLOOKUP(B137,Tableau13[ID_Antenne],Tableau13[Technologie],"Non répertoriées")</f>
        <v>5G</v>
      </c>
      <c r="F137" s="3">
        <f>_xlfn.XLOOKUP(B137,Tableau13[ID_Antenne],Tableau13[Latitude],"Non répertoriées")</f>
        <v>-12.333232000000001</v>
      </c>
      <c r="G137" s="32">
        <f>_xlfn.XLOOKUP(B137,Tableau13[ID_Antenne],Tableau13[Longitude],"Non répertoriées")</f>
        <v>25.229620000000001</v>
      </c>
      <c r="H137" t="s">
        <v>8</v>
      </c>
    </row>
    <row r="138" spans="1:8" x14ac:dyDescent="0.25">
      <c r="A138" s="1">
        <v>45219.103472222218</v>
      </c>
      <c r="B138" t="s">
        <v>131</v>
      </c>
      <c r="C138" s="29" t="str">
        <f>_xlfn.XLOOKUP(B138,Tableau13[ID_Antenne],Tableau13[Province_RDC],"Non répertoriées")</f>
        <v>Lomami</v>
      </c>
      <c r="D138">
        <v>72</v>
      </c>
      <c r="E138" s="31" t="str">
        <f>_xlfn.XLOOKUP(B138,Tableau13[ID_Antenne],Tableau13[Technologie],"Non répertoriées")</f>
        <v>5G</v>
      </c>
      <c r="F138" s="3">
        <f>_xlfn.XLOOKUP(B138,Tableau13[ID_Antenne],Tableau13[Latitude],"Non répertoriées")</f>
        <v>-5.7035130000000001</v>
      </c>
      <c r="G138" s="32">
        <f>_xlfn.XLOOKUP(B138,Tableau13[ID_Antenne],Tableau13[Longitude],"Non répertoriées")</f>
        <v>14.331479</v>
      </c>
      <c r="H138" t="s">
        <v>8</v>
      </c>
    </row>
    <row r="139" spans="1:8" x14ac:dyDescent="0.25">
      <c r="A139" s="1">
        <v>45200.51458333333</v>
      </c>
      <c r="B139" t="s">
        <v>132</v>
      </c>
      <c r="C139" s="29" t="str">
        <f>_xlfn.XLOOKUP(B139,Tableau13[ID_Antenne],Tableau13[Province_RDC],"Non répertoriées")</f>
        <v>Tshuapa</v>
      </c>
      <c r="D139">
        <v>24</v>
      </c>
      <c r="E139" s="31" t="str">
        <f>_xlfn.XLOOKUP(B139,Tableau13[ID_Antenne],Tableau13[Technologie],"Non répertoriées")</f>
        <v>5G</v>
      </c>
      <c r="F139" s="3">
        <f>_xlfn.XLOOKUP(B139,Tableau13[ID_Antenne],Tableau13[Latitude],"Non répertoriées")</f>
        <v>-11.622688999999999</v>
      </c>
      <c r="G139" s="32">
        <f>_xlfn.XLOOKUP(B139,Tableau13[ID_Antenne],Tableau13[Longitude],"Non répertoriées")</f>
        <v>18.483874</v>
      </c>
      <c r="H139" t="s">
        <v>10</v>
      </c>
    </row>
    <row r="140" spans="1:8" x14ac:dyDescent="0.25">
      <c r="A140" s="1">
        <v>45221.910416666673</v>
      </c>
      <c r="B140" t="s">
        <v>133</v>
      </c>
      <c r="C140" s="29" t="str">
        <f>_xlfn.XLOOKUP(B140,Tableau13[ID_Antenne],Tableau13[Province_RDC],"Non répertoriées")</f>
        <v>Kasai-Central</v>
      </c>
      <c r="D140">
        <v>60</v>
      </c>
      <c r="E140" s="31" t="str">
        <f>_xlfn.XLOOKUP(B140,Tableau13[ID_Antenne],Tableau13[Technologie],"Non répertoriées")</f>
        <v>3G</v>
      </c>
      <c r="F140" s="3">
        <f>_xlfn.XLOOKUP(B140,Tableau13[ID_Antenne],Tableau13[Latitude],"Non répertoriées")</f>
        <v>-10.414493</v>
      </c>
      <c r="G140" s="32">
        <f>_xlfn.XLOOKUP(B140,Tableau13[ID_Antenne],Tableau13[Longitude],"Non répertoriées")</f>
        <v>12.333356999999999</v>
      </c>
      <c r="H140" t="s">
        <v>8</v>
      </c>
    </row>
    <row r="141" spans="1:8" x14ac:dyDescent="0.25">
      <c r="A141" s="1">
        <v>45212.965277777781</v>
      </c>
      <c r="B141" t="s">
        <v>134</v>
      </c>
      <c r="C141" s="29" t="str">
        <f>_xlfn.XLOOKUP(B141,Tableau13[ID_Antenne],Tableau13[Province_RDC],"Non répertoriées")</f>
        <v>Kongo-Central</v>
      </c>
      <c r="D141">
        <v>27</v>
      </c>
      <c r="E141" s="31" t="str">
        <f>_xlfn.XLOOKUP(B141,Tableau13[ID_Antenne],Tableau13[Technologie],"Non répertoriées")</f>
        <v>4G</v>
      </c>
      <c r="F141" s="3">
        <f>_xlfn.XLOOKUP(B141,Tableau13[ID_Antenne],Tableau13[Latitude],"Non répertoriées")</f>
        <v>0.79124300000000003</v>
      </c>
      <c r="G141" s="32">
        <f>_xlfn.XLOOKUP(B141,Tableau13[ID_Antenne],Tableau13[Longitude],"Non répertoriées")</f>
        <v>25.273389000000002</v>
      </c>
      <c r="H141" t="s">
        <v>10</v>
      </c>
    </row>
    <row r="142" spans="1:8" x14ac:dyDescent="0.25">
      <c r="A142" s="1">
        <v>45226.623611111107</v>
      </c>
      <c r="B142" t="s">
        <v>135</v>
      </c>
      <c r="C142" s="29" t="str">
        <f>_xlfn.XLOOKUP(B142,Tableau13[ID_Antenne],Tableau13[Province_RDC],"Non répertoriées")</f>
        <v>Nord-Ubangi</v>
      </c>
      <c r="D142">
        <v>98</v>
      </c>
      <c r="E142" s="31" t="str">
        <f>_xlfn.XLOOKUP(B142,Tableau13[ID_Antenne],Tableau13[Technologie],"Non répertoriées")</f>
        <v>5G</v>
      </c>
      <c r="F142" s="3">
        <f>_xlfn.XLOOKUP(B142,Tableau13[ID_Antenne],Tableau13[Latitude],"Non répertoriées")</f>
        <v>-7.9987219999999999</v>
      </c>
      <c r="G142" s="32">
        <f>_xlfn.XLOOKUP(B142,Tableau13[ID_Antenne],Tableau13[Longitude],"Non répertoriées")</f>
        <v>12.779335</v>
      </c>
      <c r="H142" t="s">
        <v>10</v>
      </c>
    </row>
    <row r="143" spans="1:8" x14ac:dyDescent="0.25">
      <c r="A143" s="1">
        <v>45204.81527777778</v>
      </c>
      <c r="B143" t="s">
        <v>133</v>
      </c>
      <c r="C143" s="29" t="str">
        <f>_xlfn.XLOOKUP(B143,Tableau13[ID_Antenne],Tableau13[Province_RDC],"Non répertoriées")</f>
        <v>Kasai-Central</v>
      </c>
      <c r="D143">
        <v>71</v>
      </c>
      <c r="E143" s="31" t="str">
        <f>_xlfn.XLOOKUP(B143,Tableau13[ID_Antenne],Tableau13[Technologie],"Non répertoriées")</f>
        <v>3G</v>
      </c>
      <c r="F143" s="3">
        <f>_xlfn.XLOOKUP(B143,Tableau13[ID_Antenne],Tableau13[Latitude],"Non répertoriées")</f>
        <v>-10.414493</v>
      </c>
      <c r="G143" s="32">
        <f>_xlfn.XLOOKUP(B143,Tableau13[ID_Antenne],Tableau13[Longitude],"Non répertoriées")</f>
        <v>12.333356999999999</v>
      </c>
      <c r="H143" t="s">
        <v>10</v>
      </c>
    </row>
    <row r="144" spans="1:8" x14ac:dyDescent="0.25">
      <c r="A144" s="1">
        <v>45200.525694444441</v>
      </c>
      <c r="B144" t="s">
        <v>136</v>
      </c>
      <c r="C144" s="29" t="str">
        <f>_xlfn.XLOOKUP(B144,Tableau13[ID_Antenne],Tableau13[Province_RDC],"Non répertoriées")</f>
        <v>Kinshasa</v>
      </c>
      <c r="D144">
        <v>88</v>
      </c>
      <c r="E144" s="31" t="str">
        <f>_xlfn.XLOOKUP(B144,Tableau13[ID_Antenne],Tableau13[Technologie],"Non répertoriées")</f>
        <v>4G</v>
      </c>
      <c r="F144" s="3">
        <f>_xlfn.XLOOKUP(B144,Tableau13[ID_Antenne],Tableau13[Latitude],"Non répertoriées")</f>
        <v>-1.6097570000000001</v>
      </c>
      <c r="G144" s="32">
        <f>_xlfn.XLOOKUP(B144,Tableau13[ID_Antenne],Tableau13[Longitude],"Non répertoriées")</f>
        <v>30.661662</v>
      </c>
      <c r="H144" t="s">
        <v>10</v>
      </c>
    </row>
    <row r="145" spans="1:8" x14ac:dyDescent="0.25">
      <c r="A145" s="1">
        <v>45218.875694444447</v>
      </c>
      <c r="B145" t="s">
        <v>137</v>
      </c>
      <c r="C145" t="str">
        <f>_xlfn.XLOOKUP(B145,Tableau13[ID_Antenne],Tableau13[Province_RDC],"Non répertoriées")</f>
        <v>Non répertoriées</v>
      </c>
      <c r="D145">
        <v>39</v>
      </c>
      <c r="E145" t="str">
        <f>_xlfn.XLOOKUP(B145,Tableau13[ID_Antenne],Tableau13[Technologie],"Non répertoriées")</f>
        <v>Non répertoriées</v>
      </c>
      <c r="F145" t="str">
        <f>_xlfn.XLOOKUP(B145,Tableau13[ID_Antenne],Tableau13[Latitude],"Non répertoriées")</f>
        <v>Non répertoriées</v>
      </c>
      <c r="G145" t="str">
        <f>_xlfn.XLOOKUP(B145,Tableau13[ID_Antenne],Tableau13[Longitude],"Non répertoriées")</f>
        <v>Non répertoriées</v>
      </c>
      <c r="H145" t="s">
        <v>5</v>
      </c>
    </row>
    <row r="146" spans="1:8" x14ac:dyDescent="0.25">
      <c r="A146" s="1">
        <v>45202.852083333331</v>
      </c>
      <c r="B146" t="s">
        <v>138</v>
      </c>
      <c r="C146" s="29" t="str">
        <f>_xlfn.XLOOKUP(B146,Tableau13[ID_Antenne],Tableau13[Province_RDC],"Non répertoriées")</f>
        <v>Mai-Ndombe</v>
      </c>
      <c r="D146">
        <v>83</v>
      </c>
      <c r="E146" s="31" t="str">
        <f>_xlfn.XLOOKUP(B146,Tableau13[ID_Antenne],Tableau13[Technologie],"Non répertoriées")</f>
        <v>4G</v>
      </c>
      <c r="F146" s="3">
        <f>_xlfn.XLOOKUP(B146,Tableau13[ID_Antenne],Tableau13[Latitude],"Non répertoriées")</f>
        <v>-1.607639</v>
      </c>
      <c r="G146" s="32">
        <f>_xlfn.XLOOKUP(B146,Tableau13[ID_Antenne],Tableau13[Longitude],"Non répertoriées")</f>
        <v>17.003636</v>
      </c>
      <c r="H146" t="s">
        <v>5</v>
      </c>
    </row>
    <row r="147" spans="1:8" x14ac:dyDescent="0.25">
      <c r="A147" s="1">
        <v>45204.59097222222</v>
      </c>
      <c r="B147" t="s">
        <v>139</v>
      </c>
      <c r="C147" s="29" t="str">
        <f>_xlfn.XLOOKUP(B147,Tableau13[ID_Antenne],Tableau13[Province_RDC],"Non répertoriées")</f>
        <v>Kwilu</v>
      </c>
      <c r="D147">
        <v>108</v>
      </c>
      <c r="E147" s="31" t="str">
        <f>_xlfn.XLOOKUP(B147,Tableau13[ID_Antenne],Tableau13[Technologie],"Non répertoriées")</f>
        <v>3G</v>
      </c>
      <c r="F147" s="3">
        <f>_xlfn.XLOOKUP(B147,Tableau13[ID_Antenne],Tableau13[Latitude],"Non répertoriées")</f>
        <v>-8.5675749999999997</v>
      </c>
      <c r="G147" s="32">
        <f>_xlfn.XLOOKUP(B147,Tableau13[ID_Antenne],Tableau13[Longitude],"Non répertoriées")</f>
        <v>26.994581</v>
      </c>
      <c r="H147" t="s">
        <v>8</v>
      </c>
    </row>
    <row r="148" spans="1:8" x14ac:dyDescent="0.25">
      <c r="A148" s="1">
        <v>45201.35</v>
      </c>
      <c r="B148" t="s">
        <v>140</v>
      </c>
      <c r="C148" t="str">
        <f>_xlfn.XLOOKUP(B148,Tableau13[ID_Antenne],Tableau13[Province_RDC],"Non répertoriées")</f>
        <v>Non répertoriées</v>
      </c>
      <c r="D148">
        <v>73</v>
      </c>
      <c r="E148" t="str">
        <f>_xlfn.XLOOKUP(B148,Tableau13[ID_Antenne],Tableau13[Technologie],"Non répertoriées")</f>
        <v>Non répertoriées</v>
      </c>
      <c r="F148" t="str">
        <f>_xlfn.XLOOKUP(B148,Tableau13[ID_Antenne],Tableau13[Latitude],"Non répertoriées")</f>
        <v>Non répertoriées</v>
      </c>
      <c r="G148" t="str">
        <f>_xlfn.XLOOKUP(B148,Tableau13[ID_Antenne],Tableau13[Longitude],"Non répertoriées")</f>
        <v>Non répertoriées</v>
      </c>
      <c r="H148" t="s">
        <v>5</v>
      </c>
    </row>
    <row r="149" spans="1:8" x14ac:dyDescent="0.25">
      <c r="A149" s="1">
        <v>45210.270138888889</v>
      </c>
      <c r="B149" t="s">
        <v>141</v>
      </c>
      <c r="C149" t="str">
        <f>_xlfn.XLOOKUP(B149,Tableau13[ID_Antenne],Tableau13[Province_RDC],"Non répertoriées")</f>
        <v>Non répertoriées</v>
      </c>
      <c r="D149">
        <v>104</v>
      </c>
      <c r="E149" t="str">
        <f>_xlfn.XLOOKUP(B149,Tableau13[ID_Antenne],Tableau13[Technologie],"Non répertoriées")</f>
        <v>Non répertoriées</v>
      </c>
      <c r="F149" t="str">
        <f>_xlfn.XLOOKUP(B149,Tableau13[ID_Antenne],Tableau13[Latitude],"Non répertoriées")</f>
        <v>Non répertoriées</v>
      </c>
      <c r="G149" t="str">
        <f>_xlfn.XLOOKUP(B149,Tableau13[ID_Antenne],Tableau13[Longitude],"Non répertoriées")</f>
        <v>Non répertoriées</v>
      </c>
      <c r="H149" t="s">
        <v>10</v>
      </c>
    </row>
    <row r="150" spans="1:8" x14ac:dyDescent="0.25">
      <c r="A150" s="1">
        <v>45210.45</v>
      </c>
      <c r="B150" t="s">
        <v>142</v>
      </c>
      <c r="C150" s="29" t="str">
        <f>_xlfn.XLOOKUP(B150,Tableau13[ID_Antenne],Tableau13[Province_RDC],"Non répertoriées")</f>
        <v>Lualaba</v>
      </c>
      <c r="D150">
        <v>66</v>
      </c>
      <c r="E150" s="31" t="str">
        <f>_xlfn.XLOOKUP(B150,Tableau13[ID_Antenne],Tableau13[Technologie],"Non répertoriées")</f>
        <v>4G</v>
      </c>
      <c r="F150" s="3">
        <f>_xlfn.XLOOKUP(B150,Tableau13[ID_Antenne],Tableau13[Latitude],"Non répertoriées")</f>
        <v>-9.7803979999999999</v>
      </c>
      <c r="G150" s="32">
        <f>_xlfn.XLOOKUP(B150,Tableau13[ID_Antenne],Tableau13[Longitude],"Non répertoriées")</f>
        <v>17.686595000000001</v>
      </c>
      <c r="H150" t="s">
        <v>5</v>
      </c>
    </row>
    <row r="151" spans="1:8" x14ac:dyDescent="0.25">
      <c r="A151" s="1">
        <v>45228.511805555558</v>
      </c>
      <c r="B151" t="s">
        <v>143</v>
      </c>
      <c r="C151" s="29" t="str">
        <f>_xlfn.XLOOKUP(B151,Tableau13[ID_Antenne],Tableau13[Province_RDC],"Non répertoriées")</f>
        <v>Haut-Uele</v>
      </c>
      <c r="D151">
        <v>64</v>
      </c>
      <c r="E151" s="31" t="str">
        <f>_xlfn.XLOOKUP(B151,Tableau13[ID_Antenne],Tableau13[Technologie],"Non répertoriées")</f>
        <v>4G</v>
      </c>
      <c r="F151" s="3">
        <f>_xlfn.XLOOKUP(B151,Tableau13[ID_Antenne],Tableau13[Latitude],"Non répertoriées")</f>
        <v>-4.4351269999999996</v>
      </c>
      <c r="G151" s="32">
        <f>_xlfn.XLOOKUP(B151,Tableau13[ID_Antenne],Tableau13[Longitude],"Non répertoriées")</f>
        <v>24.825467</v>
      </c>
      <c r="H151" t="s">
        <v>8</v>
      </c>
    </row>
    <row r="152" spans="1:8" x14ac:dyDescent="0.25">
      <c r="A152" s="1">
        <v>45224.552777777782</v>
      </c>
      <c r="B152" t="s">
        <v>144</v>
      </c>
      <c r="C152" s="29" t="str">
        <f>_xlfn.XLOOKUP(B152,Tableau13[ID_Antenne],Tableau13[Province_RDC],"Non répertoriées")</f>
        <v>Tanganyika</v>
      </c>
      <c r="D152">
        <v>60</v>
      </c>
      <c r="E152" s="31" t="str">
        <f>_xlfn.XLOOKUP(B152,Tableau13[ID_Antenne],Tableau13[Technologie],"Non répertoriées")</f>
        <v>4G</v>
      </c>
      <c r="F152" s="3">
        <f>_xlfn.XLOOKUP(B152,Tableau13[ID_Antenne],Tableau13[Latitude],"Non répertoriées")</f>
        <v>-10.439686999999999</v>
      </c>
      <c r="G152" s="32">
        <f>_xlfn.XLOOKUP(B152,Tableau13[ID_Antenne],Tableau13[Longitude],"Non répertoriées")</f>
        <v>20.714210000000001</v>
      </c>
      <c r="H152" t="s">
        <v>8</v>
      </c>
    </row>
    <row r="153" spans="1:8" x14ac:dyDescent="0.25">
      <c r="A153" s="1">
        <v>45226.104166666657</v>
      </c>
      <c r="B153" t="s">
        <v>145</v>
      </c>
      <c r="C153" s="29" t="str">
        <f>_xlfn.XLOOKUP(B153,Tableau13[ID_Antenne],Tableau13[Province_RDC],"Non répertoriées")</f>
        <v>Tshuapa</v>
      </c>
      <c r="D153">
        <v>110</v>
      </c>
      <c r="E153" s="31" t="str">
        <f>_xlfn.XLOOKUP(B153,Tableau13[ID_Antenne],Tableau13[Technologie],"Non répertoriées")</f>
        <v>5G</v>
      </c>
      <c r="F153" s="3">
        <f>_xlfn.XLOOKUP(B153,Tableau13[ID_Antenne],Tableau13[Latitude],"Non répertoriées")</f>
        <v>-2.3677800000000002</v>
      </c>
      <c r="G153" s="32">
        <f>_xlfn.XLOOKUP(B153,Tableau13[ID_Antenne],Tableau13[Longitude],"Non répertoriées")</f>
        <v>18.790323999999998</v>
      </c>
      <c r="H153" t="s">
        <v>8</v>
      </c>
    </row>
    <row r="154" spans="1:8" x14ac:dyDescent="0.25">
      <c r="A154" s="1">
        <v>45200.981944444437</v>
      </c>
      <c r="B154" t="s">
        <v>39</v>
      </c>
      <c r="C154" t="str">
        <f>_xlfn.XLOOKUP(B154,Tableau13[ID_Antenne],Tableau13[Province_RDC],"Non répertoriées")</f>
        <v>Non répertoriées</v>
      </c>
      <c r="D154">
        <v>98</v>
      </c>
      <c r="E154" t="str">
        <f>_xlfn.XLOOKUP(B154,Tableau13[ID_Antenne],Tableau13[Technologie],"Non répertoriées")</f>
        <v>Non répertoriées</v>
      </c>
      <c r="F154" t="str">
        <f>_xlfn.XLOOKUP(B154,Tableau13[ID_Antenne],Tableau13[Latitude],"Non répertoriées")</f>
        <v>Non répertoriées</v>
      </c>
      <c r="G154" t="str">
        <f>_xlfn.XLOOKUP(B154,Tableau13[ID_Antenne],Tableau13[Longitude],"Non répertoriées")</f>
        <v>Non répertoriées</v>
      </c>
      <c r="H154" t="s">
        <v>5</v>
      </c>
    </row>
    <row r="155" spans="1:8" x14ac:dyDescent="0.25">
      <c r="A155" s="1">
        <v>45201.468055555553</v>
      </c>
      <c r="B155" t="s">
        <v>146</v>
      </c>
      <c r="C155" s="29" t="str">
        <f>_xlfn.XLOOKUP(B155,Tableau13[ID_Antenne],Tableau13[Province_RDC],"Non répertoriées")</f>
        <v>Haut-Katanga</v>
      </c>
      <c r="D155">
        <v>80</v>
      </c>
      <c r="E155" s="31" t="str">
        <f>_xlfn.XLOOKUP(B155,Tableau13[ID_Antenne],Tableau13[Technologie],"Non répertoriées")</f>
        <v>5G</v>
      </c>
      <c r="F155" s="3">
        <f>_xlfn.XLOOKUP(B155,Tableau13[ID_Antenne],Tableau13[Latitude],"Non répertoriées")</f>
        <v>-3.3890790000000002</v>
      </c>
      <c r="G155" s="32">
        <f>_xlfn.XLOOKUP(B155,Tableau13[ID_Antenne],Tableau13[Longitude],"Non répertoriées")</f>
        <v>18.374571</v>
      </c>
      <c r="H155" t="s">
        <v>5</v>
      </c>
    </row>
    <row r="156" spans="1:8" x14ac:dyDescent="0.25">
      <c r="A156" s="1">
        <v>45220.117361111108</v>
      </c>
      <c r="B156" t="s">
        <v>147</v>
      </c>
      <c r="C156" t="str">
        <f>_xlfn.XLOOKUP(B156,Tableau13[ID_Antenne],Tableau13[Province_RDC],"Non répertoriées")</f>
        <v>Non répertoriées</v>
      </c>
      <c r="D156">
        <v>39</v>
      </c>
      <c r="E156" t="str">
        <f>_xlfn.XLOOKUP(B156,Tableau13[ID_Antenne],Tableau13[Technologie],"Non répertoriées")</f>
        <v>Non répertoriées</v>
      </c>
      <c r="F156" t="str">
        <f>_xlfn.XLOOKUP(B156,Tableau13[ID_Antenne],Tableau13[Latitude],"Non répertoriées")</f>
        <v>Non répertoriées</v>
      </c>
      <c r="G156" t="str">
        <f>_xlfn.XLOOKUP(B156,Tableau13[ID_Antenne],Tableau13[Longitude],"Non répertoriées")</f>
        <v>Non répertoriées</v>
      </c>
      <c r="H156" t="s">
        <v>5</v>
      </c>
    </row>
    <row r="157" spans="1:8" x14ac:dyDescent="0.25">
      <c r="A157" s="1">
        <v>45230.834722222222</v>
      </c>
      <c r="B157" t="s">
        <v>49</v>
      </c>
      <c r="C157" t="str">
        <f>_xlfn.XLOOKUP(B157,Tableau13[ID_Antenne],Tableau13[Province_RDC],"Non répertoriées")</f>
        <v>Non répertoriées</v>
      </c>
      <c r="D157">
        <v>46</v>
      </c>
      <c r="E157" t="str">
        <f>_xlfn.XLOOKUP(B157,Tableau13[ID_Antenne],Tableau13[Technologie],"Non répertoriées")</f>
        <v>Non répertoriées</v>
      </c>
      <c r="F157" t="str">
        <f>_xlfn.XLOOKUP(B157,Tableau13[ID_Antenne],Tableau13[Latitude],"Non répertoriées")</f>
        <v>Non répertoriées</v>
      </c>
      <c r="G157" t="str">
        <f>_xlfn.XLOOKUP(B157,Tableau13[ID_Antenne],Tableau13[Longitude],"Non répertoriées")</f>
        <v>Non répertoriées</v>
      </c>
      <c r="H157" t="s">
        <v>8</v>
      </c>
    </row>
    <row r="158" spans="1:8" x14ac:dyDescent="0.25">
      <c r="A158" s="1">
        <v>45224.010416666657</v>
      </c>
      <c r="B158" t="s">
        <v>81</v>
      </c>
      <c r="C158" s="29" t="str">
        <f>_xlfn.XLOOKUP(B158,Tableau13[ID_Antenne],Tableau13[Province_RDC],"Non répertoriées")</f>
        <v>Kwango</v>
      </c>
      <c r="D158">
        <v>114</v>
      </c>
      <c r="E158" s="31" t="str">
        <f>_xlfn.XLOOKUP(B158,Tableau13[ID_Antenne],Tableau13[Technologie],"Non répertoriées")</f>
        <v>3G</v>
      </c>
      <c r="F158" s="3">
        <f>_xlfn.XLOOKUP(B158,Tableau13[ID_Antenne],Tableau13[Latitude],"Non répertoriées")</f>
        <v>-9.7712979999999998</v>
      </c>
      <c r="G158" s="32">
        <f>_xlfn.XLOOKUP(B158,Tableau13[ID_Antenne],Tableau13[Longitude],"Non répertoriées")</f>
        <v>19.827895999999999</v>
      </c>
      <c r="H158" t="s">
        <v>10</v>
      </c>
    </row>
    <row r="159" spans="1:8" x14ac:dyDescent="0.25">
      <c r="A159" s="1">
        <v>45206.027083333327</v>
      </c>
      <c r="B159" t="s">
        <v>148</v>
      </c>
      <c r="C159" s="29" t="str">
        <f>_xlfn.XLOOKUP(B159,Tableau13[ID_Antenne],Tableau13[Province_RDC],"Non répertoriées")</f>
        <v>Kasai-Central</v>
      </c>
      <c r="D159">
        <v>36</v>
      </c>
      <c r="E159" s="31" t="str">
        <f>_xlfn.XLOOKUP(B159,Tableau13[ID_Antenne],Tableau13[Technologie],"Non répertoriées")</f>
        <v>4G</v>
      </c>
      <c r="F159" s="3">
        <f>_xlfn.XLOOKUP(B159,Tableau13[ID_Antenne],Tableau13[Latitude],"Non répertoriées")</f>
        <v>-3.111418</v>
      </c>
      <c r="G159" s="32">
        <f>_xlfn.XLOOKUP(B159,Tableau13[ID_Antenne],Tableau13[Longitude],"Non répertoriées")</f>
        <v>14.144854</v>
      </c>
      <c r="H159" t="s">
        <v>10</v>
      </c>
    </row>
    <row r="160" spans="1:8" x14ac:dyDescent="0.25">
      <c r="A160" s="1">
        <v>45204.297222222223</v>
      </c>
      <c r="B160" t="s">
        <v>149</v>
      </c>
      <c r="C160" s="29" t="str">
        <f>_xlfn.XLOOKUP(B160,Tableau13[ID_Antenne],Tableau13[Province_RDC],"Non répertoriées")</f>
        <v>Nord-Ubangi</v>
      </c>
      <c r="D160">
        <v>111</v>
      </c>
      <c r="E160" s="31" t="str">
        <f>_xlfn.XLOOKUP(B160,Tableau13[ID_Antenne],Tableau13[Technologie],"Non répertoriées")</f>
        <v>4G</v>
      </c>
      <c r="F160" s="3">
        <f>_xlfn.XLOOKUP(B160,Tableau13[ID_Antenne],Tableau13[Latitude],"Non répertoriées")</f>
        <v>-1.342476</v>
      </c>
      <c r="G160" s="32">
        <f>_xlfn.XLOOKUP(B160,Tableau13[ID_Antenne],Tableau13[Longitude],"Non répertoriées")</f>
        <v>15.986086</v>
      </c>
      <c r="H160" t="s">
        <v>8</v>
      </c>
    </row>
    <row r="161" spans="1:8" x14ac:dyDescent="0.25">
      <c r="A161" s="1">
        <v>45215.879861111112</v>
      </c>
      <c r="B161" t="s">
        <v>150</v>
      </c>
      <c r="C161" t="str">
        <f>_xlfn.XLOOKUP(B161,Tableau13[ID_Antenne],Tableau13[Province_RDC],"Non répertoriées")</f>
        <v>Non répertoriées</v>
      </c>
      <c r="D161">
        <v>16</v>
      </c>
      <c r="E161" t="str">
        <f>_xlfn.XLOOKUP(B161,Tableau13[ID_Antenne],Tableau13[Technologie],"Non répertoriées")</f>
        <v>Non répertoriées</v>
      </c>
      <c r="F161" t="str">
        <f>_xlfn.XLOOKUP(B161,Tableau13[ID_Antenne],Tableau13[Latitude],"Non répertoriées")</f>
        <v>Non répertoriées</v>
      </c>
      <c r="G161" t="str">
        <f>_xlfn.XLOOKUP(B161,Tableau13[ID_Antenne],Tableau13[Longitude],"Non répertoriées")</f>
        <v>Non répertoriées</v>
      </c>
      <c r="H161" t="s">
        <v>8</v>
      </c>
    </row>
    <row r="162" spans="1:8" x14ac:dyDescent="0.25">
      <c r="A162" s="1">
        <v>45218.270138888889</v>
      </c>
      <c r="B162" t="s">
        <v>151</v>
      </c>
      <c r="C162" s="29" t="str">
        <f>_xlfn.XLOOKUP(B162,Tableau13[ID_Antenne],Tableau13[Province_RDC],"Non répertoriées")</f>
        <v>Haut-Uele</v>
      </c>
      <c r="D162">
        <v>40</v>
      </c>
      <c r="E162" s="31" t="str">
        <f>_xlfn.XLOOKUP(B162,Tableau13[ID_Antenne],Tableau13[Technologie],"Non répertoriées")</f>
        <v>3G</v>
      </c>
      <c r="F162" s="3">
        <f>_xlfn.XLOOKUP(B162,Tableau13[ID_Antenne],Tableau13[Latitude],"Non répertoriées")</f>
        <v>-1.8045979999999999</v>
      </c>
      <c r="G162" s="32">
        <f>_xlfn.XLOOKUP(B162,Tableau13[ID_Antenne],Tableau13[Longitude],"Non répertoriées")</f>
        <v>12.511096999999999</v>
      </c>
      <c r="H162" t="s">
        <v>8</v>
      </c>
    </row>
    <row r="163" spans="1:8" x14ac:dyDescent="0.25">
      <c r="A163" s="1">
        <v>45222.367361111108</v>
      </c>
      <c r="B163" t="s">
        <v>152</v>
      </c>
      <c r="C163" t="str">
        <f>_xlfn.XLOOKUP(B163,Tableau13[ID_Antenne],Tableau13[Province_RDC],"Non répertoriées")</f>
        <v>Non répertoriées</v>
      </c>
      <c r="D163">
        <v>117</v>
      </c>
      <c r="E163" t="str">
        <f>_xlfn.XLOOKUP(B163,Tableau13[ID_Antenne],Tableau13[Technologie],"Non répertoriées")</f>
        <v>Non répertoriées</v>
      </c>
      <c r="F163" t="str">
        <f>_xlfn.XLOOKUP(B163,Tableau13[ID_Antenne],Tableau13[Latitude],"Non répertoriées")</f>
        <v>Non répertoriées</v>
      </c>
      <c r="G163" t="str">
        <f>_xlfn.XLOOKUP(B163,Tableau13[ID_Antenne],Tableau13[Longitude],"Non répertoriées")</f>
        <v>Non répertoriées</v>
      </c>
      <c r="H163" t="s">
        <v>8</v>
      </c>
    </row>
    <row r="164" spans="1:8" x14ac:dyDescent="0.25">
      <c r="A164" s="1">
        <v>45211.234722222223</v>
      </c>
      <c r="B164" t="s">
        <v>153</v>
      </c>
      <c r="C164" s="29" t="str">
        <f>_xlfn.XLOOKUP(B164,Tableau13[ID_Antenne],Tableau13[Province_RDC],"Non répertoriées")</f>
        <v>Nord-Kivu</v>
      </c>
      <c r="D164">
        <v>62</v>
      </c>
      <c r="E164" s="31" t="str">
        <f>_xlfn.XLOOKUP(B164,Tableau13[ID_Antenne],Tableau13[Technologie],"Non répertoriées")</f>
        <v>5G</v>
      </c>
      <c r="F164" s="3">
        <f>_xlfn.XLOOKUP(B164,Tableau13[ID_Antenne],Tableau13[Latitude],"Non répertoriées")</f>
        <v>-2.3102109999999998</v>
      </c>
      <c r="G164" s="32">
        <f>_xlfn.XLOOKUP(B164,Tableau13[ID_Antenne],Tableau13[Longitude],"Non répertoriées")</f>
        <v>12.362488000000001</v>
      </c>
      <c r="H164" t="s">
        <v>10</v>
      </c>
    </row>
    <row r="165" spans="1:8" x14ac:dyDescent="0.25">
      <c r="A165" s="1">
        <v>45219.989583333343</v>
      </c>
      <c r="B165" t="s">
        <v>154</v>
      </c>
      <c r="C165" t="str">
        <f>_xlfn.XLOOKUP(B165,Tableau13[ID_Antenne],Tableau13[Province_RDC],"Non répertoriées")</f>
        <v>Non répertoriées</v>
      </c>
      <c r="D165">
        <v>36</v>
      </c>
      <c r="E165" t="str">
        <f>_xlfn.XLOOKUP(B165,Tableau13[ID_Antenne],Tableau13[Technologie],"Non répertoriées")</f>
        <v>Non répertoriées</v>
      </c>
      <c r="F165" t="str">
        <f>_xlfn.XLOOKUP(B165,Tableau13[ID_Antenne],Tableau13[Latitude],"Non répertoriées")</f>
        <v>Non répertoriées</v>
      </c>
      <c r="G165" t="str">
        <f>_xlfn.XLOOKUP(B165,Tableau13[ID_Antenne],Tableau13[Longitude],"Non répertoriées")</f>
        <v>Non répertoriées</v>
      </c>
      <c r="H165" t="s">
        <v>5</v>
      </c>
    </row>
    <row r="166" spans="1:8" x14ac:dyDescent="0.25">
      <c r="A166" s="1">
        <v>45203.22152777778</v>
      </c>
      <c r="B166" t="s">
        <v>155</v>
      </c>
      <c r="C166" s="29" t="str">
        <f>_xlfn.XLOOKUP(B166,Tableau13[ID_Antenne],Tableau13[Province_RDC],"Non répertoriées")</f>
        <v>Tshopo</v>
      </c>
      <c r="D166">
        <v>101</v>
      </c>
      <c r="E166" s="31" t="str">
        <f>_xlfn.XLOOKUP(B166,Tableau13[ID_Antenne],Tableau13[Technologie],"Non répertoriées")</f>
        <v>3G</v>
      </c>
      <c r="F166" s="3">
        <f>_xlfn.XLOOKUP(B166,Tableau13[ID_Antenne],Tableau13[Latitude],"Non répertoriées")</f>
        <v>3.0603760000000002</v>
      </c>
      <c r="G166" s="32">
        <f>_xlfn.XLOOKUP(B166,Tableau13[ID_Antenne],Tableau13[Longitude],"Non répertoriées")</f>
        <v>19.708034000000001</v>
      </c>
      <c r="H166" t="s">
        <v>5</v>
      </c>
    </row>
    <row r="167" spans="1:8" x14ac:dyDescent="0.25">
      <c r="A167" s="1">
        <v>45203.750694444447</v>
      </c>
      <c r="B167" t="s">
        <v>156</v>
      </c>
      <c r="C167" s="29" t="str">
        <f>_xlfn.XLOOKUP(B167,Tableau13[ID_Antenne],Tableau13[Province_RDC],"Non répertoriées")</f>
        <v>Maniema</v>
      </c>
      <c r="D167">
        <v>64</v>
      </c>
      <c r="E167" s="31" t="str">
        <f>_xlfn.XLOOKUP(B167,Tableau13[ID_Antenne],Tableau13[Technologie],"Non répertoriées")</f>
        <v>4G</v>
      </c>
      <c r="F167" s="3">
        <f>_xlfn.XLOOKUP(B167,Tableau13[ID_Antenne],Tableau13[Latitude],"Non répertoriées")</f>
        <v>-4.6818410000000004</v>
      </c>
      <c r="G167" s="32">
        <f>_xlfn.XLOOKUP(B167,Tableau13[ID_Antenne],Tableau13[Longitude],"Non répertoriées")</f>
        <v>17.541618</v>
      </c>
      <c r="H167" t="s">
        <v>10</v>
      </c>
    </row>
    <row r="168" spans="1:8" x14ac:dyDescent="0.25">
      <c r="A168" s="1">
        <v>45229.4</v>
      </c>
      <c r="B168" t="s">
        <v>157</v>
      </c>
      <c r="C168" t="str">
        <f>_xlfn.XLOOKUP(B168,Tableau13[ID_Antenne],Tableau13[Province_RDC],"Non répertoriées")</f>
        <v>Non répertoriées</v>
      </c>
      <c r="D168">
        <v>77</v>
      </c>
      <c r="E168" t="str">
        <f>_xlfn.XLOOKUP(B168,Tableau13[ID_Antenne],Tableau13[Technologie],"Non répertoriées")</f>
        <v>Non répertoriées</v>
      </c>
      <c r="F168" t="str">
        <f>_xlfn.XLOOKUP(B168,Tableau13[ID_Antenne],Tableau13[Latitude],"Non répertoriées")</f>
        <v>Non répertoriées</v>
      </c>
      <c r="G168" t="str">
        <f>_xlfn.XLOOKUP(B168,Tableau13[ID_Antenne],Tableau13[Longitude],"Non répertoriées")</f>
        <v>Non répertoriées</v>
      </c>
      <c r="H168" t="s">
        <v>5</v>
      </c>
    </row>
    <row r="169" spans="1:8" x14ac:dyDescent="0.25">
      <c r="A169" s="1">
        <v>45221.517361111109</v>
      </c>
      <c r="B169" t="s">
        <v>158</v>
      </c>
      <c r="C169" s="29" t="str">
        <f>_xlfn.XLOOKUP(B169,Tableau13[ID_Antenne],Tableau13[Province_RDC],"Non répertoriées")</f>
        <v>Sud-Kivu</v>
      </c>
      <c r="D169">
        <v>83</v>
      </c>
      <c r="E169" s="31" t="str">
        <f>_xlfn.XLOOKUP(B169,Tableau13[ID_Antenne],Tableau13[Technologie],"Non répertoriées")</f>
        <v>4G</v>
      </c>
      <c r="F169" s="3">
        <f>_xlfn.XLOOKUP(B169,Tableau13[ID_Antenne],Tableau13[Latitude],"Non répertoriées")</f>
        <v>-2.9651529999999999</v>
      </c>
      <c r="G169" s="32">
        <f>_xlfn.XLOOKUP(B169,Tableau13[ID_Antenne],Tableau13[Longitude],"Non répertoriées")</f>
        <v>29.79908</v>
      </c>
      <c r="H169" t="s">
        <v>10</v>
      </c>
    </row>
    <row r="170" spans="1:8" x14ac:dyDescent="0.25">
      <c r="A170" s="1">
        <v>45230.925000000003</v>
      </c>
      <c r="B170" t="s">
        <v>159</v>
      </c>
      <c r="C170" t="str">
        <f>_xlfn.XLOOKUP(B170,Tableau13[ID_Antenne],Tableau13[Province_RDC],"Non répertoriées")</f>
        <v>Non répertoriées</v>
      </c>
      <c r="D170">
        <v>90</v>
      </c>
      <c r="E170" t="str">
        <f>_xlfn.XLOOKUP(B170,Tableau13[ID_Antenne],Tableau13[Technologie],"Non répertoriées")</f>
        <v>Non répertoriées</v>
      </c>
      <c r="F170" t="str">
        <f>_xlfn.XLOOKUP(B170,Tableau13[ID_Antenne],Tableau13[Latitude],"Non répertoriées")</f>
        <v>Non répertoriées</v>
      </c>
      <c r="G170" t="str">
        <f>_xlfn.XLOOKUP(B170,Tableau13[ID_Antenne],Tableau13[Longitude],"Non répertoriées")</f>
        <v>Non répertoriées</v>
      </c>
      <c r="H170" t="s">
        <v>5</v>
      </c>
    </row>
    <row r="171" spans="1:8" x14ac:dyDescent="0.25">
      <c r="A171" s="1">
        <v>45202.780555555553</v>
      </c>
      <c r="B171" t="s">
        <v>160</v>
      </c>
      <c r="C171" s="29" t="str">
        <f>_xlfn.XLOOKUP(B171,Tableau13[ID_Antenne],Tableau13[Province_RDC],"Non répertoriées")</f>
        <v>Maniema</v>
      </c>
      <c r="D171">
        <v>53</v>
      </c>
      <c r="E171" s="31" t="str">
        <f>_xlfn.XLOOKUP(B171,Tableau13[ID_Antenne],Tableau13[Technologie],"Non répertoriées")</f>
        <v>5G</v>
      </c>
      <c r="F171" s="3">
        <f>_xlfn.XLOOKUP(B171,Tableau13[ID_Antenne],Tableau13[Latitude],"Non répertoriées")</f>
        <v>-2.3743210000000001</v>
      </c>
      <c r="G171" s="32">
        <f>_xlfn.XLOOKUP(B171,Tableau13[ID_Antenne],Tableau13[Longitude],"Non répertoriées")</f>
        <v>22.399491000000001</v>
      </c>
      <c r="H171" t="s">
        <v>10</v>
      </c>
    </row>
    <row r="172" spans="1:8" x14ac:dyDescent="0.25">
      <c r="A172" s="1">
        <v>45226.84375</v>
      </c>
      <c r="B172" t="s">
        <v>161</v>
      </c>
      <c r="C172" t="str">
        <f>_xlfn.XLOOKUP(B172,Tableau13[ID_Antenne],Tableau13[Province_RDC],"Non répertoriées")</f>
        <v>Non répertoriées</v>
      </c>
      <c r="D172">
        <v>48</v>
      </c>
      <c r="E172" t="str">
        <f>_xlfn.XLOOKUP(B172,Tableau13[ID_Antenne],Tableau13[Technologie],"Non répertoriées")</f>
        <v>Non répertoriées</v>
      </c>
      <c r="F172" t="str">
        <f>_xlfn.XLOOKUP(B172,Tableau13[ID_Antenne],Tableau13[Latitude],"Non répertoriées")</f>
        <v>Non répertoriées</v>
      </c>
      <c r="G172" t="str">
        <f>_xlfn.XLOOKUP(B172,Tableau13[ID_Antenne],Tableau13[Longitude],"Non répertoriées")</f>
        <v>Non répertoriées</v>
      </c>
      <c r="H172" t="s">
        <v>5</v>
      </c>
    </row>
    <row r="173" spans="1:8" x14ac:dyDescent="0.25">
      <c r="A173" s="1">
        <v>45203.950694444437</v>
      </c>
      <c r="B173" t="s">
        <v>162</v>
      </c>
      <c r="C173" s="29" t="str">
        <f>_xlfn.XLOOKUP(B173,Tableau13[ID_Antenne],Tableau13[Province_RDC],"Non répertoriées")</f>
        <v>Tshuapa</v>
      </c>
      <c r="D173">
        <v>8</v>
      </c>
      <c r="E173" s="31" t="str">
        <f>_xlfn.XLOOKUP(B173,Tableau13[ID_Antenne],Tableau13[Technologie],"Non répertoriées")</f>
        <v>3G</v>
      </c>
      <c r="F173" s="3">
        <f>_xlfn.XLOOKUP(B173,Tableau13[ID_Antenne],Tableau13[Latitude],"Non répertoriées")</f>
        <v>-0.79406600000000005</v>
      </c>
      <c r="G173" s="32">
        <f>_xlfn.XLOOKUP(B173,Tableau13[ID_Antenne],Tableau13[Longitude],"Non répertoriées")</f>
        <v>12.534793000000001</v>
      </c>
      <c r="H173" t="s">
        <v>8</v>
      </c>
    </row>
    <row r="174" spans="1:8" x14ac:dyDescent="0.25">
      <c r="A174" s="1">
        <v>45209.901388888888</v>
      </c>
      <c r="B174" t="s">
        <v>163</v>
      </c>
      <c r="C174" s="29" t="str">
        <f>_xlfn.XLOOKUP(B174,Tableau13[ID_Antenne],Tableau13[Province_RDC],"Non répertoriées")</f>
        <v>Sud-Ubangi</v>
      </c>
      <c r="D174">
        <v>68</v>
      </c>
      <c r="E174" s="31" t="str">
        <f>_xlfn.XLOOKUP(B174,Tableau13[ID_Antenne],Tableau13[Technologie],"Non répertoriées")</f>
        <v>4G</v>
      </c>
      <c r="F174" s="3">
        <f>_xlfn.XLOOKUP(B174,Tableau13[ID_Antenne],Tableau13[Latitude],"Non répertoriées")</f>
        <v>-8.3241560000000003</v>
      </c>
      <c r="G174" s="32">
        <f>_xlfn.XLOOKUP(B174,Tableau13[ID_Antenne],Tableau13[Longitude],"Non répertoriées")</f>
        <v>19.543866000000001</v>
      </c>
      <c r="H174" t="s">
        <v>8</v>
      </c>
    </row>
    <row r="175" spans="1:8" x14ac:dyDescent="0.25">
      <c r="A175" s="1">
        <v>45225.159722222219</v>
      </c>
      <c r="B175" t="s">
        <v>164</v>
      </c>
      <c r="C175" t="str">
        <f>_xlfn.XLOOKUP(B175,Tableau13[ID_Antenne],Tableau13[Province_RDC],"Non répertoriées")</f>
        <v>Non répertoriées</v>
      </c>
      <c r="D175">
        <v>113</v>
      </c>
      <c r="E175" t="str">
        <f>_xlfn.XLOOKUP(B175,Tableau13[ID_Antenne],Tableau13[Technologie],"Non répertoriées")</f>
        <v>Non répertoriées</v>
      </c>
      <c r="F175" t="str">
        <f>_xlfn.XLOOKUP(B175,Tableau13[ID_Antenne],Tableau13[Latitude],"Non répertoriées")</f>
        <v>Non répertoriées</v>
      </c>
      <c r="G175" t="str">
        <f>_xlfn.XLOOKUP(B175,Tableau13[ID_Antenne],Tableau13[Longitude],"Non répertoriées")</f>
        <v>Non répertoriées</v>
      </c>
      <c r="H175" t="s">
        <v>5</v>
      </c>
    </row>
    <row r="176" spans="1:8" x14ac:dyDescent="0.25">
      <c r="A176" s="1">
        <v>45218.056944444441</v>
      </c>
      <c r="B176" t="s">
        <v>165</v>
      </c>
      <c r="C176" t="str">
        <f>_xlfn.XLOOKUP(B176,Tableau13[ID_Antenne],Tableau13[Province_RDC],"Non répertoriées")</f>
        <v>Non répertoriées</v>
      </c>
      <c r="D176">
        <v>46</v>
      </c>
      <c r="E176" t="str">
        <f>_xlfn.XLOOKUP(B176,Tableau13[ID_Antenne],Tableau13[Technologie],"Non répertoriées")</f>
        <v>Non répertoriées</v>
      </c>
      <c r="F176" t="str">
        <f>_xlfn.XLOOKUP(B176,Tableau13[ID_Antenne],Tableau13[Latitude],"Non répertoriées")</f>
        <v>Non répertoriées</v>
      </c>
      <c r="G176" t="str">
        <f>_xlfn.XLOOKUP(B176,Tableau13[ID_Antenne],Tableau13[Longitude],"Non répertoriées")</f>
        <v>Non répertoriées</v>
      </c>
      <c r="H176" t="s">
        <v>10</v>
      </c>
    </row>
    <row r="177" spans="1:8" x14ac:dyDescent="0.25">
      <c r="A177" s="1">
        <v>45217.570833333331</v>
      </c>
      <c r="B177" t="s">
        <v>166</v>
      </c>
      <c r="C177" t="str">
        <f>_xlfn.XLOOKUP(B177,Tableau13[ID_Antenne],Tableau13[Province_RDC],"Non répertoriées")</f>
        <v>Non répertoriées</v>
      </c>
      <c r="D177">
        <v>28</v>
      </c>
      <c r="E177" t="str">
        <f>_xlfn.XLOOKUP(B177,Tableau13[ID_Antenne],Tableau13[Technologie],"Non répertoriées")</f>
        <v>Non répertoriées</v>
      </c>
      <c r="F177" t="str">
        <f>_xlfn.XLOOKUP(B177,Tableau13[ID_Antenne],Tableau13[Latitude],"Non répertoriées")</f>
        <v>Non répertoriées</v>
      </c>
      <c r="G177" t="str">
        <f>_xlfn.XLOOKUP(B177,Tableau13[ID_Antenne],Tableau13[Longitude],"Non répertoriées")</f>
        <v>Non répertoriées</v>
      </c>
      <c r="H177" t="s">
        <v>5</v>
      </c>
    </row>
    <row r="178" spans="1:8" x14ac:dyDescent="0.25">
      <c r="A178" s="1">
        <v>45211.105555555558</v>
      </c>
      <c r="B178" t="s">
        <v>34</v>
      </c>
      <c r="C178" t="str">
        <f>_xlfn.XLOOKUP(B178,Tableau13[ID_Antenne],Tableau13[Province_RDC],"Non répertoriées")</f>
        <v>Non répertoriées</v>
      </c>
      <c r="D178">
        <v>67</v>
      </c>
      <c r="E178" t="str">
        <f>_xlfn.XLOOKUP(B178,Tableau13[ID_Antenne],Tableau13[Technologie],"Non répertoriées")</f>
        <v>Non répertoriées</v>
      </c>
      <c r="F178" t="str">
        <f>_xlfn.XLOOKUP(B178,Tableau13[ID_Antenne],Tableau13[Latitude],"Non répertoriées")</f>
        <v>Non répertoriées</v>
      </c>
      <c r="G178" t="str">
        <f>_xlfn.XLOOKUP(B178,Tableau13[ID_Antenne],Tableau13[Longitude],"Non répertoriées")</f>
        <v>Non répertoriées</v>
      </c>
      <c r="H178" t="s">
        <v>5</v>
      </c>
    </row>
    <row r="179" spans="1:8" x14ac:dyDescent="0.25">
      <c r="A179" s="1">
        <v>45220.416666666657</v>
      </c>
      <c r="B179" t="s">
        <v>167</v>
      </c>
      <c r="C179" s="29" t="str">
        <f>_xlfn.XLOOKUP(B179,Tableau13[ID_Antenne],Tableau13[Province_RDC],"Non répertoriées")</f>
        <v>Kinshasa</v>
      </c>
      <c r="D179">
        <v>32</v>
      </c>
      <c r="E179" s="31" t="str">
        <f>_xlfn.XLOOKUP(B179,Tableau13[ID_Antenne],Tableau13[Technologie],"Non répertoriées")</f>
        <v>5G</v>
      </c>
      <c r="F179" s="3">
        <f>_xlfn.XLOOKUP(B179,Tableau13[ID_Antenne],Tableau13[Latitude],"Non répertoriées")</f>
        <v>-11.991020000000001</v>
      </c>
      <c r="G179" s="32">
        <f>_xlfn.XLOOKUP(B179,Tableau13[ID_Antenne],Tableau13[Longitude],"Non répertoriées")</f>
        <v>22.514747</v>
      </c>
      <c r="H179" t="s">
        <v>8</v>
      </c>
    </row>
    <row r="180" spans="1:8" x14ac:dyDescent="0.25">
      <c r="A180" s="1">
        <v>45227.577777777777</v>
      </c>
      <c r="B180" t="s">
        <v>168</v>
      </c>
      <c r="C180" s="29" t="str">
        <f>_xlfn.XLOOKUP(B180,Tableau13[ID_Antenne],Tableau13[Province_RDC],"Non répertoriées")</f>
        <v>Tshopo</v>
      </c>
      <c r="D180">
        <v>50</v>
      </c>
      <c r="E180" s="31" t="str">
        <f>_xlfn.XLOOKUP(B180,Tableau13[ID_Antenne],Tableau13[Technologie],"Non répertoriées")</f>
        <v>5G</v>
      </c>
      <c r="F180" s="3">
        <f>_xlfn.XLOOKUP(B180,Tableau13[ID_Antenne],Tableau13[Latitude],"Non répertoriées")</f>
        <v>-4.5603610000000003</v>
      </c>
      <c r="G180" s="32">
        <f>_xlfn.XLOOKUP(B180,Tableau13[ID_Antenne],Tableau13[Longitude],"Non répertoriées")</f>
        <v>24.113918999999999</v>
      </c>
      <c r="H180" t="s">
        <v>10</v>
      </c>
    </row>
    <row r="181" spans="1:8" x14ac:dyDescent="0.25">
      <c r="A181" s="1">
        <v>45215.143750000003</v>
      </c>
      <c r="B181" t="s">
        <v>169</v>
      </c>
      <c r="C181" t="str">
        <f>_xlfn.XLOOKUP(B181,Tableau13[ID_Antenne],Tableau13[Province_RDC],"Non répertoriées")</f>
        <v>Non répertoriées</v>
      </c>
      <c r="D181">
        <v>107</v>
      </c>
      <c r="E181" t="str">
        <f>_xlfn.XLOOKUP(B181,Tableau13[ID_Antenne],Tableau13[Technologie],"Non répertoriées")</f>
        <v>Non répertoriées</v>
      </c>
      <c r="F181" t="str">
        <f>_xlfn.XLOOKUP(B181,Tableau13[ID_Antenne],Tableau13[Latitude],"Non répertoriées")</f>
        <v>Non répertoriées</v>
      </c>
      <c r="G181" t="str">
        <f>_xlfn.XLOOKUP(B181,Tableau13[ID_Antenne],Tableau13[Longitude],"Non répertoriées")</f>
        <v>Non répertoriées</v>
      </c>
      <c r="H181" t="s">
        <v>8</v>
      </c>
    </row>
    <row r="182" spans="1:8" x14ac:dyDescent="0.25">
      <c r="A182" s="1">
        <v>45230.486111111109</v>
      </c>
      <c r="B182" t="s">
        <v>170</v>
      </c>
      <c r="C182" s="29" t="str">
        <f>_xlfn.XLOOKUP(B182,Tableau13[ID_Antenne],Tableau13[Province_RDC],"Non répertoriées")</f>
        <v>Nord-Kivu</v>
      </c>
      <c r="D182">
        <v>38</v>
      </c>
      <c r="E182" s="31" t="str">
        <f>_xlfn.XLOOKUP(B182,Tableau13[ID_Antenne],Tableau13[Technologie],"Non répertoriées")</f>
        <v>5G</v>
      </c>
      <c r="F182" s="3">
        <f>_xlfn.XLOOKUP(B182,Tableau13[ID_Antenne],Tableau13[Latitude],"Non répertoriées")</f>
        <v>-12.336202</v>
      </c>
      <c r="G182" s="32">
        <f>_xlfn.XLOOKUP(B182,Tableau13[ID_Antenne],Tableau13[Longitude],"Non répertoriées")</f>
        <v>13.693683999999999</v>
      </c>
      <c r="H182" t="s">
        <v>5</v>
      </c>
    </row>
    <row r="183" spans="1:8" x14ac:dyDescent="0.25">
      <c r="A183" s="1">
        <v>45228.614583333343</v>
      </c>
      <c r="B183" t="s">
        <v>171</v>
      </c>
      <c r="C183" s="29" t="str">
        <f>_xlfn.XLOOKUP(B183,Tableau13[ID_Antenne],Tableau13[Province_RDC],"Non répertoriées")</f>
        <v>Bas-Uele</v>
      </c>
      <c r="D183">
        <v>48</v>
      </c>
      <c r="E183" s="31" t="str">
        <f>_xlfn.XLOOKUP(B183,Tableau13[ID_Antenne],Tableau13[Technologie],"Non répertoriées")</f>
        <v>5G</v>
      </c>
      <c r="F183" s="3">
        <f>_xlfn.XLOOKUP(B183,Tableau13[ID_Antenne],Tableau13[Latitude],"Non répertoriées")</f>
        <v>-3.6945459999999999</v>
      </c>
      <c r="G183" s="32">
        <f>_xlfn.XLOOKUP(B183,Tableau13[ID_Antenne],Tableau13[Longitude],"Non répertoriées")</f>
        <v>16.809108999999999</v>
      </c>
      <c r="H183" t="s">
        <v>8</v>
      </c>
    </row>
    <row r="184" spans="1:8" x14ac:dyDescent="0.25">
      <c r="A184" s="1">
        <v>45215.597916666673</v>
      </c>
      <c r="B184" t="s">
        <v>172</v>
      </c>
      <c r="C184" t="str">
        <f>_xlfn.XLOOKUP(B184,Tableau13[ID_Antenne],Tableau13[Province_RDC],"Non répertoriées")</f>
        <v>Non répertoriées</v>
      </c>
      <c r="D184">
        <v>7</v>
      </c>
      <c r="E184" t="str">
        <f>_xlfn.XLOOKUP(B184,Tableau13[ID_Antenne],Tableau13[Technologie],"Non répertoriées")</f>
        <v>Non répertoriées</v>
      </c>
      <c r="F184" t="str">
        <f>_xlfn.XLOOKUP(B184,Tableau13[ID_Antenne],Tableau13[Latitude],"Non répertoriées")</f>
        <v>Non répertoriées</v>
      </c>
      <c r="G184" t="str">
        <f>_xlfn.XLOOKUP(B184,Tableau13[ID_Antenne],Tableau13[Longitude],"Non répertoriées")</f>
        <v>Non répertoriées</v>
      </c>
      <c r="H184" t="s">
        <v>10</v>
      </c>
    </row>
    <row r="185" spans="1:8" x14ac:dyDescent="0.25">
      <c r="A185" s="1">
        <v>45205.052777777782</v>
      </c>
      <c r="B185" t="s">
        <v>38</v>
      </c>
      <c r="C185" s="29" t="str">
        <f>_xlfn.XLOOKUP(B185,Tableau13[ID_Antenne],Tableau13[Province_RDC],"Non répertoriées")</f>
        <v>Kasai</v>
      </c>
      <c r="D185">
        <v>102</v>
      </c>
      <c r="E185" s="31" t="str">
        <f>_xlfn.XLOOKUP(B185,Tableau13[ID_Antenne],Tableau13[Technologie],"Non répertoriées")</f>
        <v>4G</v>
      </c>
      <c r="F185" s="3">
        <f>_xlfn.XLOOKUP(B185,Tableau13[ID_Antenne],Tableau13[Latitude],"Non répertoriées")</f>
        <v>-4.9789079999999997</v>
      </c>
      <c r="G185" s="32">
        <f>_xlfn.XLOOKUP(B185,Tableau13[ID_Antenne],Tableau13[Longitude],"Non répertoriées")</f>
        <v>28.506295000000001</v>
      </c>
      <c r="H185" t="s">
        <v>8</v>
      </c>
    </row>
    <row r="186" spans="1:8" x14ac:dyDescent="0.25">
      <c r="A186" s="1">
        <v>45230.629861111112</v>
      </c>
      <c r="B186" t="s">
        <v>173</v>
      </c>
      <c r="C186" t="str">
        <f>_xlfn.XLOOKUP(B186,Tableau13[ID_Antenne],Tableau13[Province_RDC],"Non répertoriées")</f>
        <v>Non répertoriées</v>
      </c>
      <c r="D186">
        <v>91</v>
      </c>
      <c r="E186" t="str">
        <f>_xlfn.XLOOKUP(B186,Tableau13[ID_Antenne],Tableau13[Technologie],"Non répertoriées")</f>
        <v>Non répertoriées</v>
      </c>
      <c r="F186" t="str">
        <f>_xlfn.XLOOKUP(B186,Tableau13[ID_Antenne],Tableau13[Latitude],"Non répertoriées")</f>
        <v>Non répertoriées</v>
      </c>
      <c r="G186" t="str">
        <f>_xlfn.XLOOKUP(B186,Tableau13[ID_Antenne],Tableau13[Longitude],"Non répertoriées")</f>
        <v>Non répertoriées</v>
      </c>
      <c r="H186" t="s">
        <v>5</v>
      </c>
    </row>
    <row r="187" spans="1:8" x14ac:dyDescent="0.25">
      <c r="A187" s="1">
        <v>45226.100694444453</v>
      </c>
      <c r="B187" t="s">
        <v>174</v>
      </c>
      <c r="C187" s="29" t="str">
        <f>_xlfn.XLOOKUP(B187,Tableau13[ID_Antenne],Tableau13[Province_RDC],"Non répertoriées")</f>
        <v>Lomami</v>
      </c>
      <c r="D187">
        <v>110</v>
      </c>
      <c r="E187" s="31" t="str">
        <f>_xlfn.XLOOKUP(B187,Tableau13[ID_Antenne],Tableau13[Technologie],"Non répertoriées")</f>
        <v>3G</v>
      </c>
      <c r="F187" s="3">
        <f>_xlfn.XLOOKUP(B187,Tableau13[ID_Antenne],Tableau13[Latitude],"Non répertoriées")</f>
        <v>-2.2681789999999999</v>
      </c>
      <c r="G187" s="32">
        <f>_xlfn.XLOOKUP(B187,Tableau13[ID_Antenne],Tableau13[Longitude],"Non répertoriées")</f>
        <v>25.699068</v>
      </c>
      <c r="H187" t="s">
        <v>8</v>
      </c>
    </row>
    <row r="188" spans="1:8" x14ac:dyDescent="0.25">
      <c r="A188" s="1">
        <v>45215.10833333333</v>
      </c>
      <c r="B188" t="s">
        <v>175</v>
      </c>
      <c r="C188" t="str">
        <f>_xlfn.XLOOKUP(B188,Tableau13[ID_Antenne],Tableau13[Province_RDC],"Non répertoriées")</f>
        <v>Non répertoriées</v>
      </c>
      <c r="D188">
        <v>39</v>
      </c>
      <c r="E188" t="str">
        <f>_xlfn.XLOOKUP(B188,Tableau13[ID_Antenne],Tableau13[Technologie],"Non répertoriées")</f>
        <v>Non répertoriées</v>
      </c>
      <c r="F188" t="str">
        <f>_xlfn.XLOOKUP(B188,Tableau13[ID_Antenne],Tableau13[Latitude],"Non répertoriées")</f>
        <v>Non répertoriées</v>
      </c>
      <c r="G188" t="str">
        <f>_xlfn.XLOOKUP(B188,Tableau13[ID_Antenne],Tableau13[Longitude],"Non répertoriées")</f>
        <v>Non répertoriées</v>
      </c>
      <c r="H188" t="s">
        <v>10</v>
      </c>
    </row>
    <row r="189" spans="1:8" x14ac:dyDescent="0.25">
      <c r="A189" s="1">
        <v>45220.877083333333</v>
      </c>
      <c r="B189" t="s">
        <v>176</v>
      </c>
      <c r="C189" s="29" t="str">
        <f>_xlfn.XLOOKUP(B189,Tableau13[ID_Antenne],Tableau13[Province_RDC],"Non répertoriées")</f>
        <v>Kinshasa</v>
      </c>
      <c r="D189">
        <v>78</v>
      </c>
      <c r="E189" s="31" t="str">
        <f>_xlfn.XLOOKUP(B189,Tableau13[ID_Antenne],Tableau13[Technologie],"Non répertoriées")</f>
        <v>3G</v>
      </c>
      <c r="F189" s="3">
        <f>_xlfn.XLOOKUP(B189,Tableau13[ID_Antenne],Tableau13[Latitude],"Non répertoriées")</f>
        <v>-7.5418399999999997</v>
      </c>
      <c r="G189" s="32">
        <f>_xlfn.XLOOKUP(B189,Tableau13[ID_Antenne],Tableau13[Longitude],"Non répertoriées")</f>
        <v>16.931206</v>
      </c>
      <c r="H189" t="s">
        <v>5</v>
      </c>
    </row>
    <row r="190" spans="1:8" x14ac:dyDescent="0.25">
      <c r="A190" s="1">
        <v>45204.20208333333</v>
      </c>
      <c r="B190" t="s">
        <v>177</v>
      </c>
      <c r="C190" t="str">
        <f>_xlfn.XLOOKUP(B190,Tableau13[ID_Antenne],Tableau13[Province_RDC],"Non répertoriées")</f>
        <v>Non répertoriées</v>
      </c>
      <c r="D190">
        <v>10</v>
      </c>
      <c r="E190" t="str">
        <f>_xlfn.XLOOKUP(B190,Tableau13[ID_Antenne],Tableau13[Technologie],"Non répertoriées")</f>
        <v>Non répertoriées</v>
      </c>
      <c r="F190" t="str">
        <f>_xlfn.XLOOKUP(B190,Tableau13[ID_Antenne],Tableau13[Latitude],"Non répertoriées")</f>
        <v>Non répertoriées</v>
      </c>
      <c r="G190" t="str">
        <f>_xlfn.XLOOKUP(B190,Tableau13[ID_Antenne],Tableau13[Longitude],"Non répertoriées")</f>
        <v>Non répertoriées</v>
      </c>
      <c r="H190" t="s">
        <v>5</v>
      </c>
    </row>
    <row r="191" spans="1:8" x14ac:dyDescent="0.25">
      <c r="A191" s="1">
        <v>45218.378472222219</v>
      </c>
      <c r="B191" t="s">
        <v>178</v>
      </c>
      <c r="C191" s="29" t="str">
        <f>_xlfn.XLOOKUP(B191,Tableau13[ID_Antenne],Tableau13[Province_RDC],"Non répertoriées")</f>
        <v>Kasai-Central</v>
      </c>
      <c r="D191">
        <v>102</v>
      </c>
      <c r="E191" s="31" t="str">
        <f>_xlfn.XLOOKUP(B191,Tableau13[ID_Antenne],Tableau13[Technologie],"Non répertoriées")</f>
        <v>4G</v>
      </c>
      <c r="F191" s="3">
        <f>_xlfn.XLOOKUP(B191,Tableau13[ID_Antenne],Tableau13[Latitude],"Non répertoriées")</f>
        <v>-4.4451280000000004</v>
      </c>
      <c r="G191" s="32">
        <f>_xlfn.XLOOKUP(B191,Tableau13[ID_Antenne],Tableau13[Longitude],"Non répertoriées")</f>
        <v>16.536944999999999</v>
      </c>
      <c r="H191" t="s">
        <v>5</v>
      </c>
    </row>
    <row r="192" spans="1:8" x14ac:dyDescent="0.25">
      <c r="A192" s="1">
        <v>45207.149305555547</v>
      </c>
      <c r="B192" t="s">
        <v>179</v>
      </c>
      <c r="C192" s="29" t="str">
        <f>_xlfn.XLOOKUP(B192,Tableau13[ID_Antenne],Tableau13[Province_RDC],"Non répertoriées")</f>
        <v>Lualaba</v>
      </c>
      <c r="D192">
        <v>101</v>
      </c>
      <c r="E192" s="31" t="str">
        <f>_xlfn.XLOOKUP(B192,Tableau13[ID_Antenne],Tableau13[Technologie],"Non répertoriées")</f>
        <v>3G</v>
      </c>
      <c r="F192" s="3">
        <f>_xlfn.XLOOKUP(B192,Tableau13[ID_Antenne],Tableau13[Latitude],"Non répertoriées")</f>
        <v>-10.872631999999999</v>
      </c>
      <c r="G192" s="32">
        <f>_xlfn.XLOOKUP(B192,Tableau13[ID_Antenne],Tableau13[Longitude],"Non répertoriées")</f>
        <v>12.773279</v>
      </c>
      <c r="H192" t="s">
        <v>10</v>
      </c>
    </row>
    <row r="193" spans="1:8" x14ac:dyDescent="0.25">
      <c r="A193" s="1">
        <v>45224.568055555559</v>
      </c>
      <c r="B193" t="s">
        <v>180</v>
      </c>
      <c r="C193" s="29" t="str">
        <f>_xlfn.XLOOKUP(B193,Tableau13[ID_Antenne],Tableau13[Province_RDC],"Non répertoriées")</f>
        <v>Mai-Ndombe</v>
      </c>
      <c r="D193">
        <v>27</v>
      </c>
      <c r="E193" s="31" t="str">
        <f>_xlfn.XLOOKUP(B193,Tableau13[ID_Antenne],Tableau13[Technologie],"Non répertoriées")</f>
        <v>4G</v>
      </c>
      <c r="F193" s="3">
        <f>_xlfn.XLOOKUP(B193,Tableau13[ID_Antenne],Tableau13[Latitude],"Non répertoriées")</f>
        <v>-10.442425</v>
      </c>
      <c r="G193" s="32">
        <f>_xlfn.XLOOKUP(B193,Tableau13[ID_Antenne],Tableau13[Longitude],"Non répertoriées")</f>
        <v>23.243632000000002</v>
      </c>
      <c r="H193" t="s">
        <v>5</v>
      </c>
    </row>
    <row r="194" spans="1:8" x14ac:dyDescent="0.25">
      <c r="A194" s="1">
        <v>45219.801388888889</v>
      </c>
      <c r="B194" t="s">
        <v>181</v>
      </c>
      <c r="C194" s="29" t="str">
        <f>_xlfn.XLOOKUP(B194,Tableau13[ID_Antenne],Tableau13[Province_RDC],"Non répertoriées")</f>
        <v>Tshuapa</v>
      </c>
      <c r="D194">
        <v>65</v>
      </c>
      <c r="E194" s="31" t="str">
        <f>_xlfn.XLOOKUP(B194,Tableau13[ID_Antenne],Tableau13[Technologie],"Non répertoriées")</f>
        <v>3G</v>
      </c>
      <c r="F194" s="3">
        <f>_xlfn.XLOOKUP(B194,Tableau13[ID_Antenne],Tableau13[Latitude],"Non répertoriées")</f>
        <v>0.52897499999999997</v>
      </c>
      <c r="G194" s="32">
        <f>_xlfn.XLOOKUP(B194,Tableau13[ID_Antenne],Tableau13[Longitude],"Non répertoriées")</f>
        <v>13.849651</v>
      </c>
      <c r="H194" t="s">
        <v>8</v>
      </c>
    </row>
    <row r="195" spans="1:8" x14ac:dyDescent="0.25">
      <c r="A195" s="1">
        <v>45224.683333333327</v>
      </c>
      <c r="B195" t="s">
        <v>182</v>
      </c>
      <c r="C195" t="str">
        <f>_xlfn.XLOOKUP(B195,Tableau13[ID_Antenne],Tableau13[Province_RDC],"Non répertoriées")</f>
        <v>Non répertoriées</v>
      </c>
      <c r="D195">
        <v>71</v>
      </c>
      <c r="E195" t="str">
        <f>_xlfn.XLOOKUP(B195,Tableau13[ID_Antenne],Tableau13[Technologie],"Non répertoriées")</f>
        <v>Non répertoriées</v>
      </c>
      <c r="F195" t="str">
        <f>_xlfn.XLOOKUP(B195,Tableau13[ID_Antenne],Tableau13[Latitude],"Non répertoriées")</f>
        <v>Non répertoriées</v>
      </c>
      <c r="G195" t="str">
        <f>_xlfn.XLOOKUP(B195,Tableau13[ID_Antenne],Tableau13[Longitude],"Non répertoriées")</f>
        <v>Non répertoriées</v>
      </c>
      <c r="H195" t="s">
        <v>5</v>
      </c>
    </row>
    <row r="196" spans="1:8" x14ac:dyDescent="0.25">
      <c r="A196" s="1">
        <v>45214.59652777778</v>
      </c>
      <c r="B196" t="s">
        <v>183</v>
      </c>
      <c r="C196" t="str">
        <f>_xlfn.XLOOKUP(B196,Tableau13[ID_Antenne],Tableau13[Province_RDC],"Non répertoriées")</f>
        <v>Non répertoriées</v>
      </c>
      <c r="D196">
        <v>88</v>
      </c>
      <c r="E196" t="str">
        <f>_xlfn.XLOOKUP(B196,Tableau13[ID_Antenne],Tableau13[Technologie],"Non répertoriées")</f>
        <v>Non répertoriées</v>
      </c>
      <c r="F196" t="str">
        <f>_xlfn.XLOOKUP(B196,Tableau13[ID_Antenne],Tableau13[Latitude],"Non répertoriées")</f>
        <v>Non répertoriées</v>
      </c>
      <c r="G196" t="str">
        <f>_xlfn.XLOOKUP(B196,Tableau13[ID_Antenne],Tableau13[Longitude],"Non répertoriées")</f>
        <v>Non répertoriées</v>
      </c>
      <c r="H196" t="s">
        <v>10</v>
      </c>
    </row>
    <row r="197" spans="1:8" x14ac:dyDescent="0.25">
      <c r="A197" s="1">
        <v>45227.768750000003</v>
      </c>
      <c r="B197" t="s">
        <v>184</v>
      </c>
      <c r="C197" t="str">
        <f>_xlfn.XLOOKUP(B197,Tableau13[ID_Antenne],Tableau13[Province_RDC],"Non répertoriées")</f>
        <v>Non répertoriées</v>
      </c>
      <c r="D197">
        <v>61</v>
      </c>
      <c r="E197" t="str">
        <f>_xlfn.XLOOKUP(B197,Tableau13[ID_Antenne],Tableau13[Technologie],"Non répertoriées")</f>
        <v>Non répertoriées</v>
      </c>
      <c r="F197" t="str">
        <f>_xlfn.XLOOKUP(B197,Tableau13[ID_Antenne],Tableau13[Latitude],"Non répertoriées")</f>
        <v>Non répertoriées</v>
      </c>
      <c r="G197" t="str">
        <f>_xlfn.XLOOKUP(B197,Tableau13[ID_Antenne],Tableau13[Longitude],"Non répertoriées")</f>
        <v>Non répertoriées</v>
      </c>
      <c r="H197" t="s">
        <v>8</v>
      </c>
    </row>
    <row r="198" spans="1:8" x14ac:dyDescent="0.25">
      <c r="A198" s="1">
        <v>45209.777083333327</v>
      </c>
      <c r="B198" t="s">
        <v>185</v>
      </c>
      <c r="C198" s="29" t="str">
        <f>_xlfn.XLOOKUP(B198,Tableau13[ID_Antenne],Tableau13[Province_RDC],"Non répertoriées")</f>
        <v>Lualaba</v>
      </c>
      <c r="D198">
        <v>40</v>
      </c>
      <c r="E198" s="31" t="str">
        <f>_xlfn.XLOOKUP(B198,Tableau13[ID_Antenne],Tableau13[Technologie],"Non répertoriées")</f>
        <v>3G</v>
      </c>
      <c r="F198" s="3">
        <f>_xlfn.XLOOKUP(B198,Tableau13[ID_Antenne],Tableau13[Latitude],"Non répertoriées")</f>
        <v>-9.5243310000000001</v>
      </c>
      <c r="G198" s="32">
        <f>_xlfn.XLOOKUP(B198,Tableau13[ID_Antenne],Tableau13[Longitude],"Non répertoriées")</f>
        <v>30.541212000000002</v>
      </c>
      <c r="H198" t="s">
        <v>10</v>
      </c>
    </row>
    <row r="199" spans="1:8" x14ac:dyDescent="0.25">
      <c r="A199" s="1">
        <v>45201.824305555558</v>
      </c>
      <c r="B199" t="s">
        <v>186</v>
      </c>
      <c r="C199" s="29" t="str">
        <f>_xlfn.XLOOKUP(B199,Tableau13[ID_Antenne],Tableau13[Province_RDC],"Non répertoriées")</f>
        <v>Mai-Ndombe</v>
      </c>
      <c r="D199">
        <v>28</v>
      </c>
      <c r="E199" s="31" t="str">
        <f>_xlfn.XLOOKUP(B199,Tableau13[ID_Antenne],Tableau13[Technologie],"Non répertoriées")</f>
        <v>4G</v>
      </c>
      <c r="F199" s="3">
        <f>_xlfn.XLOOKUP(B199,Tableau13[ID_Antenne],Tableau13[Latitude],"Non répertoriées")</f>
        <v>-9.3652280000000001</v>
      </c>
      <c r="G199" s="32">
        <f>_xlfn.XLOOKUP(B199,Tableau13[ID_Antenne],Tableau13[Longitude],"Non répertoriées")</f>
        <v>18.674116000000001</v>
      </c>
      <c r="H199" t="s">
        <v>8</v>
      </c>
    </row>
    <row r="200" spans="1:8" x14ac:dyDescent="0.25">
      <c r="A200" s="1">
        <v>45203.277777777781</v>
      </c>
      <c r="B200" t="s">
        <v>187</v>
      </c>
      <c r="C200" t="str">
        <f>_xlfn.XLOOKUP(B200,Tableau13[ID_Antenne],Tableau13[Province_RDC],"Non répertoriées")</f>
        <v>Non répertoriées</v>
      </c>
      <c r="D200">
        <v>79</v>
      </c>
      <c r="E200" t="str">
        <f>_xlfn.XLOOKUP(B200,Tableau13[ID_Antenne],Tableau13[Technologie],"Non répertoriées")</f>
        <v>Non répertoriées</v>
      </c>
      <c r="F200" t="str">
        <f>_xlfn.XLOOKUP(B200,Tableau13[ID_Antenne],Tableau13[Latitude],"Non répertoriées")</f>
        <v>Non répertoriées</v>
      </c>
      <c r="G200" t="str">
        <f>_xlfn.XLOOKUP(B200,Tableau13[ID_Antenne],Tableau13[Longitude],"Non répertoriées")</f>
        <v>Non répertoriées</v>
      </c>
      <c r="H200" t="s">
        <v>8</v>
      </c>
    </row>
    <row r="201" spans="1:8" x14ac:dyDescent="0.25">
      <c r="A201" s="1">
        <v>45206.362500000003</v>
      </c>
      <c r="B201" t="s">
        <v>188</v>
      </c>
      <c r="C201" s="29" t="str">
        <f>_xlfn.XLOOKUP(B201,Tableau13[ID_Antenne],Tableau13[Province_RDC],"Non répertoriées")</f>
        <v>Maniema</v>
      </c>
      <c r="D201">
        <v>60</v>
      </c>
      <c r="E201" s="31" t="str">
        <f>_xlfn.XLOOKUP(B201,Tableau13[ID_Antenne],Tableau13[Technologie],"Non répertoriées")</f>
        <v>4G</v>
      </c>
      <c r="F201" s="3">
        <f>_xlfn.XLOOKUP(B201,Tableau13[ID_Antenne],Tableau13[Latitude],"Non répertoriées")</f>
        <v>-4.2645619999999997</v>
      </c>
      <c r="G201" s="32">
        <f>_xlfn.XLOOKUP(B201,Tableau13[ID_Antenne],Tableau13[Longitude],"Non répertoriées")</f>
        <v>18.960726000000001</v>
      </c>
      <c r="H201" t="s">
        <v>10</v>
      </c>
    </row>
    <row r="202" spans="1:8" x14ac:dyDescent="0.25">
      <c r="A202" s="1">
        <v>45202.21875</v>
      </c>
      <c r="B202" t="s">
        <v>189</v>
      </c>
      <c r="C202" s="29" t="str">
        <f>_xlfn.XLOOKUP(B202,Tableau13[ID_Antenne],Tableau13[Province_RDC],"Non répertoriées")</f>
        <v>Haut-Lomami</v>
      </c>
      <c r="D202">
        <v>86</v>
      </c>
      <c r="E202" s="31" t="str">
        <f>_xlfn.XLOOKUP(B202,Tableau13[ID_Antenne],Tableau13[Technologie],"Non répertoriées")</f>
        <v>4G</v>
      </c>
      <c r="F202" s="3">
        <f>_xlfn.XLOOKUP(B202,Tableau13[ID_Antenne],Tableau13[Latitude],"Non répertoriées")</f>
        <v>-12.112682</v>
      </c>
      <c r="G202" s="32">
        <f>_xlfn.XLOOKUP(B202,Tableau13[ID_Antenne],Tableau13[Longitude],"Non répertoriées")</f>
        <v>19.972052000000001</v>
      </c>
      <c r="H202" t="s">
        <v>10</v>
      </c>
    </row>
    <row r="203" spans="1:8" x14ac:dyDescent="0.25">
      <c r="A203" s="1">
        <v>45205.711111111108</v>
      </c>
      <c r="B203" t="s">
        <v>190</v>
      </c>
      <c r="C203" t="str">
        <f>_xlfn.XLOOKUP(B203,Tableau13[ID_Antenne],Tableau13[Province_RDC],"Non répertoriées")</f>
        <v>Non répertoriées</v>
      </c>
      <c r="D203">
        <v>109</v>
      </c>
      <c r="E203" t="str">
        <f>_xlfn.XLOOKUP(B203,Tableau13[ID_Antenne],Tableau13[Technologie],"Non répertoriées")</f>
        <v>Non répertoriées</v>
      </c>
      <c r="F203" t="str">
        <f>_xlfn.XLOOKUP(B203,Tableau13[ID_Antenne],Tableau13[Latitude],"Non répertoriées")</f>
        <v>Non répertoriées</v>
      </c>
      <c r="G203" t="str">
        <f>_xlfn.XLOOKUP(B203,Tableau13[ID_Antenne],Tableau13[Longitude],"Non répertoriées")</f>
        <v>Non répertoriées</v>
      </c>
      <c r="H203" t="s">
        <v>10</v>
      </c>
    </row>
    <row r="204" spans="1:8" x14ac:dyDescent="0.25">
      <c r="A204" s="1">
        <v>45205.018055555563</v>
      </c>
      <c r="B204" t="s">
        <v>191</v>
      </c>
      <c r="C204" s="29" t="str">
        <f>_xlfn.XLOOKUP(B204,Tableau13[ID_Antenne],Tableau13[Province_RDC],"Non répertoriées")</f>
        <v>Bas-Uele</v>
      </c>
      <c r="D204">
        <v>67</v>
      </c>
      <c r="E204" s="31" t="str">
        <f>_xlfn.XLOOKUP(B204,Tableau13[ID_Antenne],Tableau13[Technologie],"Non répertoriées")</f>
        <v>3G</v>
      </c>
      <c r="F204" s="3">
        <f>_xlfn.XLOOKUP(B204,Tableau13[ID_Antenne],Tableau13[Latitude],"Non répertoriées")</f>
        <v>1.5278670000000001</v>
      </c>
      <c r="G204" s="32">
        <f>_xlfn.XLOOKUP(B204,Tableau13[ID_Antenne],Tableau13[Longitude],"Non répertoriées")</f>
        <v>13.899388999999999</v>
      </c>
      <c r="H204" t="s">
        <v>10</v>
      </c>
    </row>
    <row r="205" spans="1:8" x14ac:dyDescent="0.25">
      <c r="A205" s="1">
        <v>45214.943055555559</v>
      </c>
      <c r="B205" t="s">
        <v>192</v>
      </c>
      <c r="C205" s="29" t="str">
        <f>_xlfn.XLOOKUP(B205,Tableau13[ID_Antenne],Tableau13[Province_RDC],"Non répertoriées")</f>
        <v>Haut-Lomami</v>
      </c>
      <c r="D205">
        <v>16</v>
      </c>
      <c r="E205" s="31" t="str">
        <f>_xlfn.XLOOKUP(B205,Tableau13[ID_Antenne],Tableau13[Technologie],"Non répertoriées")</f>
        <v>4G</v>
      </c>
      <c r="F205" s="3">
        <f>_xlfn.XLOOKUP(B205,Tableau13[ID_Antenne],Tableau13[Latitude],"Non répertoriées")</f>
        <v>1.210869</v>
      </c>
      <c r="G205" s="32">
        <f>_xlfn.XLOOKUP(B205,Tableau13[ID_Antenne],Tableau13[Longitude],"Non répertoriées")</f>
        <v>25.598741</v>
      </c>
      <c r="H205" t="s">
        <v>5</v>
      </c>
    </row>
    <row r="206" spans="1:8" x14ac:dyDescent="0.25">
      <c r="A206" s="1">
        <v>45215.376388888893</v>
      </c>
      <c r="B206" t="s">
        <v>22</v>
      </c>
      <c r="C206" s="29" t="str">
        <f>_xlfn.XLOOKUP(B206,Tableau13[ID_Antenne],Tableau13[Province_RDC],"Non répertoriées")</f>
        <v>Lomami</v>
      </c>
      <c r="D206">
        <v>65</v>
      </c>
      <c r="E206" s="31" t="str">
        <f>_xlfn.XLOOKUP(B206,Tableau13[ID_Antenne],Tableau13[Technologie],"Non répertoriées")</f>
        <v>3G</v>
      </c>
      <c r="F206" s="3">
        <f>_xlfn.XLOOKUP(B206,Tableau13[ID_Antenne],Tableau13[Latitude],"Non répertoriées")</f>
        <v>-2.2371569999999998</v>
      </c>
      <c r="G206" s="32">
        <f>_xlfn.XLOOKUP(B206,Tableau13[ID_Antenne],Tableau13[Longitude],"Non répertoriées")</f>
        <v>25.926188</v>
      </c>
      <c r="H206" t="s">
        <v>10</v>
      </c>
    </row>
    <row r="207" spans="1:8" x14ac:dyDescent="0.25">
      <c r="A207" s="1">
        <v>45207.40625</v>
      </c>
      <c r="B207" t="s">
        <v>72</v>
      </c>
      <c r="C207" t="str">
        <f>_xlfn.XLOOKUP(B207,Tableau13[ID_Antenne],Tableau13[Province_RDC],"Non répertoriées")</f>
        <v>Non répertoriées</v>
      </c>
      <c r="D207">
        <v>49</v>
      </c>
      <c r="E207" t="str">
        <f>_xlfn.XLOOKUP(B207,Tableau13[ID_Antenne],Tableau13[Technologie],"Non répertoriées")</f>
        <v>Non répertoriées</v>
      </c>
      <c r="F207" t="str">
        <f>_xlfn.XLOOKUP(B207,Tableau13[ID_Antenne],Tableau13[Latitude],"Non répertoriées")</f>
        <v>Non répertoriées</v>
      </c>
      <c r="G207" t="str">
        <f>_xlfn.XLOOKUP(B207,Tableau13[ID_Antenne],Tableau13[Longitude],"Non répertoriées")</f>
        <v>Non répertoriées</v>
      </c>
      <c r="H207" t="s">
        <v>8</v>
      </c>
    </row>
    <row r="208" spans="1:8" x14ac:dyDescent="0.25">
      <c r="A208" s="1">
        <v>45209.954861111109</v>
      </c>
      <c r="B208" t="s">
        <v>193</v>
      </c>
      <c r="C208" t="str">
        <f>_xlfn.XLOOKUP(B208,Tableau13[ID_Antenne],Tableau13[Province_RDC],"Non répertoriées")</f>
        <v>Non répertoriées</v>
      </c>
      <c r="D208">
        <v>57</v>
      </c>
      <c r="E208" t="str">
        <f>_xlfn.XLOOKUP(B208,Tableau13[ID_Antenne],Tableau13[Technologie],"Non répertoriées")</f>
        <v>Non répertoriées</v>
      </c>
      <c r="F208" t="str">
        <f>_xlfn.XLOOKUP(B208,Tableau13[ID_Antenne],Tableau13[Latitude],"Non répertoriées")</f>
        <v>Non répertoriées</v>
      </c>
      <c r="G208" t="str">
        <f>_xlfn.XLOOKUP(B208,Tableau13[ID_Antenne],Tableau13[Longitude],"Non répertoriées")</f>
        <v>Non répertoriées</v>
      </c>
      <c r="H208" t="s">
        <v>5</v>
      </c>
    </row>
    <row r="209" spans="1:8" x14ac:dyDescent="0.25">
      <c r="A209" s="1">
        <v>45214.113194444442</v>
      </c>
      <c r="B209" t="s">
        <v>60</v>
      </c>
      <c r="C209" t="str">
        <f>_xlfn.XLOOKUP(B209,Tableau13[ID_Antenne],Tableau13[Province_RDC],"Non répertoriées")</f>
        <v>Non répertoriées</v>
      </c>
      <c r="D209">
        <v>47</v>
      </c>
      <c r="E209" t="str">
        <f>_xlfn.XLOOKUP(B209,Tableau13[ID_Antenne],Tableau13[Technologie],"Non répertoriées")</f>
        <v>Non répertoriées</v>
      </c>
      <c r="F209" t="str">
        <f>_xlfn.XLOOKUP(B209,Tableau13[ID_Antenne],Tableau13[Latitude],"Non répertoriées")</f>
        <v>Non répertoriées</v>
      </c>
      <c r="G209" t="str">
        <f>_xlfn.XLOOKUP(B209,Tableau13[ID_Antenne],Tableau13[Longitude],"Non répertoriées")</f>
        <v>Non répertoriées</v>
      </c>
      <c r="H209" t="s">
        <v>10</v>
      </c>
    </row>
    <row r="210" spans="1:8" x14ac:dyDescent="0.25">
      <c r="A210" s="1">
        <v>45207.368055555547</v>
      </c>
      <c r="B210" t="s">
        <v>194</v>
      </c>
      <c r="C210" s="29" t="str">
        <f>_xlfn.XLOOKUP(B210,Tableau13[ID_Antenne],Tableau13[Province_RDC],"Non répertoriées")</f>
        <v>Tanganyika</v>
      </c>
      <c r="D210">
        <v>46</v>
      </c>
      <c r="E210" s="31" t="str">
        <f>_xlfn.XLOOKUP(B210,Tableau13[ID_Antenne],Tableau13[Technologie],"Non répertoriées")</f>
        <v>5G</v>
      </c>
      <c r="F210" s="3">
        <f>_xlfn.XLOOKUP(B210,Tableau13[ID_Antenne],Tableau13[Latitude],"Non répertoriées")</f>
        <v>-10.481026999999999</v>
      </c>
      <c r="G210" s="32">
        <f>_xlfn.XLOOKUP(B210,Tableau13[ID_Antenne],Tableau13[Longitude],"Non répertoriées")</f>
        <v>18.160464000000001</v>
      </c>
      <c r="H210" t="s">
        <v>5</v>
      </c>
    </row>
    <row r="211" spans="1:8" x14ac:dyDescent="0.25">
      <c r="A211" s="1">
        <v>45225.859027777777</v>
      </c>
      <c r="B211" t="s">
        <v>195</v>
      </c>
      <c r="C211" t="str">
        <f>_xlfn.XLOOKUP(B211,Tableau13[ID_Antenne],Tableau13[Province_RDC],"Non répertoriées")</f>
        <v>Non répertoriées</v>
      </c>
      <c r="D211">
        <v>90</v>
      </c>
      <c r="E211" t="str">
        <f>_xlfn.XLOOKUP(B211,Tableau13[ID_Antenne],Tableau13[Technologie],"Non répertoriées")</f>
        <v>Non répertoriées</v>
      </c>
      <c r="F211" t="str">
        <f>_xlfn.XLOOKUP(B211,Tableau13[ID_Antenne],Tableau13[Latitude],"Non répertoriées")</f>
        <v>Non répertoriées</v>
      </c>
      <c r="G211" t="str">
        <f>_xlfn.XLOOKUP(B211,Tableau13[ID_Antenne],Tableau13[Longitude],"Non répertoriées")</f>
        <v>Non répertoriées</v>
      </c>
      <c r="H211" t="s">
        <v>8</v>
      </c>
    </row>
    <row r="212" spans="1:8" x14ac:dyDescent="0.25">
      <c r="A212" s="1">
        <v>45221.268750000003</v>
      </c>
      <c r="B212" t="s">
        <v>196</v>
      </c>
      <c r="C212" s="29" t="str">
        <f>_xlfn.XLOOKUP(B212,Tableau13[ID_Antenne],Tableau13[Province_RDC],"Non répertoriées")</f>
        <v>Nord-Kivu</v>
      </c>
      <c r="D212">
        <v>18</v>
      </c>
      <c r="E212" s="31" t="str">
        <f>_xlfn.XLOOKUP(B212,Tableau13[ID_Antenne],Tableau13[Technologie],"Non répertoriées")</f>
        <v>3G</v>
      </c>
      <c r="F212" s="3">
        <f>_xlfn.XLOOKUP(B212,Tableau13[ID_Antenne],Tableau13[Latitude],"Non répertoriées")</f>
        <v>-1.8555980000000001</v>
      </c>
      <c r="G212" s="32">
        <f>_xlfn.XLOOKUP(B212,Tableau13[ID_Antenne],Tableau13[Longitude],"Non répertoriées")</f>
        <v>30.421918000000002</v>
      </c>
      <c r="H212" t="s">
        <v>8</v>
      </c>
    </row>
    <row r="213" spans="1:8" x14ac:dyDescent="0.25">
      <c r="A213" s="1">
        <v>45203.718055555553</v>
      </c>
      <c r="B213" t="s">
        <v>197</v>
      </c>
      <c r="C213" t="str">
        <f>_xlfn.XLOOKUP(B213,Tableau13[ID_Antenne],Tableau13[Province_RDC],"Non répertoriées")</f>
        <v>Non répertoriées</v>
      </c>
      <c r="D213">
        <v>114</v>
      </c>
      <c r="E213" t="str">
        <f>_xlfn.XLOOKUP(B213,Tableau13[ID_Antenne],Tableau13[Technologie],"Non répertoriées")</f>
        <v>Non répertoriées</v>
      </c>
      <c r="F213" t="str">
        <f>_xlfn.XLOOKUP(B213,Tableau13[ID_Antenne],Tableau13[Latitude],"Non répertoriées")</f>
        <v>Non répertoriées</v>
      </c>
      <c r="G213" t="str">
        <f>_xlfn.XLOOKUP(B213,Tableau13[ID_Antenne],Tableau13[Longitude],"Non répertoriées")</f>
        <v>Non répertoriées</v>
      </c>
      <c r="H213" t="s">
        <v>8</v>
      </c>
    </row>
    <row r="214" spans="1:8" x14ac:dyDescent="0.25">
      <c r="A214" s="1">
        <v>45220.206944444442</v>
      </c>
      <c r="B214" t="s">
        <v>198</v>
      </c>
      <c r="C214" s="29" t="str">
        <f>_xlfn.XLOOKUP(B214,Tableau13[ID_Antenne],Tableau13[Province_RDC],"Non répertoriées")</f>
        <v>Equateur</v>
      </c>
      <c r="D214">
        <v>25</v>
      </c>
      <c r="E214" s="31" t="str">
        <f>_xlfn.XLOOKUP(B214,Tableau13[ID_Antenne],Tableau13[Technologie],"Non répertoriées")</f>
        <v>5G</v>
      </c>
      <c r="F214" s="3">
        <f>_xlfn.XLOOKUP(B214,Tableau13[ID_Antenne],Tableau13[Latitude],"Non répertoriées")</f>
        <v>3.3289240000000002</v>
      </c>
      <c r="G214" s="32">
        <f>_xlfn.XLOOKUP(B214,Tableau13[ID_Antenne],Tableau13[Longitude],"Non répertoriées")</f>
        <v>24.412261000000001</v>
      </c>
      <c r="H214" t="s">
        <v>5</v>
      </c>
    </row>
    <row r="215" spans="1:8" x14ac:dyDescent="0.25">
      <c r="A215" s="1">
        <v>45208.169444444437</v>
      </c>
      <c r="B215" t="s">
        <v>199</v>
      </c>
      <c r="C215" s="29" t="str">
        <f>_xlfn.XLOOKUP(B215,Tableau13[ID_Antenne],Tableau13[Province_RDC],"Non répertoriées")</f>
        <v>Kasai</v>
      </c>
      <c r="D215">
        <v>47</v>
      </c>
      <c r="E215" s="31" t="str">
        <f>_xlfn.XLOOKUP(B215,Tableau13[ID_Antenne],Tableau13[Technologie],"Non répertoriées")</f>
        <v>5G</v>
      </c>
      <c r="F215" s="3">
        <f>_xlfn.XLOOKUP(B215,Tableau13[ID_Antenne],Tableau13[Latitude],"Non répertoriées")</f>
        <v>-4.351254</v>
      </c>
      <c r="G215" s="32">
        <f>_xlfn.XLOOKUP(B215,Tableau13[ID_Antenne],Tableau13[Longitude],"Non répertoriées")</f>
        <v>30.097408999999999</v>
      </c>
      <c r="H215" t="s">
        <v>5</v>
      </c>
    </row>
    <row r="216" spans="1:8" x14ac:dyDescent="0.25">
      <c r="A216" s="1">
        <v>45201.243055555547</v>
      </c>
      <c r="B216" t="s">
        <v>200</v>
      </c>
      <c r="C216" t="str">
        <f>_xlfn.XLOOKUP(B216,Tableau13[ID_Antenne],Tableau13[Province_RDC],"Non répertoriées")</f>
        <v>Non répertoriées</v>
      </c>
      <c r="D216">
        <v>57</v>
      </c>
      <c r="E216" t="str">
        <f>_xlfn.XLOOKUP(B216,Tableau13[ID_Antenne],Tableau13[Technologie],"Non répertoriées")</f>
        <v>Non répertoriées</v>
      </c>
      <c r="F216" t="str">
        <f>_xlfn.XLOOKUP(B216,Tableau13[ID_Antenne],Tableau13[Latitude],"Non répertoriées")</f>
        <v>Non répertoriées</v>
      </c>
      <c r="G216" t="str">
        <f>_xlfn.XLOOKUP(B216,Tableau13[ID_Antenne],Tableau13[Longitude],"Non répertoriées")</f>
        <v>Non répertoriées</v>
      </c>
      <c r="H216" t="s">
        <v>10</v>
      </c>
    </row>
    <row r="217" spans="1:8" x14ac:dyDescent="0.25">
      <c r="A217" s="1">
        <v>45209.824305555558</v>
      </c>
      <c r="B217" t="s">
        <v>133</v>
      </c>
      <c r="C217" s="29" t="str">
        <f>_xlfn.XLOOKUP(B217,Tableau13[ID_Antenne],Tableau13[Province_RDC],"Non répertoriées")</f>
        <v>Kasai-Central</v>
      </c>
      <c r="D217">
        <v>93</v>
      </c>
      <c r="E217" s="31" t="str">
        <f>_xlfn.XLOOKUP(B217,Tableau13[ID_Antenne],Tableau13[Technologie],"Non répertoriées")</f>
        <v>3G</v>
      </c>
      <c r="F217" s="3">
        <f>_xlfn.XLOOKUP(B217,Tableau13[ID_Antenne],Tableau13[Latitude],"Non répertoriées")</f>
        <v>-10.414493</v>
      </c>
      <c r="G217" s="32">
        <f>_xlfn.XLOOKUP(B217,Tableau13[ID_Antenne],Tableau13[Longitude],"Non répertoriées")</f>
        <v>12.333356999999999</v>
      </c>
      <c r="H217" t="s">
        <v>10</v>
      </c>
    </row>
    <row r="218" spans="1:8" x14ac:dyDescent="0.25">
      <c r="A218" s="1">
        <v>45226.790277777778</v>
      </c>
      <c r="B218" t="s">
        <v>201</v>
      </c>
      <c r="C218" s="29" t="str">
        <f>_xlfn.XLOOKUP(B218,Tableau13[ID_Antenne],Tableau13[Province_RDC],"Non répertoriées")</f>
        <v>Equateur</v>
      </c>
      <c r="D218">
        <v>68</v>
      </c>
      <c r="E218" s="31" t="str">
        <f>_xlfn.XLOOKUP(B218,Tableau13[ID_Antenne],Tableau13[Technologie],"Non répertoriées")</f>
        <v>3G</v>
      </c>
      <c r="F218" s="3">
        <f>_xlfn.XLOOKUP(B218,Tableau13[ID_Antenne],Tableau13[Latitude],"Non répertoriées")</f>
        <v>-0.37665700000000002</v>
      </c>
      <c r="G218" s="32">
        <f>_xlfn.XLOOKUP(B218,Tableau13[ID_Antenne],Tableau13[Longitude],"Non répertoriées")</f>
        <v>25.154807999999999</v>
      </c>
      <c r="H218" t="s">
        <v>10</v>
      </c>
    </row>
    <row r="219" spans="1:8" x14ac:dyDescent="0.25">
      <c r="A219" s="1">
        <v>45209.588194444441</v>
      </c>
      <c r="B219" t="s">
        <v>124</v>
      </c>
      <c r="C219" t="str">
        <f>_xlfn.XLOOKUP(B219,Tableau13[ID_Antenne],Tableau13[Province_RDC],"Non répertoriées")</f>
        <v>Non répertoriées</v>
      </c>
      <c r="D219">
        <v>41</v>
      </c>
      <c r="E219" t="str">
        <f>_xlfn.XLOOKUP(B219,Tableau13[ID_Antenne],Tableau13[Technologie],"Non répertoriées")</f>
        <v>Non répertoriées</v>
      </c>
      <c r="F219" t="str">
        <f>_xlfn.XLOOKUP(B219,Tableau13[ID_Antenne],Tableau13[Latitude],"Non répertoriées")</f>
        <v>Non répertoriées</v>
      </c>
      <c r="G219" t="str">
        <f>_xlfn.XLOOKUP(B219,Tableau13[ID_Antenne],Tableau13[Longitude],"Non répertoriées")</f>
        <v>Non répertoriées</v>
      </c>
      <c r="H219" t="s">
        <v>8</v>
      </c>
    </row>
    <row r="220" spans="1:8" x14ac:dyDescent="0.25">
      <c r="A220" s="1">
        <v>45214.929861111108</v>
      </c>
      <c r="B220" t="s">
        <v>202</v>
      </c>
      <c r="C220" t="str">
        <f>_xlfn.XLOOKUP(B220,Tableau13[ID_Antenne],Tableau13[Province_RDC],"Non répertoriées")</f>
        <v>Non répertoriées</v>
      </c>
      <c r="D220">
        <v>89</v>
      </c>
      <c r="E220" t="str">
        <f>_xlfn.XLOOKUP(B220,Tableau13[ID_Antenne],Tableau13[Technologie],"Non répertoriées")</f>
        <v>Non répertoriées</v>
      </c>
      <c r="F220" t="str">
        <f>_xlfn.XLOOKUP(B220,Tableau13[ID_Antenne],Tableau13[Latitude],"Non répertoriées")</f>
        <v>Non répertoriées</v>
      </c>
      <c r="G220" t="str">
        <f>_xlfn.XLOOKUP(B220,Tableau13[ID_Antenne],Tableau13[Longitude],"Non répertoriées")</f>
        <v>Non répertoriées</v>
      </c>
      <c r="H220" t="s">
        <v>10</v>
      </c>
    </row>
    <row r="221" spans="1:8" x14ac:dyDescent="0.25">
      <c r="A221" s="1">
        <v>45222.511805555558</v>
      </c>
      <c r="B221" t="s">
        <v>203</v>
      </c>
      <c r="C221" t="str">
        <f>_xlfn.XLOOKUP(B221,Tableau13[ID_Antenne],Tableau13[Province_RDC],"Non répertoriées")</f>
        <v>Non répertoriées</v>
      </c>
      <c r="D221">
        <v>56</v>
      </c>
      <c r="E221" t="str">
        <f>_xlfn.XLOOKUP(B221,Tableau13[ID_Antenne],Tableau13[Technologie],"Non répertoriées")</f>
        <v>Non répertoriées</v>
      </c>
      <c r="F221" t="str">
        <f>_xlfn.XLOOKUP(B221,Tableau13[ID_Antenne],Tableau13[Latitude],"Non répertoriées")</f>
        <v>Non répertoriées</v>
      </c>
      <c r="G221" t="str">
        <f>_xlfn.XLOOKUP(B221,Tableau13[ID_Antenne],Tableau13[Longitude],"Non répertoriées")</f>
        <v>Non répertoriées</v>
      </c>
      <c r="H221" t="s">
        <v>5</v>
      </c>
    </row>
    <row r="222" spans="1:8" x14ac:dyDescent="0.25">
      <c r="A222" s="1">
        <v>45216.729861111111</v>
      </c>
      <c r="B222" t="s">
        <v>204</v>
      </c>
      <c r="C222" s="29" t="str">
        <f>_xlfn.XLOOKUP(B222,Tableau13[ID_Antenne],Tableau13[Province_RDC],"Non répertoriées")</f>
        <v>Kasai-Oriental</v>
      </c>
      <c r="D222">
        <v>109</v>
      </c>
      <c r="E222" s="31" t="str">
        <f>_xlfn.XLOOKUP(B222,Tableau13[ID_Antenne],Tableau13[Technologie],"Non répertoriées")</f>
        <v>4G</v>
      </c>
      <c r="F222" s="3">
        <f>_xlfn.XLOOKUP(B222,Tableau13[ID_Antenne],Tableau13[Latitude],"Non répertoriées")</f>
        <v>0.639208</v>
      </c>
      <c r="G222" s="32">
        <f>_xlfn.XLOOKUP(B222,Tableau13[ID_Antenne],Tableau13[Longitude],"Non répertoriées")</f>
        <v>20.701739</v>
      </c>
      <c r="H222" t="s">
        <v>10</v>
      </c>
    </row>
    <row r="223" spans="1:8" x14ac:dyDescent="0.25">
      <c r="A223" s="1">
        <v>45214.109722222223</v>
      </c>
      <c r="B223" t="s">
        <v>205</v>
      </c>
      <c r="C223" t="str">
        <f>_xlfn.XLOOKUP(B223,Tableau13[ID_Antenne],Tableau13[Province_RDC],"Non répertoriées")</f>
        <v>Non répertoriées</v>
      </c>
      <c r="D223">
        <v>102</v>
      </c>
      <c r="E223" t="str">
        <f>_xlfn.XLOOKUP(B223,Tableau13[ID_Antenne],Tableau13[Technologie],"Non répertoriées")</f>
        <v>Non répertoriées</v>
      </c>
      <c r="F223" t="str">
        <f>_xlfn.XLOOKUP(B223,Tableau13[ID_Antenne],Tableau13[Latitude],"Non répertoriées")</f>
        <v>Non répertoriées</v>
      </c>
      <c r="G223" t="str">
        <f>_xlfn.XLOOKUP(B223,Tableau13[ID_Antenne],Tableau13[Longitude],"Non répertoriées")</f>
        <v>Non répertoriées</v>
      </c>
      <c r="H223" t="s">
        <v>8</v>
      </c>
    </row>
    <row r="224" spans="1:8" x14ac:dyDescent="0.25">
      <c r="A224" s="1">
        <v>45201.574305555558</v>
      </c>
      <c r="B224" t="s">
        <v>26</v>
      </c>
      <c r="C224" s="29" t="str">
        <f>_xlfn.XLOOKUP(B224,Tableau13[ID_Antenne],Tableau13[Province_RDC],"Non répertoriées")</f>
        <v>Haut-Katanga</v>
      </c>
      <c r="D224">
        <v>75</v>
      </c>
      <c r="E224" s="31" t="str">
        <f>_xlfn.XLOOKUP(B224,Tableau13[ID_Antenne],Tableau13[Technologie],"Non répertoriées")</f>
        <v>3G</v>
      </c>
      <c r="F224" s="3">
        <f>_xlfn.XLOOKUP(B224,Tableau13[ID_Antenne],Tableau13[Latitude],"Non répertoriées")</f>
        <v>0.172153</v>
      </c>
      <c r="G224" s="32">
        <f>_xlfn.XLOOKUP(B224,Tableau13[ID_Antenne],Tableau13[Longitude],"Non répertoriées")</f>
        <v>21.091376</v>
      </c>
      <c r="H224" t="s">
        <v>10</v>
      </c>
    </row>
    <row r="225" spans="1:8" x14ac:dyDescent="0.25">
      <c r="A225" s="1">
        <v>45210.802777777782</v>
      </c>
      <c r="B225" t="s">
        <v>206</v>
      </c>
      <c r="C225" t="str">
        <f>_xlfn.XLOOKUP(B225,Tableau13[ID_Antenne],Tableau13[Province_RDC],"Non répertoriées")</f>
        <v>Non répertoriées</v>
      </c>
      <c r="D225">
        <v>9</v>
      </c>
      <c r="E225" t="str">
        <f>_xlfn.XLOOKUP(B225,Tableau13[ID_Antenne],Tableau13[Technologie],"Non répertoriées")</f>
        <v>Non répertoriées</v>
      </c>
      <c r="F225" t="str">
        <f>_xlfn.XLOOKUP(B225,Tableau13[ID_Antenne],Tableau13[Latitude],"Non répertoriées")</f>
        <v>Non répertoriées</v>
      </c>
      <c r="G225" t="str">
        <f>_xlfn.XLOOKUP(B225,Tableau13[ID_Antenne],Tableau13[Longitude],"Non répertoriées")</f>
        <v>Non répertoriées</v>
      </c>
      <c r="H225" t="s">
        <v>8</v>
      </c>
    </row>
    <row r="226" spans="1:8" x14ac:dyDescent="0.25">
      <c r="A226" s="1">
        <v>45200.093055555553</v>
      </c>
      <c r="B226" t="s">
        <v>47</v>
      </c>
      <c r="C226" t="str">
        <f>_xlfn.XLOOKUP(B226,Tableau13[ID_Antenne],Tableau13[Province_RDC],"Non répertoriées")</f>
        <v>Non répertoriées</v>
      </c>
      <c r="D226">
        <v>63</v>
      </c>
      <c r="E226" t="str">
        <f>_xlfn.XLOOKUP(B226,Tableau13[ID_Antenne],Tableau13[Technologie],"Non répertoriées")</f>
        <v>Non répertoriées</v>
      </c>
      <c r="F226" t="str">
        <f>_xlfn.XLOOKUP(B226,Tableau13[ID_Antenne],Tableau13[Latitude],"Non répertoriées")</f>
        <v>Non répertoriées</v>
      </c>
      <c r="G226" t="str">
        <f>_xlfn.XLOOKUP(B226,Tableau13[ID_Antenne],Tableau13[Longitude],"Non répertoriées")</f>
        <v>Non répertoriées</v>
      </c>
      <c r="H226" t="s">
        <v>8</v>
      </c>
    </row>
    <row r="227" spans="1:8" x14ac:dyDescent="0.25">
      <c r="A227" s="1">
        <v>45230.911805555559</v>
      </c>
      <c r="B227" t="s">
        <v>207</v>
      </c>
      <c r="C227" t="str">
        <f>_xlfn.XLOOKUP(B227,Tableau13[ID_Antenne],Tableau13[Province_RDC],"Non répertoriées")</f>
        <v>Non répertoriées</v>
      </c>
      <c r="D227">
        <v>16</v>
      </c>
      <c r="E227" t="str">
        <f>_xlfn.XLOOKUP(B227,Tableau13[ID_Antenne],Tableau13[Technologie],"Non répertoriées")</f>
        <v>Non répertoriées</v>
      </c>
      <c r="F227" t="str">
        <f>_xlfn.XLOOKUP(B227,Tableau13[ID_Antenne],Tableau13[Latitude],"Non répertoriées")</f>
        <v>Non répertoriées</v>
      </c>
      <c r="G227" t="str">
        <f>_xlfn.XLOOKUP(B227,Tableau13[ID_Antenne],Tableau13[Longitude],"Non répertoriées")</f>
        <v>Non répertoriées</v>
      </c>
      <c r="H227" t="s">
        <v>8</v>
      </c>
    </row>
    <row r="228" spans="1:8" x14ac:dyDescent="0.25">
      <c r="A228" s="1">
        <v>45227.775694444441</v>
      </c>
      <c r="B228" t="s">
        <v>112</v>
      </c>
      <c r="C228" t="str">
        <f>_xlfn.XLOOKUP(B228,Tableau13[ID_Antenne],Tableau13[Province_RDC],"Non répertoriées")</f>
        <v>Non répertoriées</v>
      </c>
      <c r="D228">
        <v>45</v>
      </c>
      <c r="E228" t="str">
        <f>_xlfn.XLOOKUP(B228,Tableau13[ID_Antenne],Tableau13[Technologie],"Non répertoriées")</f>
        <v>Non répertoriées</v>
      </c>
      <c r="F228" t="str">
        <f>_xlfn.XLOOKUP(B228,Tableau13[ID_Antenne],Tableau13[Latitude],"Non répertoriées")</f>
        <v>Non répertoriées</v>
      </c>
      <c r="G228" t="str">
        <f>_xlfn.XLOOKUP(B228,Tableau13[ID_Antenne],Tableau13[Longitude],"Non répertoriées")</f>
        <v>Non répertoriées</v>
      </c>
      <c r="H228" t="s">
        <v>10</v>
      </c>
    </row>
    <row r="229" spans="1:8" x14ac:dyDescent="0.25">
      <c r="A229" s="1">
        <v>45212.624305555553</v>
      </c>
      <c r="B229" t="s">
        <v>208</v>
      </c>
      <c r="C229" t="str">
        <f>_xlfn.XLOOKUP(B229,Tableau13[ID_Antenne],Tableau13[Province_RDC],"Non répertoriées")</f>
        <v>Non répertoriées</v>
      </c>
      <c r="D229">
        <v>113</v>
      </c>
      <c r="E229" t="str">
        <f>_xlfn.XLOOKUP(B229,Tableau13[ID_Antenne],Tableau13[Technologie],"Non répertoriées")</f>
        <v>Non répertoriées</v>
      </c>
      <c r="F229" t="str">
        <f>_xlfn.XLOOKUP(B229,Tableau13[ID_Antenne],Tableau13[Latitude],"Non répertoriées")</f>
        <v>Non répertoriées</v>
      </c>
      <c r="G229" t="str">
        <f>_xlfn.XLOOKUP(B229,Tableau13[ID_Antenne],Tableau13[Longitude],"Non répertoriées")</f>
        <v>Non répertoriées</v>
      </c>
      <c r="H229" t="s">
        <v>10</v>
      </c>
    </row>
    <row r="230" spans="1:8" x14ac:dyDescent="0.25">
      <c r="A230" s="1">
        <v>45210.280555555553</v>
      </c>
      <c r="B230" t="s">
        <v>209</v>
      </c>
      <c r="C230" s="29" t="str">
        <f>_xlfn.XLOOKUP(B230,Tableau13[ID_Antenne],Tableau13[Province_RDC],"Non répertoriées")</f>
        <v>Sud-Ubangi</v>
      </c>
      <c r="D230">
        <v>43</v>
      </c>
      <c r="E230" s="31" t="str">
        <f>_xlfn.XLOOKUP(B230,Tableau13[ID_Antenne],Tableau13[Technologie],"Non répertoriées")</f>
        <v>3G</v>
      </c>
      <c r="F230" s="3">
        <f>_xlfn.XLOOKUP(B230,Tableau13[ID_Antenne],Tableau13[Latitude],"Non répertoriées")</f>
        <v>-12.342053999999999</v>
      </c>
      <c r="G230" s="32">
        <f>_xlfn.XLOOKUP(B230,Tableau13[ID_Antenne],Tableau13[Longitude],"Non répertoriées")</f>
        <v>18.756862000000002</v>
      </c>
      <c r="H230" t="s">
        <v>8</v>
      </c>
    </row>
    <row r="231" spans="1:8" x14ac:dyDescent="0.25">
      <c r="A231" s="1">
        <v>45207.543055555558</v>
      </c>
      <c r="B231" t="s">
        <v>210</v>
      </c>
      <c r="C231" t="str">
        <f>_xlfn.XLOOKUP(B231,Tableau13[ID_Antenne],Tableau13[Province_RDC],"Non répertoriées")</f>
        <v>Non répertoriées</v>
      </c>
      <c r="D231">
        <v>54</v>
      </c>
      <c r="E231" t="str">
        <f>_xlfn.XLOOKUP(B231,Tableau13[ID_Antenne],Tableau13[Technologie],"Non répertoriées")</f>
        <v>Non répertoriées</v>
      </c>
      <c r="F231" t="str">
        <f>_xlfn.XLOOKUP(B231,Tableau13[ID_Antenne],Tableau13[Latitude],"Non répertoriées")</f>
        <v>Non répertoriées</v>
      </c>
      <c r="G231" t="str">
        <f>_xlfn.XLOOKUP(B231,Tableau13[ID_Antenne],Tableau13[Longitude],"Non répertoriées")</f>
        <v>Non répertoriées</v>
      </c>
      <c r="H231" t="s">
        <v>5</v>
      </c>
    </row>
    <row r="232" spans="1:8" x14ac:dyDescent="0.25">
      <c r="A232" s="1">
        <v>45210.979166666657</v>
      </c>
      <c r="B232" t="s">
        <v>211</v>
      </c>
      <c r="C232" t="str">
        <f>_xlfn.XLOOKUP(B232,Tableau13[ID_Antenne],Tableau13[Province_RDC],"Non répertoriées")</f>
        <v>Non répertoriées</v>
      </c>
      <c r="D232">
        <v>114</v>
      </c>
      <c r="E232" t="str">
        <f>_xlfn.XLOOKUP(B232,Tableau13[ID_Antenne],Tableau13[Technologie],"Non répertoriées")</f>
        <v>Non répertoriées</v>
      </c>
      <c r="F232" t="str">
        <f>_xlfn.XLOOKUP(B232,Tableau13[ID_Antenne],Tableau13[Latitude],"Non répertoriées")</f>
        <v>Non répertoriées</v>
      </c>
      <c r="G232" t="str">
        <f>_xlfn.XLOOKUP(B232,Tableau13[ID_Antenne],Tableau13[Longitude],"Non répertoriées")</f>
        <v>Non répertoriées</v>
      </c>
      <c r="H232" t="s">
        <v>10</v>
      </c>
    </row>
    <row r="233" spans="1:8" x14ac:dyDescent="0.25">
      <c r="A233" s="1">
        <v>45222.51666666667</v>
      </c>
      <c r="B233" t="s">
        <v>212</v>
      </c>
      <c r="C233" t="str">
        <f>_xlfn.XLOOKUP(B233,Tableau13[ID_Antenne],Tableau13[Province_RDC],"Non répertoriées")</f>
        <v>Non répertoriées</v>
      </c>
      <c r="D233">
        <v>66</v>
      </c>
      <c r="E233" t="str">
        <f>_xlfn.XLOOKUP(B233,Tableau13[ID_Antenne],Tableau13[Technologie],"Non répertoriées")</f>
        <v>Non répertoriées</v>
      </c>
      <c r="F233" t="str">
        <f>_xlfn.XLOOKUP(B233,Tableau13[ID_Antenne],Tableau13[Latitude],"Non répertoriées")</f>
        <v>Non répertoriées</v>
      </c>
      <c r="G233" t="str">
        <f>_xlfn.XLOOKUP(B233,Tableau13[ID_Antenne],Tableau13[Longitude],"Non répertoriées")</f>
        <v>Non répertoriées</v>
      </c>
      <c r="H233" t="s">
        <v>5</v>
      </c>
    </row>
    <row r="234" spans="1:8" x14ac:dyDescent="0.25">
      <c r="A234" s="1">
        <v>45221.839583333327</v>
      </c>
      <c r="B234" t="s">
        <v>213</v>
      </c>
      <c r="C234" t="str">
        <f>_xlfn.XLOOKUP(B234,Tableau13[ID_Antenne],Tableau13[Province_RDC],"Non répertoriées")</f>
        <v>Non répertoriées</v>
      </c>
      <c r="D234">
        <v>18</v>
      </c>
      <c r="E234" t="str">
        <f>_xlfn.XLOOKUP(B234,Tableau13[ID_Antenne],Tableau13[Technologie],"Non répertoriées")</f>
        <v>Non répertoriées</v>
      </c>
      <c r="F234" t="str">
        <f>_xlfn.XLOOKUP(B234,Tableau13[ID_Antenne],Tableau13[Latitude],"Non répertoriées")</f>
        <v>Non répertoriées</v>
      </c>
      <c r="G234" t="str">
        <f>_xlfn.XLOOKUP(B234,Tableau13[ID_Antenne],Tableau13[Longitude],"Non répertoriées")</f>
        <v>Non répertoriées</v>
      </c>
      <c r="H234" t="s">
        <v>5</v>
      </c>
    </row>
    <row r="235" spans="1:8" x14ac:dyDescent="0.25">
      <c r="A235" s="1">
        <v>45215.047222222223</v>
      </c>
      <c r="B235" t="s">
        <v>214</v>
      </c>
      <c r="C235" t="str">
        <f>_xlfn.XLOOKUP(B235,Tableau13[ID_Antenne],Tableau13[Province_RDC],"Non répertoriées")</f>
        <v>Non répertoriées</v>
      </c>
      <c r="D235">
        <v>35</v>
      </c>
      <c r="E235" t="str">
        <f>_xlfn.XLOOKUP(B235,Tableau13[ID_Antenne],Tableau13[Technologie],"Non répertoriées")</f>
        <v>Non répertoriées</v>
      </c>
      <c r="F235" t="str">
        <f>_xlfn.XLOOKUP(B235,Tableau13[ID_Antenne],Tableau13[Latitude],"Non répertoriées")</f>
        <v>Non répertoriées</v>
      </c>
      <c r="G235" t="str">
        <f>_xlfn.XLOOKUP(B235,Tableau13[ID_Antenne],Tableau13[Longitude],"Non répertoriées")</f>
        <v>Non répertoriées</v>
      </c>
      <c r="H235" t="s">
        <v>5</v>
      </c>
    </row>
    <row r="236" spans="1:8" x14ac:dyDescent="0.25">
      <c r="A236" s="1">
        <v>45216.76458333333</v>
      </c>
      <c r="B236" t="s">
        <v>82</v>
      </c>
      <c r="C236" s="29" t="str">
        <f>_xlfn.XLOOKUP(B236,Tableau13[ID_Antenne],Tableau13[Province_RDC],"Non répertoriées")</f>
        <v>Sud-Ubangi</v>
      </c>
      <c r="D236">
        <v>53</v>
      </c>
      <c r="E236" s="31" t="str">
        <f>_xlfn.XLOOKUP(B236,Tableau13[ID_Antenne],Tableau13[Technologie],"Non répertoriées")</f>
        <v>4G</v>
      </c>
      <c r="F236" s="3">
        <f>_xlfn.XLOOKUP(B236,Tableau13[ID_Antenne],Tableau13[Latitude],"Non répertoriées")</f>
        <v>-10.914952</v>
      </c>
      <c r="G236" s="32">
        <f>_xlfn.XLOOKUP(B236,Tableau13[ID_Antenne],Tableau13[Longitude],"Non répertoriées")</f>
        <v>26.409648000000001</v>
      </c>
      <c r="H236" t="s">
        <v>8</v>
      </c>
    </row>
    <row r="237" spans="1:8" x14ac:dyDescent="0.25">
      <c r="A237" s="1">
        <v>45227.163194444453</v>
      </c>
      <c r="B237" t="s">
        <v>215</v>
      </c>
      <c r="C237" t="str">
        <f>_xlfn.XLOOKUP(B237,Tableau13[ID_Antenne],Tableau13[Province_RDC],"Non répertoriées")</f>
        <v>Non répertoriées</v>
      </c>
      <c r="D237">
        <v>78</v>
      </c>
      <c r="E237" t="str">
        <f>_xlfn.XLOOKUP(B237,Tableau13[ID_Antenne],Tableau13[Technologie],"Non répertoriées")</f>
        <v>Non répertoriées</v>
      </c>
      <c r="F237" t="str">
        <f>_xlfn.XLOOKUP(B237,Tableau13[ID_Antenne],Tableau13[Latitude],"Non répertoriées")</f>
        <v>Non répertoriées</v>
      </c>
      <c r="G237" t="str">
        <f>_xlfn.XLOOKUP(B237,Tableau13[ID_Antenne],Tableau13[Longitude],"Non répertoriées")</f>
        <v>Non répertoriées</v>
      </c>
      <c r="H237" t="s">
        <v>8</v>
      </c>
    </row>
    <row r="238" spans="1:8" x14ac:dyDescent="0.25">
      <c r="A238" s="1">
        <v>45227.587500000001</v>
      </c>
      <c r="B238" t="s">
        <v>149</v>
      </c>
      <c r="C238" s="29" t="str">
        <f>_xlfn.XLOOKUP(B238,Tableau13[ID_Antenne],Tableau13[Province_RDC],"Non répertoriées")</f>
        <v>Nord-Ubangi</v>
      </c>
      <c r="D238">
        <v>50</v>
      </c>
      <c r="E238" s="31" t="str">
        <f>_xlfn.XLOOKUP(B238,Tableau13[ID_Antenne],Tableau13[Technologie],"Non répertoriées")</f>
        <v>4G</v>
      </c>
      <c r="F238" s="3">
        <f>_xlfn.XLOOKUP(B238,Tableau13[ID_Antenne],Tableau13[Latitude],"Non répertoriées")</f>
        <v>-1.342476</v>
      </c>
      <c r="G238" s="32">
        <f>_xlfn.XLOOKUP(B238,Tableau13[ID_Antenne],Tableau13[Longitude],"Non répertoriées")</f>
        <v>15.986086</v>
      </c>
      <c r="H238" t="s">
        <v>8</v>
      </c>
    </row>
    <row r="239" spans="1:8" x14ac:dyDescent="0.25">
      <c r="A239" s="1">
        <v>45216.583333333343</v>
      </c>
      <c r="B239" t="s">
        <v>216</v>
      </c>
      <c r="C239" s="29" t="str">
        <f>_xlfn.XLOOKUP(B239,Tableau13[ID_Antenne],Tableau13[Province_RDC],"Non répertoriées")</f>
        <v>Haut-Katanga</v>
      </c>
      <c r="D239">
        <v>78</v>
      </c>
      <c r="E239" s="31" t="str">
        <f>_xlfn.XLOOKUP(B239,Tableau13[ID_Antenne],Tableau13[Technologie],"Non répertoriées")</f>
        <v>5G</v>
      </c>
      <c r="F239" s="3">
        <f>_xlfn.XLOOKUP(B239,Tableau13[ID_Antenne],Tableau13[Latitude],"Non répertoriées")</f>
        <v>0.16841400000000001</v>
      </c>
      <c r="G239" s="32">
        <f>_xlfn.XLOOKUP(B239,Tableau13[ID_Antenne],Tableau13[Longitude],"Non répertoriées")</f>
        <v>30.029876999999999</v>
      </c>
      <c r="H239" t="s">
        <v>10</v>
      </c>
    </row>
    <row r="240" spans="1:8" x14ac:dyDescent="0.25">
      <c r="A240" s="1">
        <v>45223.18472222222</v>
      </c>
      <c r="B240" t="s">
        <v>217</v>
      </c>
      <c r="C240" t="str">
        <f>_xlfn.XLOOKUP(B240,Tableau13[ID_Antenne],Tableau13[Province_RDC],"Non répertoriées")</f>
        <v>Non répertoriées</v>
      </c>
      <c r="D240">
        <v>42</v>
      </c>
      <c r="E240" t="str">
        <f>_xlfn.XLOOKUP(B240,Tableau13[ID_Antenne],Tableau13[Technologie],"Non répertoriées")</f>
        <v>Non répertoriées</v>
      </c>
      <c r="F240" t="str">
        <f>_xlfn.XLOOKUP(B240,Tableau13[ID_Antenne],Tableau13[Latitude],"Non répertoriées")</f>
        <v>Non répertoriées</v>
      </c>
      <c r="G240" t="str">
        <f>_xlfn.XLOOKUP(B240,Tableau13[ID_Antenne],Tableau13[Longitude],"Non répertoriées")</f>
        <v>Non répertoriées</v>
      </c>
      <c r="H240" t="s">
        <v>8</v>
      </c>
    </row>
    <row r="241" spans="1:8" x14ac:dyDescent="0.25">
      <c r="A241" s="1">
        <v>45227.839583333327</v>
      </c>
      <c r="B241" t="s">
        <v>218</v>
      </c>
      <c r="C241" t="str">
        <f>_xlfn.XLOOKUP(B241,Tableau13[ID_Antenne],Tableau13[Province_RDC],"Non répertoriées")</f>
        <v>Non répertoriées</v>
      </c>
      <c r="D241">
        <v>94</v>
      </c>
      <c r="E241" t="str">
        <f>_xlfn.XLOOKUP(B241,Tableau13[ID_Antenne],Tableau13[Technologie],"Non répertoriées")</f>
        <v>Non répertoriées</v>
      </c>
      <c r="F241" t="str">
        <f>_xlfn.XLOOKUP(B241,Tableau13[ID_Antenne],Tableau13[Latitude],"Non répertoriées")</f>
        <v>Non répertoriées</v>
      </c>
      <c r="G241" t="str">
        <f>_xlfn.XLOOKUP(B241,Tableau13[ID_Antenne],Tableau13[Longitude],"Non répertoriées")</f>
        <v>Non répertoriées</v>
      </c>
      <c r="H241" t="s">
        <v>10</v>
      </c>
    </row>
    <row r="242" spans="1:8" x14ac:dyDescent="0.25">
      <c r="A242" s="1">
        <v>45202.659722222219</v>
      </c>
      <c r="B242" t="s">
        <v>219</v>
      </c>
      <c r="C242" t="str">
        <f>_xlfn.XLOOKUP(B242,Tableau13[ID_Antenne],Tableau13[Province_RDC],"Non répertoriées")</f>
        <v>Non répertoriées</v>
      </c>
      <c r="D242">
        <v>42</v>
      </c>
      <c r="E242" t="str">
        <f>_xlfn.XLOOKUP(B242,Tableau13[ID_Antenne],Tableau13[Technologie],"Non répertoriées")</f>
        <v>Non répertoriées</v>
      </c>
      <c r="F242" t="str">
        <f>_xlfn.XLOOKUP(B242,Tableau13[ID_Antenne],Tableau13[Latitude],"Non répertoriées")</f>
        <v>Non répertoriées</v>
      </c>
      <c r="G242" t="str">
        <f>_xlfn.XLOOKUP(B242,Tableau13[ID_Antenne],Tableau13[Longitude],"Non répertoriées")</f>
        <v>Non répertoriées</v>
      </c>
      <c r="H242" t="s">
        <v>5</v>
      </c>
    </row>
    <row r="243" spans="1:8" x14ac:dyDescent="0.25">
      <c r="A243" s="1">
        <v>45208.443749999999</v>
      </c>
      <c r="B243" t="s">
        <v>220</v>
      </c>
      <c r="C243" s="29" t="str">
        <f>_xlfn.XLOOKUP(B243,Tableau13[ID_Antenne],Tableau13[Province_RDC],"Non répertoriées")</f>
        <v>Haut-Lomami</v>
      </c>
      <c r="D243">
        <v>7</v>
      </c>
      <c r="E243" s="31" t="str">
        <f>_xlfn.XLOOKUP(B243,Tableau13[ID_Antenne],Tableau13[Technologie],"Non répertoriées")</f>
        <v>4G</v>
      </c>
      <c r="F243" s="3">
        <f>_xlfn.XLOOKUP(B243,Tableau13[ID_Antenne],Tableau13[Latitude],"Non répertoriées")</f>
        <v>-6.3324319999999998</v>
      </c>
      <c r="G243" s="32">
        <f>_xlfn.XLOOKUP(B243,Tableau13[ID_Antenne],Tableau13[Longitude],"Non répertoriées")</f>
        <v>24.887858000000001</v>
      </c>
      <c r="H243" t="s">
        <v>10</v>
      </c>
    </row>
    <row r="244" spans="1:8" x14ac:dyDescent="0.25">
      <c r="A244" s="1">
        <v>45222.52847222222</v>
      </c>
      <c r="B244" t="s">
        <v>221</v>
      </c>
      <c r="C244" t="str">
        <f>_xlfn.XLOOKUP(B244,Tableau13[ID_Antenne],Tableau13[Province_RDC],"Non répertoriées")</f>
        <v>Non répertoriées</v>
      </c>
      <c r="D244">
        <v>111</v>
      </c>
      <c r="E244" t="str">
        <f>_xlfn.XLOOKUP(B244,Tableau13[ID_Antenne],Tableau13[Technologie],"Non répertoriées")</f>
        <v>Non répertoriées</v>
      </c>
      <c r="F244" t="str">
        <f>_xlfn.XLOOKUP(B244,Tableau13[ID_Antenne],Tableau13[Latitude],"Non répertoriées")</f>
        <v>Non répertoriées</v>
      </c>
      <c r="G244" t="str">
        <f>_xlfn.XLOOKUP(B244,Tableau13[ID_Antenne],Tableau13[Longitude],"Non répertoriées")</f>
        <v>Non répertoriées</v>
      </c>
      <c r="H244" t="s">
        <v>5</v>
      </c>
    </row>
    <row r="245" spans="1:8" x14ac:dyDescent="0.25">
      <c r="A245" s="1">
        <v>45202.45416666667</v>
      </c>
      <c r="B245" t="s">
        <v>222</v>
      </c>
      <c r="C245" t="str">
        <f>_xlfn.XLOOKUP(B245,Tableau13[ID_Antenne],Tableau13[Province_RDC],"Non répertoriées")</f>
        <v>Non répertoriées</v>
      </c>
      <c r="D245">
        <v>89</v>
      </c>
      <c r="E245" t="str">
        <f>_xlfn.XLOOKUP(B245,Tableau13[ID_Antenne],Tableau13[Technologie],"Non répertoriées")</f>
        <v>Non répertoriées</v>
      </c>
      <c r="F245" t="str">
        <f>_xlfn.XLOOKUP(B245,Tableau13[ID_Antenne],Tableau13[Latitude],"Non répertoriées")</f>
        <v>Non répertoriées</v>
      </c>
      <c r="G245" t="str">
        <f>_xlfn.XLOOKUP(B245,Tableau13[ID_Antenne],Tableau13[Longitude],"Non répertoriées")</f>
        <v>Non répertoriées</v>
      </c>
      <c r="H245" t="s">
        <v>10</v>
      </c>
    </row>
    <row r="246" spans="1:8" x14ac:dyDescent="0.25">
      <c r="A246" s="1">
        <v>45221.724999999999</v>
      </c>
      <c r="B246" t="s">
        <v>223</v>
      </c>
      <c r="C246" s="29" t="str">
        <f>_xlfn.XLOOKUP(B246,Tableau13[ID_Antenne],Tableau13[Province_RDC],"Non répertoriées")</f>
        <v>Kasai-Oriental</v>
      </c>
      <c r="D246">
        <v>55</v>
      </c>
      <c r="E246" s="31" t="str">
        <f>_xlfn.XLOOKUP(B246,Tableau13[ID_Antenne],Tableau13[Technologie],"Non répertoriées")</f>
        <v>3G</v>
      </c>
      <c r="F246" s="3">
        <f>_xlfn.XLOOKUP(B246,Tableau13[ID_Antenne],Tableau13[Latitude],"Non répertoriées")</f>
        <v>-1.3976519999999999</v>
      </c>
      <c r="G246" s="32">
        <f>_xlfn.XLOOKUP(B246,Tableau13[ID_Antenne],Tableau13[Longitude],"Non répertoriées")</f>
        <v>14.098819000000001</v>
      </c>
      <c r="H246" t="s">
        <v>8</v>
      </c>
    </row>
    <row r="247" spans="1:8" x14ac:dyDescent="0.25">
      <c r="A247" s="1">
        <v>45230.444444444453</v>
      </c>
      <c r="B247" t="s">
        <v>197</v>
      </c>
      <c r="C247" t="str">
        <f>_xlfn.XLOOKUP(B247,Tableau13[ID_Antenne],Tableau13[Province_RDC],"Non répertoriées")</f>
        <v>Non répertoriées</v>
      </c>
      <c r="D247">
        <v>40</v>
      </c>
      <c r="E247" t="str">
        <f>_xlfn.XLOOKUP(B247,Tableau13[ID_Antenne],Tableau13[Technologie],"Non répertoriées")</f>
        <v>Non répertoriées</v>
      </c>
      <c r="F247" t="str">
        <f>_xlfn.XLOOKUP(B247,Tableau13[ID_Antenne],Tableau13[Latitude],"Non répertoriées")</f>
        <v>Non répertoriées</v>
      </c>
      <c r="G247" t="str">
        <f>_xlfn.XLOOKUP(B247,Tableau13[ID_Antenne],Tableau13[Longitude],"Non répertoriées")</f>
        <v>Non répertoriées</v>
      </c>
      <c r="H247" t="s">
        <v>5</v>
      </c>
    </row>
    <row r="248" spans="1:8" x14ac:dyDescent="0.25">
      <c r="A248" s="1">
        <v>45222.663194444453</v>
      </c>
      <c r="B248" t="s">
        <v>224</v>
      </c>
      <c r="C248" s="29" t="str">
        <f>_xlfn.XLOOKUP(B248,Tableau13[ID_Antenne],Tableau13[Province_RDC],"Non répertoriées")</f>
        <v>Kongo-Central</v>
      </c>
      <c r="D248">
        <v>6</v>
      </c>
      <c r="E248" s="31" t="str">
        <f>_xlfn.XLOOKUP(B248,Tableau13[ID_Antenne],Tableau13[Technologie],"Non répertoriées")</f>
        <v>4G</v>
      </c>
      <c r="F248" s="3">
        <f>_xlfn.XLOOKUP(B248,Tableau13[ID_Antenne],Tableau13[Latitude],"Non répertoriées")</f>
        <v>2.975352</v>
      </c>
      <c r="G248" s="32">
        <f>_xlfn.XLOOKUP(B248,Tableau13[ID_Antenne],Tableau13[Longitude],"Non répertoriées")</f>
        <v>22.535886000000001</v>
      </c>
      <c r="H248" t="s">
        <v>10</v>
      </c>
    </row>
    <row r="249" spans="1:8" x14ac:dyDescent="0.25">
      <c r="A249" s="1">
        <v>45217.068749999999</v>
      </c>
      <c r="B249" t="s">
        <v>225</v>
      </c>
      <c r="C249" t="str">
        <f>_xlfn.XLOOKUP(B249,Tableau13[ID_Antenne],Tableau13[Province_RDC],"Non répertoriées")</f>
        <v>Non répertoriées</v>
      </c>
      <c r="D249">
        <v>77</v>
      </c>
      <c r="E249" t="str">
        <f>_xlfn.XLOOKUP(B249,Tableau13[ID_Antenne],Tableau13[Technologie],"Non répertoriées")</f>
        <v>Non répertoriées</v>
      </c>
      <c r="F249" t="str">
        <f>_xlfn.XLOOKUP(B249,Tableau13[ID_Antenne],Tableau13[Latitude],"Non répertoriées")</f>
        <v>Non répertoriées</v>
      </c>
      <c r="G249" t="str">
        <f>_xlfn.XLOOKUP(B249,Tableau13[ID_Antenne],Tableau13[Longitude],"Non répertoriées")</f>
        <v>Non répertoriées</v>
      </c>
      <c r="H249" t="s">
        <v>10</v>
      </c>
    </row>
    <row r="250" spans="1:8" x14ac:dyDescent="0.25">
      <c r="A250" s="1">
        <v>45202.319444444453</v>
      </c>
      <c r="B250" t="s">
        <v>226</v>
      </c>
      <c r="C250" t="str">
        <f>_xlfn.XLOOKUP(B250,Tableau13[ID_Antenne],Tableau13[Province_RDC],"Non répertoriées")</f>
        <v>Non répertoriées</v>
      </c>
      <c r="D250">
        <v>115</v>
      </c>
      <c r="E250" t="str">
        <f>_xlfn.XLOOKUP(B250,Tableau13[ID_Antenne],Tableau13[Technologie],"Non répertoriées")</f>
        <v>Non répertoriées</v>
      </c>
      <c r="F250" t="str">
        <f>_xlfn.XLOOKUP(B250,Tableau13[ID_Antenne],Tableau13[Latitude],"Non répertoriées")</f>
        <v>Non répertoriées</v>
      </c>
      <c r="G250" t="str">
        <f>_xlfn.XLOOKUP(B250,Tableau13[ID_Antenne],Tableau13[Longitude],"Non répertoriées")</f>
        <v>Non répertoriées</v>
      </c>
      <c r="H250" t="s">
        <v>8</v>
      </c>
    </row>
    <row r="251" spans="1:8" x14ac:dyDescent="0.25">
      <c r="A251" s="1">
        <v>45221.384722222218</v>
      </c>
      <c r="B251" t="s">
        <v>227</v>
      </c>
      <c r="C251" t="str">
        <f>_xlfn.XLOOKUP(B251,Tableau13[ID_Antenne],Tableau13[Province_RDC],"Non répertoriées")</f>
        <v>Non répertoriées</v>
      </c>
      <c r="D251">
        <v>92</v>
      </c>
      <c r="E251" t="str">
        <f>_xlfn.XLOOKUP(B251,Tableau13[ID_Antenne],Tableau13[Technologie],"Non répertoriées")</f>
        <v>Non répertoriées</v>
      </c>
      <c r="F251" t="str">
        <f>_xlfn.XLOOKUP(B251,Tableau13[ID_Antenne],Tableau13[Latitude],"Non répertoriées")</f>
        <v>Non répertoriées</v>
      </c>
      <c r="G251" t="str">
        <f>_xlfn.XLOOKUP(B251,Tableau13[ID_Antenne],Tableau13[Longitude],"Non répertoriées")</f>
        <v>Non répertoriées</v>
      </c>
      <c r="H251" t="s">
        <v>8</v>
      </c>
    </row>
    <row r="252" spans="1:8" x14ac:dyDescent="0.25">
      <c r="A252" s="1">
        <v>45223.102083333331</v>
      </c>
      <c r="B252" t="s">
        <v>228</v>
      </c>
      <c r="C252" t="str">
        <f>_xlfn.XLOOKUP(B252,Tableau13[ID_Antenne],Tableau13[Province_RDC],"Non répertoriées")</f>
        <v>Non répertoriées</v>
      </c>
      <c r="D252">
        <v>104</v>
      </c>
      <c r="E252" t="str">
        <f>_xlfn.XLOOKUP(B252,Tableau13[ID_Antenne],Tableau13[Technologie],"Non répertoriées")</f>
        <v>Non répertoriées</v>
      </c>
      <c r="F252" t="str">
        <f>_xlfn.XLOOKUP(B252,Tableau13[ID_Antenne],Tableau13[Latitude],"Non répertoriées")</f>
        <v>Non répertoriées</v>
      </c>
      <c r="G252" t="str">
        <f>_xlfn.XLOOKUP(B252,Tableau13[ID_Antenne],Tableau13[Longitude],"Non répertoriées")</f>
        <v>Non répertoriées</v>
      </c>
      <c r="H252" t="s">
        <v>8</v>
      </c>
    </row>
    <row r="253" spans="1:8" x14ac:dyDescent="0.25">
      <c r="A253" s="1">
        <v>45203.864583333343</v>
      </c>
      <c r="B253" t="s">
        <v>229</v>
      </c>
      <c r="C253" t="str">
        <f>_xlfn.XLOOKUP(B253,Tableau13[ID_Antenne],Tableau13[Province_RDC],"Non répertoriées")</f>
        <v>Non répertoriées</v>
      </c>
      <c r="D253">
        <v>100</v>
      </c>
      <c r="E253" t="str">
        <f>_xlfn.XLOOKUP(B253,Tableau13[ID_Antenne],Tableau13[Technologie],"Non répertoriées")</f>
        <v>Non répertoriées</v>
      </c>
      <c r="F253" t="str">
        <f>_xlfn.XLOOKUP(B253,Tableau13[ID_Antenne],Tableau13[Latitude],"Non répertoriées")</f>
        <v>Non répertoriées</v>
      </c>
      <c r="G253" t="str">
        <f>_xlfn.XLOOKUP(B253,Tableau13[ID_Antenne],Tableau13[Longitude],"Non répertoriées")</f>
        <v>Non répertoriées</v>
      </c>
      <c r="H253" t="s">
        <v>10</v>
      </c>
    </row>
    <row r="254" spans="1:8" x14ac:dyDescent="0.25">
      <c r="A254" s="1">
        <v>45227.144444444442</v>
      </c>
      <c r="B254" t="s">
        <v>230</v>
      </c>
      <c r="C254" s="29" t="str">
        <f>_xlfn.XLOOKUP(B254,Tableau13[ID_Antenne],Tableau13[Province_RDC],"Non répertoriées")</f>
        <v>Tshopo</v>
      </c>
      <c r="D254">
        <v>11</v>
      </c>
      <c r="E254" s="31" t="str">
        <f>_xlfn.XLOOKUP(B254,Tableau13[ID_Antenne],Tableau13[Technologie],"Non répertoriées")</f>
        <v>5G</v>
      </c>
      <c r="F254" s="3">
        <f>_xlfn.XLOOKUP(B254,Tableau13[ID_Antenne],Tableau13[Latitude],"Non répertoriées")</f>
        <v>2.4425979999999998</v>
      </c>
      <c r="G254" s="32">
        <f>_xlfn.XLOOKUP(B254,Tableau13[ID_Antenne],Tableau13[Longitude],"Non répertoriées")</f>
        <v>24.924308</v>
      </c>
      <c r="H254" t="s">
        <v>8</v>
      </c>
    </row>
    <row r="255" spans="1:8" x14ac:dyDescent="0.25">
      <c r="A255" s="1">
        <v>45205.929861111108</v>
      </c>
      <c r="B255" t="s">
        <v>231</v>
      </c>
      <c r="C255" s="29" t="str">
        <f>_xlfn.XLOOKUP(B255,Tableau13[ID_Antenne],Tableau13[Province_RDC],"Non répertoriées")</f>
        <v>Lualaba</v>
      </c>
      <c r="D255">
        <v>82</v>
      </c>
      <c r="E255" s="31" t="str">
        <f>_xlfn.XLOOKUP(B255,Tableau13[ID_Antenne],Tableau13[Technologie],"Non répertoriées")</f>
        <v>5G</v>
      </c>
      <c r="F255" s="3">
        <f>_xlfn.XLOOKUP(B255,Tableau13[ID_Antenne],Tableau13[Latitude],"Non répertoriées")</f>
        <v>4.0157999999999996</v>
      </c>
      <c r="G255" s="32">
        <f>_xlfn.XLOOKUP(B255,Tableau13[ID_Antenne],Tableau13[Longitude],"Non répertoriées")</f>
        <v>21.430246</v>
      </c>
      <c r="H255" t="s">
        <v>10</v>
      </c>
    </row>
    <row r="256" spans="1:8" x14ac:dyDescent="0.25">
      <c r="A256" s="1">
        <v>45228.001388888893</v>
      </c>
      <c r="B256" t="s">
        <v>232</v>
      </c>
      <c r="C256" s="29" t="str">
        <f>_xlfn.XLOOKUP(B256,Tableau13[ID_Antenne],Tableau13[Province_RDC],"Non répertoriées")</f>
        <v>Sud-Kivu</v>
      </c>
      <c r="D256">
        <v>100</v>
      </c>
      <c r="E256" s="31" t="str">
        <f>_xlfn.XLOOKUP(B256,Tableau13[ID_Antenne],Tableau13[Technologie],"Non répertoriées")</f>
        <v>3G</v>
      </c>
      <c r="F256" s="3">
        <f>_xlfn.XLOOKUP(B256,Tableau13[ID_Antenne],Tableau13[Latitude],"Non répertoriées")</f>
        <v>-9.3900009999999998</v>
      </c>
      <c r="G256" s="32">
        <f>_xlfn.XLOOKUP(B256,Tableau13[ID_Antenne],Tableau13[Longitude],"Non répertoriées")</f>
        <v>30.001517</v>
      </c>
      <c r="H256" t="s">
        <v>8</v>
      </c>
    </row>
    <row r="257" spans="1:8" x14ac:dyDescent="0.25">
      <c r="A257" s="1">
        <v>45210.054166666669</v>
      </c>
      <c r="B257" t="s">
        <v>233</v>
      </c>
      <c r="C257" t="str">
        <f>_xlfn.XLOOKUP(B257,Tableau13[ID_Antenne],Tableau13[Province_RDC],"Non répertoriées")</f>
        <v>Non répertoriées</v>
      </c>
      <c r="D257">
        <v>68</v>
      </c>
      <c r="E257" t="str">
        <f>_xlfn.XLOOKUP(B257,Tableau13[ID_Antenne],Tableau13[Technologie],"Non répertoriées")</f>
        <v>Non répertoriées</v>
      </c>
      <c r="F257" t="str">
        <f>_xlfn.XLOOKUP(B257,Tableau13[ID_Antenne],Tableau13[Latitude],"Non répertoriées")</f>
        <v>Non répertoriées</v>
      </c>
      <c r="G257" t="str">
        <f>_xlfn.XLOOKUP(B257,Tableau13[ID_Antenne],Tableau13[Longitude],"Non répertoriées")</f>
        <v>Non répertoriées</v>
      </c>
      <c r="H257" t="s">
        <v>10</v>
      </c>
    </row>
    <row r="258" spans="1:8" x14ac:dyDescent="0.25">
      <c r="A258" s="1">
        <v>45211.477083333331</v>
      </c>
      <c r="B258" t="s">
        <v>31</v>
      </c>
      <c r="C258" s="29" t="str">
        <f>_xlfn.XLOOKUP(B258,Tableau13[ID_Antenne],Tableau13[Province_RDC],"Non répertoriées")</f>
        <v>Nord-Kivu</v>
      </c>
      <c r="D258">
        <v>111</v>
      </c>
      <c r="E258" s="31" t="str">
        <f>_xlfn.XLOOKUP(B258,Tableau13[ID_Antenne],Tableau13[Technologie],"Non répertoriées")</f>
        <v>4G</v>
      </c>
      <c r="F258" s="3">
        <f>_xlfn.XLOOKUP(B258,Tableau13[ID_Antenne],Tableau13[Latitude],"Non répertoriées")</f>
        <v>4.6287159999999998</v>
      </c>
      <c r="G258" s="32">
        <f>_xlfn.XLOOKUP(B258,Tableau13[ID_Antenne],Tableau13[Longitude],"Non répertoriées")</f>
        <v>19.407077999999998</v>
      </c>
      <c r="H258" t="s">
        <v>5</v>
      </c>
    </row>
    <row r="259" spans="1:8" x14ac:dyDescent="0.25">
      <c r="A259" s="1">
        <v>45204.314583333333</v>
      </c>
      <c r="B259" t="s">
        <v>234</v>
      </c>
      <c r="C259" t="str">
        <f>_xlfn.XLOOKUP(B259,Tableau13[ID_Antenne],Tableau13[Province_RDC],"Non répertoriées")</f>
        <v>Non répertoriées</v>
      </c>
      <c r="D259">
        <v>120</v>
      </c>
      <c r="E259" t="str">
        <f>_xlfn.XLOOKUP(B259,Tableau13[ID_Antenne],Tableau13[Technologie],"Non répertoriées")</f>
        <v>Non répertoriées</v>
      </c>
      <c r="F259" t="str">
        <f>_xlfn.XLOOKUP(B259,Tableau13[ID_Antenne],Tableau13[Latitude],"Non répertoriées")</f>
        <v>Non répertoriées</v>
      </c>
      <c r="G259" t="str">
        <f>_xlfn.XLOOKUP(B259,Tableau13[ID_Antenne],Tableau13[Longitude],"Non répertoriées")</f>
        <v>Non répertoriées</v>
      </c>
      <c r="H259" t="s">
        <v>8</v>
      </c>
    </row>
    <row r="260" spans="1:8" x14ac:dyDescent="0.25">
      <c r="A260" s="1">
        <v>45213.779861111107</v>
      </c>
      <c r="B260" t="s">
        <v>235</v>
      </c>
      <c r="C260" s="29" t="str">
        <f>_xlfn.XLOOKUP(B260,Tableau13[ID_Antenne],Tableau13[Province_RDC],"Non répertoriées")</f>
        <v>Sankuru</v>
      </c>
      <c r="D260">
        <v>120</v>
      </c>
      <c r="E260" s="31" t="str">
        <f>_xlfn.XLOOKUP(B260,Tableau13[ID_Antenne],Tableau13[Technologie],"Non répertoriées")</f>
        <v>3G</v>
      </c>
      <c r="F260" s="3">
        <f>_xlfn.XLOOKUP(B260,Tableau13[ID_Antenne],Tableau13[Latitude],"Non répertoriées")</f>
        <v>-7.5969509999999998</v>
      </c>
      <c r="G260" s="32">
        <f>_xlfn.XLOOKUP(B260,Tableau13[ID_Antenne],Tableau13[Longitude],"Non répertoriées")</f>
        <v>22.153986</v>
      </c>
      <c r="H260" t="s">
        <v>5</v>
      </c>
    </row>
    <row r="261" spans="1:8" x14ac:dyDescent="0.25">
      <c r="A261" s="1">
        <v>45225.215277777781</v>
      </c>
      <c r="B261" t="s">
        <v>236</v>
      </c>
      <c r="C261" s="29" t="str">
        <f>_xlfn.XLOOKUP(B261,Tableau13[ID_Antenne],Tableau13[Province_RDC],"Non répertoriées")</f>
        <v>Mai-Ndombe</v>
      </c>
      <c r="D261">
        <v>41</v>
      </c>
      <c r="E261" s="31" t="str">
        <f>_xlfn.XLOOKUP(B261,Tableau13[ID_Antenne],Tableau13[Technologie],"Non répertoriées")</f>
        <v>4G</v>
      </c>
      <c r="F261" s="3">
        <f>_xlfn.XLOOKUP(B261,Tableau13[ID_Antenne],Tableau13[Latitude],"Non répertoriées")</f>
        <v>-4.9552579999999997</v>
      </c>
      <c r="G261" s="32">
        <f>_xlfn.XLOOKUP(B261,Tableau13[ID_Antenne],Tableau13[Longitude],"Non répertoriées")</f>
        <v>22.008103999999999</v>
      </c>
      <c r="H261" t="s">
        <v>10</v>
      </c>
    </row>
    <row r="262" spans="1:8" x14ac:dyDescent="0.25">
      <c r="A262" s="1">
        <v>45205.11041666667</v>
      </c>
      <c r="B262" t="s">
        <v>34</v>
      </c>
      <c r="C262" t="str">
        <f>_xlfn.XLOOKUP(B262,Tableau13[ID_Antenne],Tableau13[Province_RDC],"Non répertoriées")</f>
        <v>Non répertoriées</v>
      </c>
      <c r="D262">
        <v>104</v>
      </c>
      <c r="E262" t="str">
        <f>_xlfn.XLOOKUP(B262,Tableau13[ID_Antenne],Tableau13[Technologie],"Non répertoriées")</f>
        <v>Non répertoriées</v>
      </c>
      <c r="F262" t="str">
        <f>_xlfn.XLOOKUP(B262,Tableau13[ID_Antenne],Tableau13[Latitude],"Non répertoriées")</f>
        <v>Non répertoriées</v>
      </c>
      <c r="G262" t="str">
        <f>_xlfn.XLOOKUP(B262,Tableau13[ID_Antenne],Tableau13[Longitude],"Non répertoriées")</f>
        <v>Non répertoriées</v>
      </c>
      <c r="H262" t="s">
        <v>5</v>
      </c>
    </row>
    <row r="263" spans="1:8" x14ac:dyDescent="0.25">
      <c r="A263" s="1">
        <v>45227.527083333327</v>
      </c>
      <c r="B263" t="s">
        <v>237</v>
      </c>
      <c r="C263" s="29" t="str">
        <f>_xlfn.XLOOKUP(B263,Tableau13[ID_Antenne],Tableau13[Province_RDC],"Non répertoriées")</f>
        <v>Tanganyika</v>
      </c>
      <c r="D263">
        <v>107</v>
      </c>
      <c r="E263" s="31" t="str">
        <f>_xlfn.XLOOKUP(B263,Tableau13[ID_Antenne],Tableau13[Technologie],"Non répertoriées")</f>
        <v>5G</v>
      </c>
      <c r="F263" s="3">
        <f>_xlfn.XLOOKUP(B263,Tableau13[ID_Antenne],Tableau13[Latitude],"Non répertoriées")</f>
        <v>-1.50664</v>
      </c>
      <c r="G263" s="32">
        <f>_xlfn.XLOOKUP(B263,Tableau13[ID_Antenne],Tableau13[Longitude],"Non répertoriées")</f>
        <v>27.795642000000001</v>
      </c>
      <c r="H263" t="s">
        <v>8</v>
      </c>
    </row>
    <row r="264" spans="1:8" x14ac:dyDescent="0.25">
      <c r="A264" s="1">
        <v>45221.313194444447</v>
      </c>
      <c r="B264" t="s">
        <v>238</v>
      </c>
      <c r="C264" s="29" t="str">
        <f>_xlfn.XLOOKUP(B264,Tableau13[ID_Antenne],Tableau13[Province_RDC],"Non répertoriées")</f>
        <v>Kasai</v>
      </c>
      <c r="D264">
        <v>34</v>
      </c>
      <c r="E264" s="31" t="str">
        <f>_xlfn.XLOOKUP(B264,Tableau13[ID_Antenne],Tableau13[Technologie],"Non répertoriées")</f>
        <v>5G</v>
      </c>
      <c r="F264" s="3">
        <f>_xlfn.XLOOKUP(B264,Tableau13[ID_Antenne],Tableau13[Latitude],"Non répertoriées")</f>
        <v>-10.165072</v>
      </c>
      <c r="G264" s="32">
        <f>_xlfn.XLOOKUP(B264,Tableau13[ID_Antenne],Tableau13[Longitude],"Non répertoriées")</f>
        <v>29.428024000000001</v>
      </c>
      <c r="H264" t="s">
        <v>8</v>
      </c>
    </row>
    <row r="265" spans="1:8" x14ac:dyDescent="0.25">
      <c r="A265" s="1">
        <v>45229.756249999999</v>
      </c>
      <c r="B265" t="s">
        <v>239</v>
      </c>
      <c r="C265" t="str">
        <f>_xlfn.XLOOKUP(B265,Tableau13[ID_Antenne],Tableau13[Province_RDC],"Non répertoriées")</f>
        <v>Non répertoriées</v>
      </c>
      <c r="D265">
        <v>82</v>
      </c>
      <c r="E265" t="str">
        <f>_xlfn.XLOOKUP(B265,Tableau13[ID_Antenne],Tableau13[Technologie],"Non répertoriées")</f>
        <v>Non répertoriées</v>
      </c>
      <c r="F265" t="str">
        <f>_xlfn.XLOOKUP(B265,Tableau13[ID_Antenne],Tableau13[Latitude],"Non répertoriées")</f>
        <v>Non répertoriées</v>
      </c>
      <c r="G265" t="str">
        <f>_xlfn.XLOOKUP(B265,Tableau13[ID_Antenne],Tableau13[Longitude],"Non répertoriées")</f>
        <v>Non répertoriées</v>
      </c>
      <c r="H265" t="s">
        <v>10</v>
      </c>
    </row>
    <row r="266" spans="1:8" x14ac:dyDescent="0.25">
      <c r="A266" s="1">
        <v>45207.611111111109</v>
      </c>
      <c r="B266" t="s">
        <v>107</v>
      </c>
      <c r="C266" t="str">
        <f>_xlfn.XLOOKUP(B266,Tableau13[ID_Antenne],Tableau13[Province_RDC],"Non répertoriées")</f>
        <v>Non répertoriées</v>
      </c>
      <c r="D266">
        <v>107</v>
      </c>
      <c r="E266" t="str">
        <f>_xlfn.XLOOKUP(B266,Tableau13[ID_Antenne],Tableau13[Technologie],"Non répertoriées")</f>
        <v>Non répertoriées</v>
      </c>
      <c r="F266" t="str">
        <f>_xlfn.XLOOKUP(B266,Tableau13[ID_Antenne],Tableau13[Latitude],"Non répertoriées")</f>
        <v>Non répertoriées</v>
      </c>
      <c r="G266" t="str">
        <f>_xlfn.XLOOKUP(B266,Tableau13[ID_Antenne],Tableau13[Longitude],"Non répertoriées")</f>
        <v>Non répertoriées</v>
      </c>
      <c r="H266" t="s">
        <v>8</v>
      </c>
    </row>
    <row r="267" spans="1:8" x14ac:dyDescent="0.25">
      <c r="A267" s="1">
        <v>45208.594444444447</v>
      </c>
      <c r="B267" t="s">
        <v>240</v>
      </c>
      <c r="C267" t="str">
        <f>_xlfn.XLOOKUP(B267,Tableau13[ID_Antenne],Tableau13[Province_RDC],"Non répertoriées")</f>
        <v>Non répertoriées</v>
      </c>
      <c r="D267">
        <v>50</v>
      </c>
      <c r="E267" t="str">
        <f>_xlfn.XLOOKUP(B267,Tableau13[ID_Antenne],Tableau13[Technologie],"Non répertoriées")</f>
        <v>Non répertoriées</v>
      </c>
      <c r="F267" t="str">
        <f>_xlfn.XLOOKUP(B267,Tableau13[ID_Antenne],Tableau13[Latitude],"Non répertoriées")</f>
        <v>Non répertoriées</v>
      </c>
      <c r="G267" t="str">
        <f>_xlfn.XLOOKUP(B267,Tableau13[ID_Antenne],Tableau13[Longitude],"Non répertoriées")</f>
        <v>Non répertoriées</v>
      </c>
      <c r="H267" t="s">
        <v>5</v>
      </c>
    </row>
    <row r="268" spans="1:8" x14ac:dyDescent="0.25">
      <c r="A268" s="1">
        <v>45221.039583333331</v>
      </c>
      <c r="B268" t="s">
        <v>241</v>
      </c>
      <c r="C268" s="29" t="str">
        <f>_xlfn.XLOOKUP(B268,Tableau13[ID_Antenne],Tableau13[Province_RDC],"Non répertoriées")</f>
        <v>Kinshasa</v>
      </c>
      <c r="D268">
        <v>33</v>
      </c>
      <c r="E268" s="31" t="str">
        <f>_xlfn.XLOOKUP(B268,Tableau13[ID_Antenne],Tableau13[Technologie],"Non répertoriées")</f>
        <v>4G</v>
      </c>
      <c r="F268" s="3">
        <f>_xlfn.XLOOKUP(B268,Tableau13[ID_Antenne],Tableau13[Latitude],"Non répertoriées")</f>
        <v>0.48965500000000001</v>
      </c>
      <c r="G268" s="32">
        <f>_xlfn.XLOOKUP(B268,Tableau13[ID_Antenne],Tableau13[Longitude],"Non répertoriées")</f>
        <v>26.176860000000001</v>
      </c>
      <c r="H268" t="s">
        <v>8</v>
      </c>
    </row>
    <row r="269" spans="1:8" x14ac:dyDescent="0.25">
      <c r="A269" s="1">
        <v>45225.622916666667</v>
      </c>
      <c r="B269" t="s">
        <v>238</v>
      </c>
      <c r="C269" s="29" t="str">
        <f>_xlfn.XLOOKUP(B269,Tableau13[ID_Antenne],Tableau13[Province_RDC],"Non répertoriées")</f>
        <v>Kasai</v>
      </c>
      <c r="D269">
        <v>86</v>
      </c>
      <c r="E269" s="31" t="str">
        <f>_xlfn.XLOOKUP(B269,Tableau13[ID_Antenne],Tableau13[Technologie],"Non répertoriées")</f>
        <v>5G</v>
      </c>
      <c r="F269" s="3">
        <f>_xlfn.XLOOKUP(B269,Tableau13[ID_Antenne],Tableau13[Latitude],"Non répertoriées")</f>
        <v>-10.165072</v>
      </c>
      <c r="G269" s="32">
        <f>_xlfn.XLOOKUP(B269,Tableau13[ID_Antenne],Tableau13[Longitude],"Non répertoriées")</f>
        <v>29.428024000000001</v>
      </c>
      <c r="H269" t="s">
        <v>5</v>
      </c>
    </row>
    <row r="270" spans="1:8" x14ac:dyDescent="0.25">
      <c r="A270" s="1">
        <v>45209.898611111108</v>
      </c>
      <c r="B270" t="s">
        <v>179</v>
      </c>
      <c r="C270" s="29" t="str">
        <f>_xlfn.XLOOKUP(B270,Tableau13[ID_Antenne],Tableau13[Province_RDC],"Non répertoriées")</f>
        <v>Lualaba</v>
      </c>
      <c r="D270">
        <v>29</v>
      </c>
      <c r="E270" s="31" t="str">
        <f>_xlfn.XLOOKUP(B270,Tableau13[ID_Antenne],Tableau13[Technologie],"Non répertoriées")</f>
        <v>3G</v>
      </c>
      <c r="F270" s="3">
        <f>_xlfn.XLOOKUP(B270,Tableau13[ID_Antenne],Tableau13[Latitude],"Non répertoriées")</f>
        <v>-10.872631999999999</v>
      </c>
      <c r="G270" s="32">
        <f>_xlfn.XLOOKUP(B270,Tableau13[ID_Antenne],Tableau13[Longitude],"Non répertoriées")</f>
        <v>12.773279</v>
      </c>
      <c r="H270" t="s">
        <v>8</v>
      </c>
    </row>
    <row r="271" spans="1:8" x14ac:dyDescent="0.25">
      <c r="A271" s="1">
        <v>45205.102777777778</v>
      </c>
      <c r="B271" t="s">
        <v>242</v>
      </c>
      <c r="C271" t="str">
        <f>_xlfn.XLOOKUP(B271,Tableau13[ID_Antenne],Tableau13[Province_RDC],"Non répertoriées")</f>
        <v>Non répertoriées</v>
      </c>
      <c r="D271">
        <v>84</v>
      </c>
      <c r="E271" t="str">
        <f>_xlfn.XLOOKUP(B271,Tableau13[ID_Antenne],Tableau13[Technologie],"Non répertoriées")</f>
        <v>Non répertoriées</v>
      </c>
      <c r="F271" t="str">
        <f>_xlfn.XLOOKUP(B271,Tableau13[ID_Antenne],Tableau13[Latitude],"Non répertoriées")</f>
        <v>Non répertoriées</v>
      </c>
      <c r="G271" t="str">
        <f>_xlfn.XLOOKUP(B271,Tableau13[ID_Antenne],Tableau13[Longitude],"Non répertoriées")</f>
        <v>Non répertoriées</v>
      </c>
      <c r="H271" t="s">
        <v>10</v>
      </c>
    </row>
    <row r="272" spans="1:8" x14ac:dyDescent="0.25">
      <c r="A272" s="1">
        <v>45230.484027777777</v>
      </c>
      <c r="B272" t="s">
        <v>243</v>
      </c>
      <c r="C272" s="29" t="str">
        <f>_xlfn.XLOOKUP(B272,Tableau13[ID_Antenne],Tableau13[Province_RDC],"Non répertoriées")</f>
        <v>Kongo-Central</v>
      </c>
      <c r="D272">
        <v>37</v>
      </c>
      <c r="E272" s="31" t="str">
        <f>_xlfn.XLOOKUP(B272,Tableau13[ID_Antenne],Tableau13[Technologie],"Non répertoriées")</f>
        <v>5G</v>
      </c>
      <c r="F272" s="3">
        <f>_xlfn.XLOOKUP(B272,Tableau13[ID_Antenne],Tableau13[Latitude],"Non répertoriées")</f>
        <v>-12.564277000000001</v>
      </c>
      <c r="G272" s="32">
        <f>_xlfn.XLOOKUP(B272,Tableau13[ID_Antenne],Tableau13[Longitude],"Non répertoriées")</f>
        <v>28.480798</v>
      </c>
      <c r="H272" t="s">
        <v>8</v>
      </c>
    </row>
    <row r="273" spans="1:8" x14ac:dyDescent="0.25">
      <c r="A273" s="1">
        <v>45209.852083333331</v>
      </c>
      <c r="B273" t="s">
        <v>244</v>
      </c>
      <c r="C273" s="29" t="str">
        <f>_xlfn.XLOOKUP(B273,Tableau13[ID_Antenne],Tableau13[Province_RDC],"Non répertoriées")</f>
        <v>Kwango</v>
      </c>
      <c r="D273">
        <v>91</v>
      </c>
      <c r="E273" s="31" t="str">
        <f>_xlfn.XLOOKUP(B273,Tableau13[ID_Antenne],Tableau13[Technologie],"Non répertoriées")</f>
        <v>5G</v>
      </c>
      <c r="F273" s="3">
        <f>_xlfn.XLOOKUP(B273,Tableau13[ID_Antenne],Tableau13[Latitude],"Non répertoriées")</f>
        <v>-12.431227</v>
      </c>
      <c r="G273" s="32">
        <f>_xlfn.XLOOKUP(B273,Tableau13[ID_Antenne],Tableau13[Longitude],"Non répertoriées")</f>
        <v>18.414290999999999</v>
      </c>
      <c r="H273" t="s">
        <v>10</v>
      </c>
    </row>
    <row r="274" spans="1:8" x14ac:dyDescent="0.25">
      <c r="A274" s="1">
        <v>45222.353472222218</v>
      </c>
      <c r="B274" t="s">
        <v>245</v>
      </c>
      <c r="C274" s="29" t="str">
        <f>_xlfn.XLOOKUP(B274,Tableau13[ID_Antenne],Tableau13[Province_RDC],"Non répertoriées")</f>
        <v>Nord-Kivu</v>
      </c>
      <c r="D274">
        <v>101</v>
      </c>
      <c r="E274" s="31" t="str">
        <f>_xlfn.XLOOKUP(B274,Tableau13[ID_Antenne],Tableau13[Technologie],"Non répertoriées")</f>
        <v>4G</v>
      </c>
      <c r="F274" s="3">
        <f>_xlfn.XLOOKUP(B274,Tableau13[ID_Antenne],Tableau13[Latitude],"Non répertoriées")</f>
        <v>-10.846306999999999</v>
      </c>
      <c r="G274" s="32">
        <f>_xlfn.XLOOKUP(B274,Tableau13[ID_Antenne],Tableau13[Longitude],"Non répertoriées")</f>
        <v>19.201827999999999</v>
      </c>
      <c r="H274" t="s">
        <v>8</v>
      </c>
    </row>
    <row r="275" spans="1:8" x14ac:dyDescent="0.25">
      <c r="A275" s="1">
        <v>45207.713888888888</v>
      </c>
      <c r="B275" t="s">
        <v>246</v>
      </c>
      <c r="C275" t="str">
        <f>_xlfn.XLOOKUP(B275,Tableau13[ID_Antenne],Tableau13[Province_RDC],"Non répertoriées")</f>
        <v>Non répertoriées</v>
      </c>
      <c r="D275">
        <v>99</v>
      </c>
      <c r="E275" t="str">
        <f>_xlfn.XLOOKUP(B275,Tableau13[ID_Antenne],Tableau13[Technologie],"Non répertoriées")</f>
        <v>Non répertoriées</v>
      </c>
      <c r="F275" t="str">
        <f>_xlfn.XLOOKUP(B275,Tableau13[ID_Antenne],Tableau13[Latitude],"Non répertoriées")</f>
        <v>Non répertoriées</v>
      </c>
      <c r="G275" t="str">
        <f>_xlfn.XLOOKUP(B275,Tableau13[ID_Antenne],Tableau13[Longitude],"Non répertoriées")</f>
        <v>Non répertoriées</v>
      </c>
      <c r="H275" t="s">
        <v>8</v>
      </c>
    </row>
    <row r="276" spans="1:8" x14ac:dyDescent="0.25">
      <c r="A276" s="1">
        <v>45212.599305555559</v>
      </c>
      <c r="B276" t="s">
        <v>151</v>
      </c>
      <c r="C276" s="29" t="str">
        <f>_xlfn.XLOOKUP(B276,Tableau13[ID_Antenne],Tableau13[Province_RDC],"Non répertoriées")</f>
        <v>Haut-Uele</v>
      </c>
      <c r="D276">
        <v>58</v>
      </c>
      <c r="E276" s="31" t="str">
        <f>_xlfn.XLOOKUP(B276,Tableau13[ID_Antenne],Tableau13[Technologie],"Non répertoriées")</f>
        <v>3G</v>
      </c>
      <c r="F276" s="3">
        <f>_xlfn.XLOOKUP(B276,Tableau13[ID_Antenne],Tableau13[Latitude],"Non répertoriées")</f>
        <v>-1.8045979999999999</v>
      </c>
      <c r="G276" s="32">
        <f>_xlfn.XLOOKUP(B276,Tableau13[ID_Antenne],Tableau13[Longitude],"Non répertoriées")</f>
        <v>12.511096999999999</v>
      </c>
      <c r="H276" t="s">
        <v>8</v>
      </c>
    </row>
    <row r="277" spans="1:8" x14ac:dyDescent="0.25">
      <c r="A277" s="1">
        <v>45221.988888888889</v>
      </c>
      <c r="B277" t="s">
        <v>247</v>
      </c>
      <c r="C277" t="str">
        <f>_xlfn.XLOOKUP(B277,Tableau13[ID_Antenne],Tableau13[Province_RDC],"Non répertoriées")</f>
        <v>Non répertoriées</v>
      </c>
      <c r="D277">
        <v>72</v>
      </c>
      <c r="E277" t="str">
        <f>_xlfn.XLOOKUP(B277,Tableau13[ID_Antenne],Tableau13[Technologie],"Non répertoriées")</f>
        <v>Non répertoriées</v>
      </c>
      <c r="F277" t="str">
        <f>_xlfn.XLOOKUP(B277,Tableau13[ID_Antenne],Tableau13[Latitude],"Non répertoriées")</f>
        <v>Non répertoriées</v>
      </c>
      <c r="G277" t="str">
        <f>_xlfn.XLOOKUP(B277,Tableau13[ID_Antenne],Tableau13[Longitude],"Non répertoriées")</f>
        <v>Non répertoriées</v>
      </c>
      <c r="H277" t="s">
        <v>8</v>
      </c>
    </row>
    <row r="278" spans="1:8" x14ac:dyDescent="0.25">
      <c r="A278" s="1">
        <v>45230.726388888892</v>
      </c>
      <c r="B278" t="s">
        <v>225</v>
      </c>
      <c r="C278" t="str">
        <f>_xlfn.XLOOKUP(B278,Tableau13[ID_Antenne],Tableau13[Province_RDC],"Non répertoriées")</f>
        <v>Non répertoriées</v>
      </c>
      <c r="D278">
        <v>19</v>
      </c>
      <c r="E278" t="str">
        <f>_xlfn.XLOOKUP(B278,Tableau13[ID_Antenne],Tableau13[Technologie],"Non répertoriées")</f>
        <v>Non répertoriées</v>
      </c>
      <c r="F278" t="str">
        <f>_xlfn.XLOOKUP(B278,Tableau13[ID_Antenne],Tableau13[Latitude],"Non répertoriées")</f>
        <v>Non répertoriées</v>
      </c>
      <c r="G278" t="str">
        <f>_xlfn.XLOOKUP(B278,Tableau13[ID_Antenne],Tableau13[Longitude],"Non répertoriées")</f>
        <v>Non répertoriées</v>
      </c>
      <c r="H278" t="s">
        <v>8</v>
      </c>
    </row>
    <row r="279" spans="1:8" x14ac:dyDescent="0.25">
      <c r="A279" s="1">
        <v>45218.990277777782</v>
      </c>
      <c r="B279" t="s">
        <v>248</v>
      </c>
      <c r="C279" t="str">
        <f>_xlfn.XLOOKUP(B279,Tableau13[ID_Antenne],Tableau13[Province_RDC],"Non répertoriées")</f>
        <v>Non répertoriées</v>
      </c>
      <c r="D279">
        <v>100</v>
      </c>
      <c r="E279" t="str">
        <f>_xlfn.XLOOKUP(B279,Tableau13[ID_Antenne],Tableau13[Technologie],"Non répertoriées")</f>
        <v>Non répertoriées</v>
      </c>
      <c r="F279" t="str">
        <f>_xlfn.XLOOKUP(B279,Tableau13[ID_Antenne],Tableau13[Latitude],"Non répertoriées")</f>
        <v>Non répertoriées</v>
      </c>
      <c r="G279" t="str">
        <f>_xlfn.XLOOKUP(B279,Tableau13[ID_Antenne],Tableau13[Longitude],"Non répertoriées")</f>
        <v>Non répertoriées</v>
      </c>
      <c r="H279" t="s">
        <v>5</v>
      </c>
    </row>
    <row r="280" spans="1:8" x14ac:dyDescent="0.25">
      <c r="A280" s="1">
        <v>45204.570138888892</v>
      </c>
      <c r="B280" t="s">
        <v>249</v>
      </c>
      <c r="C280" t="str">
        <f>_xlfn.XLOOKUP(B280,Tableau13[ID_Antenne],Tableau13[Province_RDC],"Non répertoriées")</f>
        <v>Non répertoriées</v>
      </c>
      <c r="D280">
        <v>13</v>
      </c>
      <c r="E280" t="str">
        <f>_xlfn.XLOOKUP(B280,Tableau13[ID_Antenne],Tableau13[Technologie],"Non répertoriées")</f>
        <v>Non répertoriées</v>
      </c>
      <c r="F280" t="str">
        <f>_xlfn.XLOOKUP(B280,Tableau13[ID_Antenne],Tableau13[Latitude],"Non répertoriées")</f>
        <v>Non répertoriées</v>
      </c>
      <c r="G280" t="str">
        <f>_xlfn.XLOOKUP(B280,Tableau13[ID_Antenne],Tableau13[Longitude],"Non répertoriées")</f>
        <v>Non répertoriées</v>
      </c>
      <c r="H280" t="s">
        <v>10</v>
      </c>
    </row>
    <row r="281" spans="1:8" x14ac:dyDescent="0.25">
      <c r="A281" s="1">
        <v>45203.652083333327</v>
      </c>
      <c r="B281" t="s">
        <v>250</v>
      </c>
      <c r="C281" s="29" t="str">
        <f>_xlfn.XLOOKUP(B281,Tableau13[ID_Antenne],Tableau13[Province_RDC],"Non répertoriées")</f>
        <v>Haut-Katanga</v>
      </c>
      <c r="D281">
        <v>65</v>
      </c>
      <c r="E281" s="31" t="str">
        <f>_xlfn.XLOOKUP(B281,Tableau13[ID_Antenne],Tableau13[Technologie],"Non répertoriées")</f>
        <v>5G</v>
      </c>
      <c r="F281" s="3">
        <f>_xlfn.XLOOKUP(B281,Tableau13[ID_Antenne],Tableau13[Latitude],"Non répertoriées")</f>
        <v>2.016505</v>
      </c>
      <c r="G281" s="32">
        <f>_xlfn.XLOOKUP(B281,Tableau13[ID_Antenne],Tableau13[Longitude],"Non répertoriées")</f>
        <v>14.294164</v>
      </c>
      <c r="H281" t="s">
        <v>10</v>
      </c>
    </row>
    <row r="282" spans="1:8" x14ac:dyDescent="0.25">
      <c r="A282" s="1">
        <v>45213.334722222222</v>
      </c>
      <c r="B282" t="s">
        <v>251</v>
      </c>
      <c r="C282" t="str">
        <f>_xlfn.XLOOKUP(B282,Tableau13[ID_Antenne],Tableau13[Province_RDC],"Non répertoriées")</f>
        <v>Non répertoriées</v>
      </c>
      <c r="D282">
        <v>62</v>
      </c>
      <c r="E282" t="str">
        <f>_xlfn.XLOOKUP(B282,Tableau13[ID_Antenne],Tableau13[Technologie],"Non répertoriées")</f>
        <v>Non répertoriées</v>
      </c>
      <c r="F282" t="str">
        <f>_xlfn.XLOOKUP(B282,Tableau13[ID_Antenne],Tableau13[Latitude],"Non répertoriées")</f>
        <v>Non répertoriées</v>
      </c>
      <c r="G282" t="str">
        <f>_xlfn.XLOOKUP(B282,Tableau13[ID_Antenne],Tableau13[Longitude],"Non répertoriées")</f>
        <v>Non répertoriées</v>
      </c>
      <c r="H282" t="s">
        <v>5</v>
      </c>
    </row>
    <row r="283" spans="1:8" x14ac:dyDescent="0.25">
      <c r="A283" s="1">
        <v>45222.467361111107</v>
      </c>
      <c r="B283" t="s">
        <v>252</v>
      </c>
      <c r="C283" t="str">
        <f>_xlfn.XLOOKUP(B283,Tableau13[ID_Antenne],Tableau13[Province_RDC],"Non répertoriées")</f>
        <v>Non répertoriées</v>
      </c>
      <c r="D283">
        <v>104</v>
      </c>
      <c r="E283" t="str">
        <f>_xlfn.XLOOKUP(B283,Tableau13[ID_Antenne],Tableau13[Technologie],"Non répertoriées")</f>
        <v>Non répertoriées</v>
      </c>
      <c r="F283" t="str">
        <f>_xlfn.XLOOKUP(B283,Tableau13[ID_Antenne],Tableau13[Latitude],"Non répertoriées")</f>
        <v>Non répertoriées</v>
      </c>
      <c r="G283" t="str">
        <f>_xlfn.XLOOKUP(B283,Tableau13[ID_Antenne],Tableau13[Longitude],"Non répertoriées")</f>
        <v>Non répertoriées</v>
      </c>
      <c r="H283" t="s">
        <v>10</v>
      </c>
    </row>
    <row r="284" spans="1:8" x14ac:dyDescent="0.25">
      <c r="A284" s="1">
        <v>45214.59375</v>
      </c>
      <c r="B284" t="s">
        <v>253</v>
      </c>
      <c r="C284" t="str">
        <f>_xlfn.XLOOKUP(B284,Tableau13[ID_Antenne],Tableau13[Province_RDC],"Non répertoriées")</f>
        <v>Non répertoriées</v>
      </c>
      <c r="D284">
        <v>51</v>
      </c>
      <c r="E284" t="str">
        <f>_xlfn.XLOOKUP(B284,Tableau13[ID_Antenne],Tableau13[Technologie],"Non répertoriées")</f>
        <v>Non répertoriées</v>
      </c>
      <c r="F284" t="str">
        <f>_xlfn.XLOOKUP(B284,Tableau13[ID_Antenne],Tableau13[Latitude],"Non répertoriées")</f>
        <v>Non répertoriées</v>
      </c>
      <c r="G284" t="str">
        <f>_xlfn.XLOOKUP(B284,Tableau13[ID_Antenne],Tableau13[Longitude],"Non répertoriées")</f>
        <v>Non répertoriées</v>
      </c>
      <c r="H284" t="s">
        <v>10</v>
      </c>
    </row>
    <row r="285" spans="1:8" x14ac:dyDescent="0.25">
      <c r="A285" s="1">
        <v>45227.462500000001</v>
      </c>
      <c r="B285" t="s">
        <v>90</v>
      </c>
      <c r="C285" t="str">
        <f>_xlfn.XLOOKUP(B285,Tableau13[ID_Antenne],Tableau13[Province_RDC],"Non répertoriées")</f>
        <v>Non répertoriées</v>
      </c>
      <c r="D285">
        <v>70</v>
      </c>
      <c r="E285" t="str">
        <f>_xlfn.XLOOKUP(B285,Tableau13[ID_Antenne],Tableau13[Technologie],"Non répertoriées")</f>
        <v>Non répertoriées</v>
      </c>
      <c r="F285" t="str">
        <f>_xlfn.XLOOKUP(B285,Tableau13[ID_Antenne],Tableau13[Latitude],"Non répertoriées")</f>
        <v>Non répertoriées</v>
      </c>
      <c r="G285" t="str">
        <f>_xlfn.XLOOKUP(B285,Tableau13[ID_Antenne],Tableau13[Longitude],"Non répertoriées")</f>
        <v>Non répertoriées</v>
      </c>
      <c r="H285" t="s">
        <v>10</v>
      </c>
    </row>
    <row r="286" spans="1:8" x14ac:dyDescent="0.25">
      <c r="A286" s="1">
        <v>45221.481944444437</v>
      </c>
      <c r="B286" t="s">
        <v>254</v>
      </c>
      <c r="C286" t="str">
        <f>_xlfn.XLOOKUP(B286,Tableau13[ID_Antenne],Tableau13[Province_RDC],"Non répertoriées")</f>
        <v>Non répertoriées</v>
      </c>
      <c r="D286">
        <v>80</v>
      </c>
      <c r="E286" t="str">
        <f>_xlfn.XLOOKUP(B286,Tableau13[ID_Antenne],Tableau13[Technologie],"Non répertoriées")</f>
        <v>Non répertoriées</v>
      </c>
      <c r="F286" t="str">
        <f>_xlfn.XLOOKUP(B286,Tableau13[ID_Antenne],Tableau13[Latitude],"Non répertoriées")</f>
        <v>Non répertoriées</v>
      </c>
      <c r="G286" t="str">
        <f>_xlfn.XLOOKUP(B286,Tableau13[ID_Antenne],Tableau13[Longitude],"Non répertoriées")</f>
        <v>Non répertoriées</v>
      </c>
      <c r="H286" t="s">
        <v>10</v>
      </c>
    </row>
    <row r="287" spans="1:8" x14ac:dyDescent="0.25">
      <c r="A287" s="1">
        <v>45228.848611111112</v>
      </c>
      <c r="B287" t="s">
        <v>255</v>
      </c>
      <c r="C287" t="str">
        <f>_xlfn.XLOOKUP(B287,Tableau13[ID_Antenne],Tableau13[Province_RDC],"Non répertoriées")</f>
        <v>Non répertoriées</v>
      </c>
      <c r="D287">
        <v>18</v>
      </c>
      <c r="E287" t="str">
        <f>_xlfn.XLOOKUP(B287,Tableau13[ID_Antenne],Tableau13[Technologie],"Non répertoriées")</f>
        <v>Non répertoriées</v>
      </c>
      <c r="F287" t="str">
        <f>_xlfn.XLOOKUP(B287,Tableau13[ID_Antenne],Tableau13[Latitude],"Non répertoriées")</f>
        <v>Non répertoriées</v>
      </c>
      <c r="G287" t="str">
        <f>_xlfn.XLOOKUP(B287,Tableau13[ID_Antenne],Tableau13[Longitude],"Non répertoriées")</f>
        <v>Non répertoriées</v>
      </c>
      <c r="H287" t="s">
        <v>10</v>
      </c>
    </row>
    <row r="288" spans="1:8" x14ac:dyDescent="0.25">
      <c r="A288" s="1">
        <v>45201.511805555558</v>
      </c>
      <c r="B288" t="s">
        <v>127</v>
      </c>
      <c r="C288" s="29" t="str">
        <f>_xlfn.XLOOKUP(B288,Tableau13[ID_Antenne],Tableau13[Province_RDC],"Non répertoriées")</f>
        <v>Nord-Kivu</v>
      </c>
      <c r="D288">
        <v>62</v>
      </c>
      <c r="E288" s="31" t="str">
        <f>_xlfn.XLOOKUP(B288,Tableau13[ID_Antenne],Tableau13[Technologie],"Non répertoriées")</f>
        <v>4G</v>
      </c>
      <c r="F288" s="3">
        <f>_xlfn.XLOOKUP(B288,Tableau13[ID_Antenne],Tableau13[Latitude],"Non répertoriées")</f>
        <v>-10.25074</v>
      </c>
      <c r="G288" s="32">
        <f>_xlfn.XLOOKUP(B288,Tableau13[ID_Antenne],Tableau13[Longitude],"Non répertoriées")</f>
        <v>26.099086</v>
      </c>
      <c r="H288" t="s">
        <v>8</v>
      </c>
    </row>
    <row r="289" spans="1:8" x14ac:dyDescent="0.25">
      <c r="A289" s="1">
        <v>45206.162499999999</v>
      </c>
      <c r="B289" t="s">
        <v>256</v>
      </c>
      <c r="C289" t="str">
        <f>_xlfn.XLOOKUP(B289,Tableau13[ID_Antenne],Tableau13[Province_RDC],"Non répertoriées")</f>
        <v>Non répertoriées</v>
      </c>
      <c r="D289">
        <v>69</v>
      </c>
      <c r="E289" t="str">
        <f>_xlfn.XLOOKUP(B289,Tableau13[ID_Antenne],Tableau13[Technologie],"Non répertoriées")</f>
        <v>Non répertoriées</v>
      </c>
      <c r="F289" t="str">
        <f>_xlfn.XLOOKUP(B289,Tableau13[ID_Antenne],Tableau13[Latitude],"Non répertoriées")</f>
        <v>Non répertoriées</v>
      </c>
      <c r="G289" t="str">
        <f>_xlfn.XLOOKUP(B289,Tableau13[ID_Antenne],Tableau13[Longitude],"Non répertoriées")</f>
        <v>Non répertoriées</v>
      </c>
      <c r="H289" t="s">
        <v>5</v>
      </c>
    </row>
    <row r="290" spans="1:8" x14ac:dyDescent="0.25">
      <c r="A290" s="1">
        <v>45226.586805555547</v>
      </c>
      <c r="B290" t="s">
        <v>257</v>
      </c>
      <c r="C290" s="29" t="str">
        <f>_xlfn.XLOOKUP(B290,Tableau13[ID_Antenne],Tableau13[Province_RDC],"Non répertoriées")</f>
        <v>Nord-Ubangi</v>
      </c>
      <c r="D290">
        <v>33</v>
      </c>
      <c r="E290" s="31" t="str">
        <f>_xlfn.XLOOKUP(B290,Tableau13[ID_Antenne],Tableau13[Technologie],"Non répertoriées")</f>
        <v>3G</v>
      </c>
      <c r="F290" s="3">
        <f>_xlfn.XLOOKUP(B290,Tableau13[ID_Antenne],Tableau13[Latitude],"Non répertoriées")</f>
        <v>-7.7839049999999999</v>
      </c>
      <c r="G290" s="32">
        <f>_xlfn.XLOOKUP(B290,Tableau13[ID_Antenne],Tableau13[Longitude],"Non répertoriées")</f>
        <v>14.114281999999999</v>
      </c>
      <c r="H290" t="s">
        <v>10</v>
      </c>
    </row>
    <row r="291" spans="1:8" x14ac:dyDescent="0.25">
      <c r="A291" s="1">
        <v>45221.27847222222</v>
      </c>
      <c r="B291" t="s">
        <v>258</v>
      </c>
      <c r="C291" s="29" t="str">
        <f>_xlfn.XLOOKUP(B291,Tableau13[ID_Antenne],Tableau13[Province_RDC],"Non répertoriées")</f>
        <v>Tshuapa</v>
      </c>
      <c r="D291">
        <v>83</v>
      </c>
      <c r="E291" s="31" t="str">
        <f>_xlfn.XLOOKUP(B291,Tableau13[ID_Antenne],Tableau13[Technologie],"Non répertoriées")</f>
        <v>3G</v>
      </c>
      <c r="F291" s="3">
        <f>_xlfn.XLOOKUP(B291,Tableau13[ID_Antenne],Tableau13[Latitude],"Non répertoriées")</f>
        <v>-12.292039000000001</v>
      </c>
      <c r="G291" s="32">
        <f>_xlfn.XLOOKUP(B291,Tableau13[ID_Antenne],Tableau13[Longitude],"Non répertoriées")</f>
        <v>27.538202999999999</v>
      </c>
      <c r="H291" t="s">
        <v>10</v>
      </c>
    </row>
    <row r="292" spans="1:8" x14ac:dyDescent="0.25">
      <c r="A292" s="1">
        <v>45220.792361111111</v>
      </c>
      <c r="B292" t="s">
        <v>109</v>
      </c>
      <c r="C292" t="str">
        <f>_xlfn.XLOOKUP(B292,Tableau13[ID_Antenne],Tableau13[Province_RDC],"Non répertoriées")</f>
        <v>Non répertoriées</v>
      </c>
      <c r="D292">
        <v>10</v>
      </c>
      <c r="E292" t="str">
        <f>_xlfn.XLOOKUP(B292,Tableau13[ID_Antenne],Tableau13[Technologie],"Non répertoriées")</f>
        <v>Non répertoriées</v>
      </c>
      <c r="F292" t="str">
        <f>_xlfn.XLOOKUP(B292,Tableau13[ID_Antenne],Tableau13[Latitude],"Non répertoriées")</f>
        <v>Non répertoriées</v>
      </c>
      <c r="G292" t="str">
        <f>_xlfn.XLOOKUP(B292,Tableau13[ID_Antenne],Tableau13[Longitude],"Non répertoriées")</f>
        <v>Non répertoriées</v>
      </c>
      <c r="H292" t="s">
        <v>10</v>
      </c>
    </row>
    <row r="293" spans="1:8" x14ac:dyDescent="0.25">
      <c r="A293" s="1">
        <v>45201.427083333343</v>
      </c>
      <c r="B293" t="s">
        <v>247</v>
      </c>
      <c r="C293" t="str">
        <f>_xlfn.XLOOKUP(B293,Tableau13[ID_Antenne],Tableau13[Province_RDC],"Non répertoriées")</f>
        <v>Non répertoriées</v>
      </c>
      <c r="D293">
        <v>98</v>
      </c>
      <c r="E293" t="str">
        <f>_xlfn.XLOOKUP(B293,Tableau13[ID_Antenne],Tableau13[Technologie],"Non répertoriées")</f>
        <v>Non répertoriées</v>
      </c>
      <c r="F293" t="str">
        <f>_xlfn.XLOOKUP(B293,Tableau13[ID_Antenne],Tableau13[Latitude],"Non répertoriées")</f>
        <v>Non répertoriées</v>
      </c>
      <c r="G293" t="str">
        <f>_xlfn.XLOOKUP(B293,Tableau13[ID_Antenne],Tableau13[Longitude],"Non répertoriées")</f>
        <v>Non répertoriées</v>
      </c>
      <c r="H293" t="s">
        <v>8</v>
      </c>
    </row>
    <row r="294" spans="1:8" x14ac:dyDescent="0.25">
      <c r="A294" s="1">
        <v>45204.759027777778</v>
      </c>
      <c r="B294" t="s">
        <v>259</v>
      </c>
      <c r="C294" t="str">
        <f>_xlfn.XLOOKUP(B294,Tableau13[ID_Antenne],Tableau13[Province_RDC],"Non répertoriées")</f>
        <v>Non répertoriées</v>
      </c>
      <c r="D294">
        <v>105</v>
      </c>
      <c r="E294" t="str">
        <f>_xlfn.XLOOKUP(B294,Tableau13[ID_Antenne],Tableau13[Technologie],"Non répertoriées")</f>
        <v>Non répertoriées</v>
      </c>
      <c r="F294" t="str">
        <f>_xlfn.XLOOKUP(B294,Tableau13[ID_Antenne],Tableau13[Latitude],"Non répertoriées")</f>
        <v>Non répertoriées</v>
      </c>
      <c r="G294" t="str">
        <f>_xlfn.XLOOKUP(B294,Tableau13[ID_Antenne],Tableau13[Longitude],"Non répertoriées")</f>
        <v>Non répertoriées</v>
      </c>
      <c r="H294" t="s">
        <v>10</v>
      </c>
    </row>
    <row r="295" spans="1:8" x14ac:dyDescent="0.25">
      <c r="A295" s="1">
        <v>45202.717361111107</v>
      </c>
      <c r="B295" t="s">
        <v>260</v>
      </c>
      <c r="C295" s="29" t="str">
        <f>_xlfn.XLOOKUP(B295,Tableau13[ID_Antenne],Tableau13[Province_RDC],"Non répertoriées")</f>
        <v>Tanganyika</v>
      </c>
      <c r="D295">
        <v>115</v>
      </c>
      <c r="E295" s="31" t="str">
        <f>_xlfn.XLOOKUP(B295,Tableau13[ID_Antenne],Tableau13[Technologie],"Non répertoriées")</f>
        <v>5G</v>
      </c>
      <c r="F295" s="3">
        <f>_xlfn.XLOOKUP(B295,Tableau13[ID_Antenne],Tableau13[Latitude],"Non répertoriées")</f>
        <v>-1.5936220000000001</v>
      </c>
      <c r="G295" s="32">
        <f>_xlfn.XLOOKUP(B295,Tableau13[ID_Antenne],Tableau13[Longitude],"Non répertoriées")</f>
        <v>14.928856</v>
      </c>
      <c r="H295" t="s">
        <v>10</v>
      </c>
    </row>
    <row r="296" spans="1:8" x14ac:dyDescent="0.25">
      <c r="A296" s="1">
        <v>45218.286111111112</v>
      </c>
      <c r="B296" t="s">
        <v>261</v>
      </c>
      <c r="C296" s="29" t="str">
        <f>_xlfn.XLOOKUP(B296,Tableau13[ID_Antenne],Tableau13[Province_RDC],"Non répertoriées")</f>
        <v>Kwango</v>
      </c>
      <c r="D296">
        <v>89</v>
      </c>
      <c r="E296" s="31" t="str">
        <f>_xlfn.XLOOKUP(B296,Tableau13[ID_Antenne],Tableau13[Technologie],"Non répertoriées")</f>
        <v>4G</v>
      </c>
      <c r="F296" s="3">
        <f>_xlfn.XLOOKUP(B296,Tableau13[ID_Antenne],Tableau13[Latitude],"Non répertoriées")</f>
        <v>-7.5129409999999996</v>
      </c>
      <c r="G296" s="32">
        <f>_xlfn.XLOOKUP(B296,Tableau13[ID_Antenne],Tableau13[Longitude],"Non répertoriées")</f>
        <v>18.701522000000001</v>
      </c>
      <c r="H296" t="s">
        <v>5</v>
      </c>
    </row>
    <row r="297" spans="1:8" x14ac:dyDescent="0.25">
      <c r="A297" s="1">
        <v>45227.306250000001</v>
      </c>
      <c r="B297" t="s">
        <v>34</v>
      </c>
      <c r="C297" t="str">
        <f>_xlfn.XLOOKUP(B297,Tableau13[ID_Antenne],Tableau13[Province_RDC],"Non répertoriées")</f>
        <v>Non répertoriées</v>
      </c>
      <c r="D297">
        <v>71</v>
      </c>
      <c r="E297" t="str">
        <f>_xlfn.XLOOKUP(B297,Tableau13[ID_Antenne],Tableau13[Technologie],"Non répertoriées")</f>
        <v>Non répertoriées</v>
      </c>
      <c r="F297" t="str">
        <f>_xlfn.XLOOKUP(B297,Tableau13[ID_Antenne],Tableau13[Latitude],"Non répertoriées")</f>
        <v>Non répertoriées</v>
      </c>
      <c r="G297" t="str">
        <f>_xlfn.XLOOKUP(B297,Tableau13[ID_Antenne],Tableau13[Longitude],"Non répertoriées")</f>
        <v>Non répertoriées</v>
      </c>
      <c r="H297" t="s">
        <v>8</v>
      </c>
    </row>
    <row r="298" spans="1:8" x14ac:dyDescent="0.25">
      <c r="A298" s="1">
        <v>45224.201388888891</v>
      </c>
      <c r="B298" t="s">
        <v>156</v>
      </c>
      <c r="C298" s="29" t="str">
        <f>_xlfn.XLOOKUP(B298,Tableau13[ID_Antenne],Tableau13[Province_RDC],"Non répertoriées")</f>
        <v>Maniema</v>
      </c>
      <c r="D298">
        <v>43</v>
      </c>
      <c r="E298" s="31" t="str">
        <f>_xlfn.XLOOKUP(B298,Tableau13[ID_Antenne],Tableau13[Technologie],"Non répertoriées")</f>
        <v>4G</v>
      </c>
      <c r="F298" s="3">
        <f>_xlfn.XLOOKUP(B298,Tableau13[ID_Antenne],Tableau13[Latitude],"Non répertoriées")</f>
        <v>-4.6818410000000004</v>
      </c>
      <c r="G298" s="32">
        <f>_xlfn.XLOOKUP(B298,Tableau13[ID_Antenne],Tableau13[Longitude],"Non répertoriées")</f>
        <v>17.541618</v>
      </c>
      <c r="H298" t="s">
        <v>10</v>
      </c>
    </row>
    <row r="299" spans="1:8" x14ac:dyDescent="0.25">
      <c r="A299" s="1">
        <v>45228.791666666657</v>
      </c>
      <c r="B299" t="s">
        <v>4</v>
      </c>
      <c r="C299" s="29" t="str">
        <f>_xlfn.XLOOKUP(B299,Tableau13[ID_Antenne],Tableau13[Province_RDC],"Non répertoriées")</f>
        <v>Tanganyika</v>
      </c>
      <c r="D299">
        <v>63</v>
      </c>
      <c r="E299" s="31" t="str">
        <f>_xlfn.XLOOKUP(B299,Tableau13[ID_Antenne],Tableau13[Technologie],"Non répertoriées")</f>
        <v>4G</v>
      </c>
      <c r="F299" s="3">
        <f>_xlfn.XLOOKUP(B299,Tableau13[ID_Antenne],Tableau13[Latitude],"Non répertoriées")</f>
        <v>-11.144149000000001</v>
      </c>
      <c r="G299" s="32">
        <f>_xlfn.XLOOKUP(B299,Tableau13[ID_Antenne],Tableau13[Longitude],"Non répertoriées")</f>
        <v>27.244658999999999</v>
      </c>
      <c r="H299" t="s">
        <v>5</v>
      </c>
    </row>
    <row r="300" spans="1:8" x14ac:dyDescent="0.25">
      <c r="A300" s="1">
        <v>45208.172222222223</v>
      </c>
      <c r="B300" t="s">
        <v>55</v>
      </c>
      <c r="C300" t="str">
        <f>_xlfn.XLOOKUP(B300,Tableau13[ID_Antenne],Tableau13[Province_RDC],"Non répertoriées")</f>
        <v>Non répertoriées</v>
      </c>
      <c r="D300">
        <v>87</v>
      </c>
      <c r="E300" t="str">
        <f>_xlfn.XLOOKUP(B300,Tableau13[ID_Antenne],Tableau13[Technologie],"Non répertoriées")</f>
        <v>Non répertoriées</v>
      </c>
      <c r="F300" t="str">
        <f>_xlfn.XLOOKUP(B300,Tableau13[ID_Antenne],Tableau13[Latitude],"Non répertoriées")</f>
        <v>Non répertoriées</v>
      </c>
      <c r="G300" t="str">
        <f>_xlfn.XLOOKUP(B300,Tableau13[ID_Antenne],Tableau13[Longitude],"Non répertoriées")</f>
        <v>Non répertoriées</v>
      </c>
      <c r="H300" t="s">
        <v>5</v>
      </c>
    </row>
    <row r="301" spans="1:8" x14ac:dyDescent="0.25">
      <c r="A301" s="1">
        <v>45217.368750000001</v>
      </c>
      <c r="B301" t="s">
        <v>262</v>
      </c>
      <c r="C301" s="29" t="str">
        <f>_xlfn.XLOOKUP(B301,Tableau13[ID_Antenne],Tableau13[Province_RDC],"Non répertoriées")</f>
        <v>Nord-Kivu</v>
      </c>
      <c r="D301">
        <v>8</v>
      </c>
      <c r="E301" s="31" t="str">
        <f>_xlfn.XLOOKUP(B301,Tableau13[ID_Antenne],Tableau13[Technologie],"Non répertoriées")</f>
        <v>3G</v>
      </c>
      <c r="F301" s="3">
        <f>_xlfn.XLOOKUP(B301,Tableau13[ID_Antenne],Tableau13[Latitude],"Non répertoriées")</f>
        <v>-4.1754939999999996</v>
      </c>
      <c r="G301" s="32">
        <f>_xlfn.XLOOKUP(B301,Tableau13[ID_Antenne],Tableau13[Longitude],"Non répertoriées")</f>
        <v>16.704664999999999</v>
      </c>
      <c r="H301" t="s">
        <v>5</v>
      </c>
    </row>
    <row r="302" spans="1:8" x14ac:dyDescent="0.25">
      <c r="A302" s="1">
        <v>45205.154166666667</v>
      </c>
      <c r="B302" t="s">
        <v>91</v>
      </c>
      <c r="C302" s="29" t="str">
        <f>_xlfn.XLOOKUP(B302,Tableau13[ID_Antenne],Tableau13[Province_RDC],"Non répertoriées")</f>
        <v>Sud-Kivu</v>
      </c>
      <c r="D302">
        <v>12</v>
      </c>
      <c r="E302" s="31" t="str">
        <f>_xlfn.XLOOKUP(B302,Tableau13[ID_Antenne],Tableau13[Technologie],"Non répertoriées")</f>
        <v>3G</v>
      </c>
      <c r="F302" s="3">
        <f>_xlfn.XLOOKUP(B302,Tableau13[ID_Antenne],Tableau13[Latitude],"Non répertoriées")</f>
        <v>-5.2526849999999996</v>
      </c>
      <c r="G302" s="32">
        <f>_xlfn.XLOOKUP(B302,Tableau13[ID_Antenne],Tableau13[Longitude],"Non répertoriées")</f>
        <v>12.374528</v>
      </c>
      <c r="H302" t="s">
        <v>5</v>
      </c>
    </row>
    <row r="303" spans="1:8" x14ac:dyDescent="0.25">
      <c r="A303" s="1">
        <v>45227.005555555559</v>
      </c>
      <c r="B303" t="s">
        <v>263</v>
      </c>
      <c r="C303" t="str">
        <f>_xlfn.XLOOKUP(B303,Tableau13[ID_Antenne],Tableau13[Province_RDC],"Non répertoriées")</f>
        <v>Non répertoriées</v>
      </c>
      <c r="D303">
        <v>66</v>
      </c>
      <c r="E303" t="str">
        <f>_xlfn.XLOOKUP(B303,Tableau13[ID_Antenne],Tableau13[Technologie],"Non répertoriées")</f>
        <v>Non répertoriées</v>
      </c>
      <c r="F303" t="str">
        <f>_xlfn.XLOOKUP(B303,Tableau13[ID_Antenne],Tableau13[Latitude],"Non répertoriées")</f>
        <v>Non répertoriées</v>
      </c>
      <c r="G303" t="str">
        <f>_xlfn.XLOOKUP(B303,Tableau13[ID_Antenne],Tableau13[Longitude],"Non répertoriées")</f>
        <v>Non répertoriées</v>
      </c>
      <c r="H303" t="s">
        <v>10</v>
      </c>
    </row>
    <row r="304" spans="1:8" x14ac:dyDescent="0.25">
      <c r="A304" s="1">
        <v>45200.493055555547</v>
      </c>
      <c r="B304" t="s">
        <v>264</v>
      </c>
      <c r="C304" s="29" t="str">
        <f>_xlfn.XLOOKUP(B304,Tableau13[ID_Antenne],Tableau13[Province_RDC],"Non répertoriées")</f>
        <v>Sud-Kivu</v>
      </c>
      <c r="D304">
        <v>113</v>
      </c>
      <c r="E304" s="31" t="str">
        <f>_xlfn.XLOOKUP(B304,Tableau13[ID_Antenne],Tableau13[Technologie],"Non répertoriées")</f>
        <v>3G</v>
      </c>
      <c r="F304" s="3">
        <f>_xlfn.XLOOKUP(B304,Tableau13[ID_Antenne],Tableau13[Latitude],"Non répertoriées")</f>
        <v>-1.5419050000000001</v>
      </c>
      <c r="G304" s="32">
        <f>_xlfn.XLOOKUP(B304,Tableau13[ID_Antenne],Tableau13[Longitude],"Non répertoriées")</f>
        <v>14.730632999999999</v>
      </c>
      <c r="H304" t="s">
        <v>5</v>
      </c>
    </row>
    <row r="305" spans="1:8" x14ac:dyDescent="0.25">
      <c r="A305" s="1">
        <v>45225.317361111112</v>
      </c>
      <c r="B305" t="s">
        <v>135</v>
      </c>
      <c r="C305" s="29" t="str">
        <f>_xlfn.XLOOKUP(B305,Tableau13[ID_Antenne],Tableau13[Province_RDC],"Non répertoriées")</f>
        <v>Nord-Ubangi</v>
      </c>
      <c r="D305">
        <v>56</v>
      </c>
      <c r="E305" s="31" t="str">
        <f>_xlfn.XLOOKUP(B305,Tableau13[ID_Antenne],Tableau13[Technologie],"Non répertoriées")</f>
        <v>5G</v>
      </c>
      <c r="F305" s="3">
        <f>_xlfn.XLOOKUP(B305,Tableau13[ID_Antenne],Tableau13[Latitude],"Non répertoriées")</f>
        <v>-7.9987219999999999</v>
      </c>
      <c r="G305" s="32">
        <f>_xlfn.XLOOKUP(B305,Tableau13[ID_Antenne],Tableau13[Longitude],"Non répertoriées")</f>
        <v>12.779335</v>
      </c>
      <c r="H305" t="s">
        <v>8</v>
      </c>
    </row>
    <row r="306" spans="1:8" x14ac:dyDescent="0.25">
      <c r="A306" s="1">
        <v>45210.007638888892</v>
      </c>
      <c r="B306" t="s">
        <v>265</v>
      </c>
      <c r="C306" t="str">
        <f>_xlfn.XLOOKUP(B306,Tableau13[ID_Antenne],Tableau13[Province_RDC],"Non répertoriées")</f>
        <v>Non répertoriées</v>
      </c>
      <c r="D306">
        <v>59</v>
      </c>
      <c r="E306" t="str">
        <f>_xlfn.XLOOKUP(B306,Tableau13[ID_Antenne],Tableau13[Technologie],"Non répertoriées")</f>
        <v>Non répertoriées</v>
      </c>
      <c r="F306" t="str">
        <f>_xlfn.XLOOKUP(B306,Tableau13[ID_Antenne],Tableau13[Latitude],"Non répertoriées")</f>
        <v>Non répertoriées</v>
      </c>
      <c r="G306" t="str">
        <f>_xlfn.XLOOKUP(B306,Tableau13[ID_Antenne],Tableau13[Longitude],"Non répertoriées")</f>
        <v>Non répertoriées</v>
      </c>
      <c r="H306" t="s">
        <v>8</v>
      </c>
    </row>
    <row r="307" spans="1:8" x14ac:dyDescent="0.25">
      <c r="A307" s="1">
        <v>45208.047222222223</v>
      </c>
      <c r="B307" t="s">
        <v>53</v>
      </c>
      <c r="C307" t="str">
        <f>_xlfn.XLOOKUP(B307,Tableau13[ID_Antenne],Tableau13[Province_RDC],"Non répertoriées")</f>
        <v>Non répertoriées</v>
      </c>
      <c r="D307">
        <v>92</v>
      </c>
      <c r="E307" t="str">
        <f>_xlfn.XLOOKUP(B307,Tableau13[ID_Antenne],Tableau13[Technologie],"Non répertoriées")</f>
        <v>Non répertoriées</v>
      </c>
      <c r="F307" t="str">
        <f>_xlfn.XLOOKUP(B307,Tableau13[ID_Antenne],Tableau13[Latitude],"Non répertoriées")</f>
        <v>Non répertoriées</v>
      </c>
      <c r="G307" t="str">
        <f>_xlfn.XLOOKUP(B307,Tableau13[ID_Antenne],Tableau13[Longitude],"Non répertoriées")</f>
        <v>Non répertoriées</v>
      </c>
      <c r="H307" t="s">
        <v>10</v>
      </c>
    </row>
    <row r="308" spans="1:8" x14ac:dyDescent="0.25">
      <c r="A308" s="1">
        <v>45221.143055555563</v>
      </c>
      <c r="B308" t="s">
        <v>207</v>
      </c>
      <c r="C308" t="str">
        <f>_xlfn.XLOOKUP(B308,Tableau13[ID_Antenne],Tableau13[Province_RDC],"Non répertoriées")</f>
        <v>Non répertoriées</v>
      </c>
      <c r="D308">
        <v>43</v>
      </c>
      <c r="E308" t="str">
        <f>_xlfn.XLOOKUP(B308,Tableau13[ID_Antenne],Tableau13[Technologie],"Non répertoriées")</f>
        <v>Non répertoriées</v>
      </c>
      <c r="F308" t="str">
        <f>_xlfn.XLOOKUP(B308,Tableau13[ID_Antenne],Tableau13[Latitude],"Non répertoriées")</f>
        <v>Non répertoriées</v>
      </c>
      <c r="G308" t="str">
        <f>_xlfn.XLOOKUP(B308,Tableau13[ID_Antenne],Tableau13[Longitude],"Non répertoriées")</f>
        <v>Non répertoriées</v>
      </c>
      <c r="H308" t="s">
        <v>5</v>
      </c>
    </row>
    <row r="309" spans="1:8" x14ac:dyDescent="0.25">
      <c r="A309" s="1">
        <v>45211.908333333333</v>
      </c>
      <c r="B309" t="s">
        <v>266</v>
      </c>
      <c r="C309" t="str">
        <f>_xlfn.XLOOKUP(B309,Tableau13[ID_Antenne],Tableau13[Province_RDC],"Non répertoriées")</f>
        <v>Non répertoriées</v>
      </c>
      <c r="D309">
        <v>32</v>
      </c>
      <c r="E309" t="str">
        <f>_xlfn.XLOOKUP(B309,Tableau13[ID_Antenne],Tableau13[Technologie],"Non répertoriées")</f>
        <v>Non répertoriées</v>
      </c>
      <c r="F309" t="str">
        <f>_xlfn.XLOOKUP(B309,Tableau13[ID_Antenne],Tableau13[Latitude],"Non répertoriées")</f>
        <v>Non répertoriées</v>
      </c>
      <c r="G309" t="str">
        <f>_xlfn.XLOOKUP(B309,Tableau13[ID_Antenne],Tableau13[Longitude],"Non répertoriées")</f>
        <v>Non répertoriées</v>
      </c>
      <c r="H309" t="s">
        <v>8</v>
      </c>
    </row>
    <row r="310" spans="1:8" x14ac:dyDescent="0.25">
      <c r="A310" s="1">
        <v>45213.960416666669</v>
      </c>
      <c r="B310" t="s">
        <v>267</v>
      </c>
      <c r="C310" t="str">
        <f>_xlfn.XLOOKUP(B310,Tableau13[ID_Antenne],Tableau13[Province_RDC],"Non répertoriées")</f>
        <v>Non répertoriées</v>
      </c>
      <c r="D310">
        <v>103</v>
      </c>
      <c r="E310" t="str">
        <f>_xlfn.XLOOKUP(B310,Tableau13[ID_Antenne],Tableau13[Technologie],"Non répertoriées")</f>
        <v>Non répertoriées</v>
      </c>
      <c r="F310" t="str">
        <f>_xlfn.XLOOKUP(B310,Tableau13[ID_Antenne],Tableau13[Latitude],"Non répertoriées")</f>
        <v>Non répertoriées</v>
      </c>
      <c r="G310" t="str">
        <f>_xlfn.XLOOKUP(B310,Tableau13[ID_Antenne],Tableau13[Longitude],"Non répertoriées")</f>
        <v>Non répertoriées</v>
      </c>
      <c r="H310" t="s">
        <v>8</v>
      </c>
    </row>
    <row r="311" spans="1:8" x14ac:dyDescent="0.25">
      <c r="A311" s="1">
        <v>45209.462500000001</v>
      </c>
      <c r="B311" t="s">
        <v>265</v>
      </c>
      <c r="C311" t="str">
        <f>_xlfn.XLOOKUP(B311,Tableau13[ID_Antenne],Tableau13[Province_RDC],"Non répertoriées")</f>
        <v>Non répertoriées</v>
      </c>
      <c r="D311">
        <v>102</v>
      </c>
      <c r="E311" t="str">
        <f>_xlfn.XLOOKUP(B311,Tableau13[ID_Antenne],Tableau13[Technologie],"Non répertoriées")</f>
        <v>Non répertoriées</v>
      </c>
      <c r="F311" t="str">
        <f>_xlfn.XLOOKUP(B311,Tableau13[ID_Antenne],Tableau13[Latitude],"Non répertoriées")</f>
        <v>Non répertoriées</v>
      </c>
      <c r="G311" t="str">
        <f>_xlfn.XLOOKUP(B311,Tableau13[ID_Antenne],Tableau13[Longitude],"Non répertoriées")</f>
        <v>Non répertoriées</v>
      </c>
      <c r="H311" t="s">
        <v>10</v>
      </c>
    </row>
    <row r="312" spans="1:8" x14ac:dyDescent="0.25">
      <c r="A312" s="1">
        <v>45218.675694444442</v>
      </c>
      <c r="B312" t="s">
        <v>158</v>
      </c>
      <c r="C312" s="29" t="str">
        <f>_xlfn.XLOOKUP(B312,Tableau13[ID_Antenne],Tableau13[Province_RDC],"Non répertoriées")</f>
        <v>Sud-Kivu</v>
      </c>
      <c r="D312">
        <v>37</v>
      </c>
      <c r="E312" s="31" t="str">
        <f>_xlfn.XLOOKUP(B312,Tableau13[ID_Antenne],Tableau13[Technologie],"Non répertoriées")</f>
        <v>4G</v>
      </c>
      <c r="F312" s="3">
        <f>_xlfn.XLOOKUP(B312,Tableau13[ID_Antenne],Tableau13[Latitude],"Non répertoriées")</f>
        <v>-2.9651529999999999</v>
      </c>
      <c r="G312" s="32">
        <f>_xlfn.XLOOKUP(B312,Tableau13[ID_Antenne],Tableau13[Longitude],"Non répertoriées")</f>
        <v>29.79908</v>
      </c>
      <c r="H312" t="s">
        <v>10</v>
      </c>
    </row>
    <row r="313" spans="1:8" x14ac:dyDescent="0.25">
      <c r="A313" s="1">
        <v>45204.895833333343</v>
      </c>
      <c r="B313" t="s">
        <v>268</v>
      </c>
      <c r="C313" t="str">
        <f>_xlfn.XLOOKUP(B313,Tableau13[ID_Antenne],Tableau13[Province_RDC],"Non répertoriées")</f>
        <v>Non répertoriées</v>
      </c>
      <c r="D313">
        <v>42</v>
      </c>
      <c r="E313" t="str">
        <f>_xlfn.XLOOKUP(B313,Tableau13[ID_Antenne],Tableau13[Technologie],"Non répertoriées")</f>
        <v>Non répertoriées</v>
      </c>
      <c r="F313" t="str">
        <f>_xlfn.XLOOKUP(B313,Tableau13[ID_Antenne],Tableau13[Latitude],"Non répertoriées")</f>
        <v>Non répertoriées</v>
      </c>
      <c r="G313" t="str">
        <f>_xlfn.XLOOKUP(B313,Tableau13[ID_Antenne],Tableau13[Longitude],"Non répertoriées")</f>
        <v>Non répertoriées</v>
      </c>
      <c r="H313" t="s">
        <v>8</v>
      </c>
    </row>
    <row r="314" spans="1:8" x14ac:dyDescent="0.25">
      <c r="A314" s="1">
        <v>45207.140277777777</v>
      </c>
      <c r="B314" t="s">
        <v>269</v>
      </c>
      <c r="C314" s="29" t="str">
        <f>_xlfn.XLOOKUP(B314,Tableau13[ID_Antenne],Tableau13[Province_RDC],"Non répertoriées")</f>
        <v>Kongo-Central</v>
      </c>
      <c r="D314">
        <v>46</v>
      </c>
      <c r="E314" s="31" t="str">
        <f>_xlfn.XLOOKUP(B314,Tableau13[ID_Antenne],Tableau13[Technologie],"Non répertoriées")</f>
        <v>4G</v>
      </c>
      <c r="F314" s="3">
        <f>_xlfn.XLOOKUP(B314,Tableau13[ID_Antenne],Tableau13[Latitude],"Non répertoriées")</f>
        <v>-12.112399999999999</v>
      </c>
      <c r="G314" s="32">
        <f>_xlfn.XLOOKUP(B314,Tableau13[ID_Antenne],Tableau13[Longitude],"Non répertoriées")</f>
        <v>15.872226</v>
      </c>
      <c r="H314" t="s">
        <v>8</v>
      </c>
    </row>
    <row r="315" spans="1:8" x14ac:dyDescent="0.25">
      <c r="A315" s="1">
        <v>45227.724305555559</v>
      </c>
      <c r="B315" t="s">
        <v>259</v>
      </c>
      <c r="C315" t="str">
        <f>_xlfn.XLOOKUP(B315,Tableau13[ID_Antenne],Tableau13[Province_RDC],"Non répertoriées")</f>
        <v>Non répertoriées</v>
      </c>
      <c r="D315">
        <v>20</v>
      </c>
      <c r="E315" t="str">
        <f>_xlfn.XLOOKUP(B315,Tableau13[ID_Antenne],Tableau13[Technologie],"Non répertoriées")</f>
        <v>Non répertoriées</v>
      </c>
      <c r="F315" t="str">
        <f>_xlfn.XLOOKUP(B315,Tableau13[ID_Antenne],Tableau13[Latitude],"Non répertoriées")</f>
        <v>Non répertoriées</v>
      </c>
      <c r="G315" t="str">
        <f>_xlfn.XLOOKUP(B315,Tableau13[ID_Antenne],Tableau13[Longitude],"Non répertoriées")</f>
        <v>Non répertoriées</v>
      </c>
      <c r="H315" t="s">
        <v>5</v>
      </c>
    </row>
    <row r="316" spans="1:8" x14ac:dyDescent="0.25">
      <c r="A316" s="1">
        <v>45203.35833333333</v>
      </c>
      <c r="B316" t="s">
        <v>270</v>
      </c>
      <c r="C316" t="str">
        <f>_xlfn.XLOOKUP(B316,Tableau13[ID_Antenne],Tableau13[Province_RDC],"Non répertoriées")</f>
        <v>Non répertoriées</v>
      </c>
      <c r="D316">
        <v>5</v>
      </c>
      <c r="E316" t="str">
        <f>_xlfn.XLOOKUP(B316,Tableau13[ID_Antenne],Tableau13[Technologie],"Non répertoriées")</f>
        <v>Non répertoriées</v>
      </c>
      <c r="F316" t="str">
        <f>_xlfn.XLOOKUP(B316,Tableau13[ID_Antenne],Tableau13[Latitude],"Non répertoriées")</f>
        <v>Non répertoriées</v>
      </c>
      <c r="G316" t="str">
        <f>_xlfn.XLOOKUP(B316,Tableau13[ID_Antenne],Tableau13[Longitude],"Non répertoriées")</f>
        <v>Non répertoriées</v>
      </c>
      <c r="H316" t="s">
        <v>5</v>
      </c>
    </row>
    <row r="317" spans="1:8" x14ac:dyDescent="0.25">
      <c r="A317" s="1">
        <v>45207.57916666667</v>
      </c>
      <c r="B317" t="s">
        <v>271</v>
      </c>
      <c r="C317" s="29" t="str">
        <f>_xlfn.XLOOKUP(B317,Tableau13[ID_Antenne],Tableau13[Province_RDC],"Non répertoriées")</f>
        <v>Ituri</v>
      </c>
      <c r="D317">
        <v>68</v>
      </c>
      <c r="E317" s="31" t="str">
        <f>_xlfn.XLOOKUP(B317,Tableau13[ID_Antenne],Tableau13[Technologie],"Non répertoriées")</f>
        <v>5G</v>
      </c>
      <c r="F317" s="3">
        <f>_xlfn.XLOOKUP(B317,Tableau13[ID_Antenne],Tableau13[Latitude],"Non répertoriées")</f>
        <v>-3.7720639999999999</v>
      </c>
      <c r="G317" s="32">
        <f>_xlfn.XLOOKUP(B317,Tableau13[ID_Antenne],Tableau13[Longitude],"Non répertoriées")</f>
        <v>16.006277999999998</v>
      </c>
      <c r="H317" t="s">
        <v>5</v>
      </c>
    </row>
    <row r="318" spans="1:8" x14ac:dyDescent="0.25">
      <c r="A318" s="1">
        <v>45217.818749999999</v>
      </c>
      <c r="B318" t="s">
        <v>140</v>
      </c>
      <c r="C318" t="str">
        <f>_xlfn.XLOOKUP(B318,Tableau13[ID_Antenne],Tableau13[Province_RDC],"Non répertoriées")</f>
        <v>Non répertoriées</v>
      </c>
      <c r="D318">
        <v>100</v>
      </c>
      <c r="E318" t="str">
        <f>_xlfn.XLOOKUP(B318,Tableau13[ID_Antenne],Tableau13[Technologie],"Non répertoriées")</f>
        <v>Non répertoriées</v>
      </c>
      <c r="F318" t="str">
        <f>_xlfn.XLOOKUP(B318,Tableau13[ID_Antenne],Tableau13[Latitude],"Non répertoriées")</f>
        <v>Non répertoriées</v>
      </c>
      <c r="G318" t="str">
        <f>_xlfn.XLOOKUP(B318,Tableau13[ID_Antenne],Tableau13[Longitude],"Non répertoriées")</f>
        <v>Non répertoriées</v>
      </c>
      <c r="H318" t="s">
        <v>5</v>
      </c>
    </row>
    <row r="319" spans="1:8" x14ac:dyDescent="0.25">
      <c r="A319" s="1">
        <v>45221.857638888891</v>
      </c>
      <c r="B319" t="s">
        <v>272</v>
      </c>
      <c r="C319" t="str">
        <f>_xlfn.XLOOKUP(B319,Tableau13[ID_Antenne],Tableau13[Province_RDC],"Non répertoriées")</f>
        <v>Non répertoriées</v>
      </c>
      <c r="D319">
        <v>60</v>
      </c>
      <c r="E319" t="str">
        <f>_xlfn.XLOOKUP(B319,Tableau13[ID_Antenne],Tableau13[Technologie],"Non répertoriées")</f>
        <v>Non répertoriées</v>
      </c>
      <c r="F319" t="str">
        <f>_xlfn.XLOOKUP(B319,Tableau13[ID_Antenne],Tableau13[Latitude],"Non répertoriées")</f>
        <v>Non répertoriées</v>
      </c>
      <c r="G319" t="str">
        <f>_xlfn.XLOOKUP(B319,Tableau13[ID_Antenne],Tableau13[Longitude],"Non répertoriées")</f>
        <v>Non répertoriées</v>
      </c>
      <c r="H319" t="s">
        <v>10</v>
      </c>
    </row>
    <row r="320" spans="1:8" x14ac:dyDescent="0.25">
      <c r="A320" s="1">
        <v>45200.832638888889</v>
      </c>
      <c r="B320" t="s">
        <v>273</v>
      </c>
      <c r="C320" s="29" t="str">
        <f>_xlfn.XLOOKUP(B320,Tableau13[ID_Antenne],Tableau13[Province_RDC],"Non répertoriées")</f>
        <v>Sud-Kivu</v>
      </c>
      <c r="D320">
        <v>27</v>
      </c>
      <c r="E320" s="31" t="str">
        <f>_xlfn.XLOOKUP(B320,Tableau13[ID_Antenne],Tableau13[Technologie],"Non répertoriées")</f>
        <v>4G</v>
      </c>
      <c r="F320" s="3">
        <f>_xlfn.XLOOKUP(B320,Tableau13[ID_Antenne],Tableau13[Latitude],"Non répertoriées")</f>
        <v>1.2419519999999999</v>
      </c>
      <c r="G320" s="32">
        <f>_xlfn.XLOOKUP(B320,Tableau13[ID_Antenne],Tableau13[Longitude],"Non répertoriées")</f>
        <v>25.261382999999999</v>
      </c>
      <c r="H320" t="s">
        <v>5</v>
      </c>
    </row>
    <row r="321" spans="1:8" x14ac:dyDescent="0.25">
      <c r="A321" s="1">
        <v>45221.928472222222</v>
      </c>
      <c r="B321" t="s">
        <v>45</v>
      </c>
      <c r="C321" s="29" t="str">
        <f>_xlfn.XLOOKUP(B321,Tableau13[ID_Antenne],Tableau13[Province_RDC],"Non répertoriées")</f>
        <v>Sud-Kivu</v>
      </c>
      <c r="D321">
        <v>21</v>
      </c>
      <c r="E321" s="31" t="str">
        <f>_xlfn.XLOOKUP(B321,Tableau13[ID_Antenne],Tableau13[Technologie],"Non répertoriées")</f>
        <v>3G</v>
      </c>
      <c r="F321" s="3">
        <f>_xlfn.XLOOKUP(B321,Tableau13[ID_Antenne],Tableau13[Latitude],"Non répertoriées")</f>
        <v>4.2493650000000001</v>
      </c>
      <c r="G321" s="32">
        <f>_xlfn.XLOOKUP(B321,Tableau13[ID_Antenne],Tableau13[Longitude],"Non répertoriées")</f>
        <v>28.355039999999999</v>
      </c>
      <c r="H321" t="s">
        <v>5</v>
      </c>
    </row>
    <row r="322" spans="1:8" x14ac:dyDescent="0.25">
      <c r="A322" s="1">
        <v>45200.220138888893</v>
      </c>
      <c r="B322" t="s">
        <v>274</v>
      </c>
      <c r="C322" t="str">
        <f>_xlfn.XLOOKUP(B322,Tableau13[ID_Antenne],Tableau13[Province_RDC],"Non répertoriées")</f>
        <v>Non répertoriées</v>
      </c>
      <c r="D322">
        <v>53</v>
      </c>
      <c r="E322" t="str">
        <f>_xlfn.XLOOKUP(B322,Tableau13[ID_Antenne],Tableau13[Technologie],"Non répertoriées")</f>
        <v>Non répertoriées</v>
      </c>
      <c r="F322" t="str">
        <f>_xlfn.XLOOKUP(B322,Tableau13[ID_Antenne],Tableau13[Latitude],"Non répertoriées")</f>
        <v>Non répertoriées</v>
      </c>
      <c r="G322" t="str">
        <f>_xlfn.XLOOKUP(B322,Tableau13[ID_Antenne],Tableau13[Longitude],"Non répertoriées")</f>
        <v>Non répertoriées</v>
      </c>
      <c r="H322" t="s">
        <v>8</v>
      </c>
    </row>
    <row r="323" spans="1:8" x14ac:dyDescent="0.25">
      <c r="A323" s="1">
        <v>45222.415277777778</v>
      </c>
      <c r="B323" t="s">
        <v>275</v>
      </c>
      <c r="C323" s="29" t="str">
        <f>_xlfn.XLOOKUP(B323,Tableau13[ID_Antenne],Tableau13[Province_RDC],"Non répertoriées")</f>
        <v>Nord-Ubangi</v>
      </c>
      <c r="D323">
        <v>73</v>
      </c>
      <c r="E323" s="31" t="str">
        <f>_xlfn.XLOOKUP(B323,Tableau13[ID_Antenne],Tableau13[Technologie],"Non répertoriées")</f>
        <v>5G</v>
      </c>
      <c r="F323" s="3">
        <f>_xlfn.XLOOKUP(B323,Tableau13[ID_Antenne],Tableau13[Latitude],"Non répertoriées")</f>
        <v>-4.8128659999999996</v>
      </c>
      <c r="G323" s="32">
        <f>_xlfn.XLOOKUP(B323,Tableau13[ID_Antenne],Tableau13[Longitude],"Non répertoriées")</f>
        <v>18.559304999999998</v>
      </c>
      <c r="H323" t="s">
        <v>5</v>
      </c>
    </row>
    <row r="324" spans="1:8" x14ac:dyDescent="0.25">
      <c r="A324" s="1">
        <v>45210.458333333343</v>
      </c>
      <c r="B324" t="s">
        <v>189</v>
      </c>
      <c r="C324" s="29" t="str">
        <f>_xlfn.XLOOKUP(B324,Tableau13[ID_Antenne],Tableau13[Province_RDC],"Non répertoriées")</f>
        <v>Haut-Lomami</v>
      </c>
      <c r="D324">
        <v>95</v>
      </c>
      <c r="E324" s="31" t="str">
        <f>_xlfn.XLOOKUP(B324,Tableau13[ID_Antenne],Tableau13[Technologie],"Non répertoriées")</f>
        <v>4G</v>
      </c>
      <c r="F324" s="3">
        <f>_xlfn.XLOOKUP(B324,Tableau13[ID_Antenne],Tableau13[Latitude],"Non répertoriées")</f>
        <v>-12.112682</v>
      </c>
      <c r="G324" s="32">
        <f>_xlfn.XLOOKUP(B324,Tableau13[ID_Antenne],Tableau13[Longitude],"Non répertoriées")</f>
        <v>19.972052000000001</v>
      </c>
      <c r="H324" t="s">
        <v>8</v>
      </c>
    </row>
    <row r="325" spans="1:8" x14ac:dyDescent="0.25">
      <c r="A325" s="1">
        <v>45205.191666666673</v>
      </c>
      <c r="B325" t="s">
        <v>276</v>
      </c>
      <c r="C325" s="29" t="str">
        <f>_xlfn.XLOOKUP(B325,Tableau13[ID_Antenne],Tableau13[Province_RDC],"Non répertoriées")</f>
        <v>Sankuru</v>
      </c>
      <c r="D325">
        <v>34</v>
      </c>
      <c r="E325" s="31" t="str">
        <f>_xlfn.XLOOKUP(B325,Tableau13[ID_Antenne],Tableau13[Technologie],"Non répertoriées")</f>
        <v>3G</v>
      </c>
      <c r="F325" s="3">
        <f>_xlfn.XLOOKUP(B325,Tableau13[ID_Antenne],Tableau13[Latitude],"Non répertoriées")</f>
        <v>-4.7886769999999999</v>
      </c>
      <c r="G325" s="32">
        <f>_xlfn.XLOOKUP(B325,Tableau13[ID_Antenne],Tableau13[Longitude],"Non répertoriées")</f>
        <v>23.600221999999999</v>
      </c>
      <c r="H325" t="s">
        <v>5</v>
      </c>
    </row>
    <row r="326" spans="1:8" x14ac:dyDescent="0.25">
      <c r="A326" s="1">
        <v>45221.50277777778</v>
      </c>
      <c r="B326" t="s">
        <v>277</v>
      </c>
      <c r="C326" t="str">
        <f>_xlfn.XLOOKUP(B326,Tableau13[ID_Antenne],Tableau13[Province_RDC],"Non répertoriées")</f>
        <v>Non répertoriées</v>
      </c>
      <c r="D326">
        <v>69</v>
      </c>
      <c r="E326" t="str">
        <f>_xlfn.XLOOKUP(B326,Tableau13[ID_Antenne],Tableau13[Technologie],"Non répertoriées")</f>
        <v>Non répertoriées</v>
      </c>
      <c r="F326" t="str">
        <f>_xlfn.XLOOKUP(B326,Tableau13[ID_Antenne],Tableau13[Latitude],"Non répertoriées")</f>
        <v>Non répertoriées</v>
      </c>
      <c r="G326" t="str">
        <f>_xlfn.XLOOKUP(B326,Tableau13[ID_Antenne],Tableau13[Longitude],"Non répertoriées")</f>
        <v>Non répertoriées</v>
      </c>
      <c r="H326" t="s">
        <v>5</v>
      </c>
    </row>
    <row r="327" spans="1:8" x14ac:dyDescent="0.25">
      <c r="A327" s="1">
        <v>45204.986111111109</v>
      </c>
      <c r="B327" t="s">
        <v>278</v>
      </c>
      <c r="C327" s="29" t="str">
        <f>_xlfn.XLOOKUP(B327,Tableau13[ID_Antenne],Tableau13[Province_RDC],"Non répertoriées")</f>
        <v>Haut-Uele</v>
      </c>
      <c r="D327">
        <v>76</v>
      </c>
      <c r="E327" s="31" t="str">
        <f>_xlfn.XLOOKUP(B327,Tableau13[ID_Antenne],Tableau13[Technologie],"Non répertoriées")</f>
        <v>5G</v>
      </c>
      <c r="F327" s="3">
        <f>_xlfn.XLOOKUP(B327,Tableau13[ID_Antenne],Tableau13[Latitude],"Non répertoriées")</f>
        <v>-4.869434</v>
      </c>
      <c r="G327" s="32">
        <f>_xlfn.XLOOKUP(B327,Tableau13[ID_Antenne],Tableau13[Longitude],"Non répertoriées")</f>
        <v>22.326522000000001</v>
      </c>
      <c r="H327" t="s">
        <v>8</v>
      </c>
    </row>
    <row r="328" spans="1:8" x14ac:dyDescent="0.25">
      <c r="A328" s="1">
        <v>45200.115972222222</v>
      </c>
      <c r="B328" t="s">
        <v>20</v>
      </c>
      <c r="C328" t="str">
        <f>_xlfn.XLOOKUP(B328,Tableau13[ID_Antenne],Tableau13[Province_RDC],"Non répertoriées")</f>
        <v>Non répertoriées</v>
      </c>
      <c r="D328">
        <v>111</v>
      </c>
      <c r="E328" t="str">
        <f>_xlfn.XLOOKUP(B328,Tableau13[ID_Antenne],Tableau13[Technologie],"Non répertoriées")</f>
        <v>Non répertoriées</v>
      </c>
      <c r="F328" t="str">
        <f>_xlfn.XLOOKUP(B328,Tableau13[ID_Antenne],Tableau13[Latitude],"Non répertoriées")</f>
        <v>Non répertoriées</v>
      </c>
      <c r="G328" t="str">
        <f>_xlfn.XLOOKUP(B328,Tableau13[ID_Antenne],Tableau13[Longitude],"Non répertoriées")</f>
        <v>Non répertoriées</v>
      </c>
      <c r="H328" t="s">
        <v>10</v>
      </c>
    </row>
    <row r="329" spans="1:8" x14ac:dyDescent="0.25">
      <c r="A329" s="1">
        <v>45216.26666666667</v>
      </c>
      <c r="B329" t="s">
        <v>160</v>
      </c>
      <c r="C329" s="29" t="str">
        <f>_xlfn.XLOOKUP(B329,Tableau13[ID_Antenne],Tableau13[Province_RDC],"Non répertoriées")</f>
        <v>Maniema</v>
      </c>
      <c r="D329">
        <v>90</v>
      </c>
      <c r="E329" s="31" t="str">
        <f>_xlfn.XLOOKUP(B329,Tableau13[ID_Antenne],Tableau13[Technologie],"Non répertoriées")</f>
        <v>5G</v>
      </c>
      <c r="F329" s="3">
        <f>_xlfn.XLOOKUP(B329,Tableau13[ID_Antenne],Tableau13[Latitude],"Non répertoriées")</f>
        <v>-2.3743210000000001</v>
      </c>
      <c r="G329" s="32">
        <f>_xlfn.XLOOKUP(B329,Tableau13[ID_Antenne],Tableau13[Longitude],"Non répertoriées")</f>
        <v>22.399491000000001</v>
      </c>
      <c r="H329" t="s">
        <v>10</v>
      </c>
    </row>
    <row r="330" spans="1:8" x14ac:dyDescent="0.25">
      <c r="A330" s="1">
        <v>45213.597916666673</v>
      </c>
      <c r="B330" t="s">
        <v>279</v>
      </c>
      <c r="C330" t="str">
        <f>_xlfn.XLOOKUP(B330,Tableau13[ID_Antenne],Tableau13[Province_RDC],"Non répertoriées")</f>
        <v>Non répertoriées</v>
      </c>
      <c r="D330">
        <v>108</v>
      </c>
      <c r="E330" t="str">
        <f>_xlfn.XLOOKUP(B330,Tableau13[ID_Antenne],Tableau13[Technologie],"Non répertoriées")</f>
        <v>Non répertoriées</v>
      </c>
      <c r="F330" t="str">
        <f>_xlfn.XLOOKUP(B330,Tableau13[ID_Antenne],Tableau13[Latitude],"Non répertoriées")</f>
        <v>Non répertoriées</v>
      </c>
      <c r="G330" t="str">
        <f>_xlfn.XLOOKUP(B330,Tableau13[ID_Antenne],Tableau13[Longitude],"Non répertoriées")</f>
        <v>Non répertoriées</v>
      </c>
      <c r="H330" t="s">
        <v>8</v>
      </c>
    </row>
    <row r="331" spans="1:8" x14ac:dyDescent="0.25">
      <c r="A331" s="1">
        <v>45205.47152777778</v>
      </c>
      <c r="B331" t="s">
        <v>280</v>
      </c>
      <c r="C331" s="29" t="str">
        <f>_xlfn.XLOOKUP(B331,Tableau13[ID_Antenne],Tableau13[Province_RDC],"Non répertoriées")</f>
        <v>Haut-Lomami</v>
      </c>
      <c r="D331">
        <v>50</v>
      </c>
      <c r="E331" s="31" t="str">
        <f>_xlfn.XLOOKUP(B331,Tableau13[ID_Antenne],Tableau13[Technologie],"Non répertoriées")</f>
        <v>4G</v>
      </c>
      <c r="F331" s="3">
        <f>_xlfn.XLOOKUP(B331,Tableau13[ID_Antenne],Tableau13[Latitude],"Non répertoriées")</f>
        <v>2.628638</v>
      </c>
      <c r="G331" s="32">
        <f>_xlfn.XLOOKUP(B331,Tableau13[ID_Antenne],Tableau13[Longitude],"Non répertoriées")</f>
        <v>28.420582</v>
      </c>
      <c r="H331" t="s">
        <v>8</v>
      </c>
    </row>
    <row r="332" spans="1:8" x14ac:dyDescent="0.25">
      <c r="A332" s="1">
        <v>45223.450694444437</v>
      </c>
      <c r="B332" t="s">
        <v>281</v>
      </c>
      <c r="C332" s="29" t="str">
        <f>_xlfn.XLOOKUP(B332,Tableau13[ID_Antenne],Tableau13[Province_RDC],"Non répertoriées")</f>
        <v>Tshuapa</v>
      </c>
      <c r="D332">
        <v>14</v>
      </c>
      <c r="E332" s="31" t="str">
        <f>_xlfn.XLOOKUP(B332,Tableau13[ID_Antenne],Tableau13[Technologie],"Non répertoriées")</f>
        <v>3G</v>
      </c>
      <c r="F332" s="3">
        <f>_xlfn.XLOOKUP(B332,Tableau13[ID_Antenne],Tableau13[Latitude],"Non répertoriées")</f>
        <v>-2.571777</v>
      </c>
      <c r="G332" s="32">
        <f>_xlfn.XLOOKUP(B332,Tableau13[ID_Antenne],Tableau13[Longitude],"Non répertoriées")</f>
        <v>12.120642</v>
      </c>
      <c r="H332" t="s">
        <v>10</v>
      </c>
    </row>
    <row r="333" spans="1:8" x14ac:dyDescent="0.25">
      <c r="A333" s="1">
        <v>45230.776388888888</v>
      </c>
      <c r="B333" t="s">
        <v>282</v>
      </c>
      <c r="C333" t="str">
        <f>_xlfn.XLOOKUP(B333,Tableau13[ID_Antenne],Tableau13[Province_RDC],"Non répertoriées")</f>
        <v>Non répertoriées</v>
      </c>
      <c r="D333">
        <v>55</v>
      </c>
      <c r="E333" t="str">
        <f>_xlfn.XLOOKUP(B333,Tableau13[ID_Antenne],Tableau13[Technologie],"Non répertoriées")</f>
        <v>Non répertoriées</v>
      </c>
      <c r="F333" t="str">
        <f>_xlfn.XLOOKUP(B333,Tableau13[ID_Antenne],Tableau13[Latitude],"Non répertoriées")</f>
        <v>Non répertoriées</v>
      </c>
      <c r="G333" t="str">
        <f>_xlfn.XLOOKUP(B333,Tableau13[ID_Antenne],Tableau13[Longitude],"Non répertoriées")</f>
        <v>Non répertoriées</v>
      </c>
      <c r="H333" t="s">
        <v>8</v>
      </c>
    </row>
    <row r="334" spans="1:8" x14ac:dyDescent="0.25">
      <c r="A334" s="1">
        <v>45202.04791666667</v>
      </c>
      <c r="B334" t="s">
        <v>283</v>
      </c>
      <c r="C334" s="29" t="str">
        <f>_xlfn.XLOOKUP(B334,Tableau13[ID_Antenne],Tableau13[Province_RDC],"Non répertoriées")</f>
        <v>Tshuapa</v>
      </c>
      <c r="D334">
        <v>115</v>
      </c>
      <c r="E334" s="31" t="str">
        <f>_xlfn.XLOOKUP(B334,Tableau13[ID_Antenne],Tableau13[Technologie],"Non répertoriées")</f>
        <v>4G</v>
      </c>
      <c r="F334" s="3">
        <f>_xlfn.XLOOKUP(B334,Tableau13[ID_Antenne],Tableau13[Latitude],"Non répertoriées")</f>
        <v>-10.577049000000001</v>
      </c>
      <c r="G334" s="32">
        <f>_xlfn.XLOOKUP(B334,Tableau13[ID_Antenne],Tableau13[Longitude],"Non répertoriées")</f>
        <v>23.721854</v>
      </c>
      <c r="H334" t="s">
        <v>8</v>
      </c>
    </row>
    <row r="335" spans="1:8" x14ac:dyDescent="0.25">
      <c r="A335" s="1">
        <v>45205.793749999997</v>
      </c>
      <c r="B335" t="s">
        <v>284</v>
      </c>
      <c r="C335" t="str">
        <f>_xlfn.XLOOKUP(B335,Tableau13[ID_Antenne],Tableau13[Province_RDC],"Non répertoriées")</f>
        <v>Non répertoriées</v>
      </c>
      <c r="D335">
        <v>99</v>
      </c>
      <c r="E335" t="str">
        <f>_xlfn.XLOOKUP(B335,Tableau13[ID_Antenne],Tableau13[Technologie],"Non répertoriées")</f>
        <v>Non répertoriées</v>
      </c>
      <c r="F335" t="str">
        <f>_xlfn.XLOOKUP(B335,Tableau13[ID_Antenne],Tableau13[Latitude],"Non répertoriées")</f>
        <v>Non répertoriées</v>
      </c>
      <c r="G335" t="str">
        <f>_xlfn.XLOOKUP(B335,Tableau13[ID_Antenne],Tableau13[Longitude],"Non répertoriées")</f>
        <v>Non répertoriées</v>
      </c>
      <c r="H335" t="s">
        <v>8</v>
      </c>
    </row>
    <row r="336" spans="1:8" x14ac:dyDescent="0.25">
      <c r="A336" t="s">
        <v>285</v>
      </c>
      <c r="B336" t="s">
        <v>21</v>
      </c>
      <c r="C336" t="str">
        <f>_xlfn.XLOOKUP(B336,Tableau13[ID_Antenne],Tableau13[Province_RDC],"Non répertoriées")</f>
        <v>Non répertoriées</v>
      </c>
      <c r="D336">
        <v>10</v>
      </c>
      <c r="E336" t="str">
        <f>_xlfn.XLOOKUP(B336,Tableau13[ID_Antenne],Tableau13[Technologie],"Non répertoriées")</f>
        <v>Non répertoriées</v>
      </c>
      <c r="F336" t="str">
        <f>_xlfn.XLOOKUP(B336,Tableau13[ID_Antenne],Tableau13[Latitude],"Non répertoriées")</f>
        <v>Non répertoriées</v>
      </c>
      <c r="G336" t="str">
        <f>_xlfn.XLOOKUP(B336,Tableau13[ID_Antenne],Tableau13[Longitude],"Non répertoriées")</f>
        <v>Non répertoriées</v>
      </c>
      <c r="H336" t="s">
        <v>8</v>
      </c>
    </row>
    <row r="337" spans="1:8" x14ac:dyDescent="0.25">
      <c r="A337" s="1">
        <v>45214.893750000003</v>
      </c>
      <c r="B337" t="s">
        <v>286</v>
      </c>
      <c r="C337" t="str">
        <f>_xlfn.XLOOKUP(B337,Tableau13[ID_Antenne],Tableau13[Province_RDC],"Non répertoriées")</f>
        <v>Non répertoriées</v>
      </c>
      <c r="D337">
        <v>60</v>
      </c>
      <c r="E337" t="str">
        <f>_xlfn.XLOOKUP(B337,Tableau13[ID_Antenne],Tableau13[Technologie],"Non répertoriées")</f>
        <v>Non répertoriées</v>
      </c>
      <c r="F337" t="str">
        <f>_xlfn.XLOOKUP(B337,Tableau13[ID_Antenne],Tableau13[Latitude],"Non répertoriées")</f>
        <v>Non répertoriées</v>
      </c>
      <c r="G337" t="str">
        <f>_xlfn.XLOOKUP(B337,Tableau13[ID_Antenne],Tableau13[Longitude],"Non répertoriées")</f>
        <v>Non répertoriées</v>
      </c>
      <c r="H337" t="s">
        <v>8</v>
      </c>
    </row>
    <row r="338" spans="1:8" x14ac:dyDescent="0.25">
      <c r="A338" s="1">
        <v>45215.811111111107</v>
      </c>
      <c r="B338" t="s">
        <v>169</v>
      </c>
      <c r="C338" t="str">
        <f>_xlfn.XLOOKUP(B338,Tableau13[ID_Antenne],Tableau13[Province_RDC],"Non répertoriées")</f>
        <v>Non répertoriées</v>
      </c>
      <c r="D338">
        <v>7</v>
      </c>
      <c r="E338" t="str">
        <f>_xlfn.XLOOKUP(B338,Tableau13[ID_Antenne],Tableau13[Technologie],"Non répertoriées")</f>
        <v>Non répertoriées</v>
      </c>
      <c r="F338" t="str">
        <f>_xlfn.XLOOKUP(B338,Tableau13[ID_Antenne],Tableau13[Latitude],"Non répertoriées")</f>
        <v>Non répertoriées</v>
      </c>
      <c r="G338" t="str">
        <f>_xlfn.XLOOKUP(B338,Tableau13[ID_Antenne],Tableau13[Longitude],"Non répertoriées")</f>
        <v>Non répertoriées</v>
      </c>
      <c r="H338" t="s">
        <v>10</v>
      </c>
    </row>
    <row r="339" spans="1:8" x14ac:dyDescent="0.25">
      <c r="A339" s="1">
        <v>45213.342361111107</v>
      </c>
      <c r="B339" t="s">
        <v>287</v>
      </c>
      <c r="C339" s="29" t="str">
        <f>_xlfn.XLOOKUP(B339,Tableau13[ID_Antenne],Tableau13[Province_RDC],"Non répertoriées")</f>
        <v>Sud-Kivu</v>
      </c>
      <c r="D339">
        <v>63</v>
      </c>
      <c r="E339" s="31" t="str">
        <f>_xlfn.XLOOKUP(B339,Tableau13[ID_Antenne],Tableau13[Technologie],"Non répertoriées")</f>
        <v>5G</v>
      </c>
      <c r="F339" s="3">
        <f>_xlfn.XLOOKUP(B339,Tableau13[ID_Antenne],Tableau13[Latitude],"Non répertoriées")</f>
        <v>0.31740800000000002</v>
      </c>
      <c r="G339" s="32">
        <f>_xlfn.XLOOKUP(B339,Tableau13[ID_Antenne],Tableau13[Longitude],"Non répertoriées")</f>
        <v>27.197666999999999</v>
      </c>
      <c r="H339" t="s">
        <v>8</v>
      </c>
    </row>
    <row r="340" spans="1:8" x14ac:dyDescent="0.25">
      <c r="A340" s="1">
        <v>45224.671527777777</v>
      </c>
      <c r="B340" t="s">
        <v>157</v>
      </c>
      <c r="C340" t="str">
        <f>_xlfn.XLOOKUP(B340,Tableau13[ID_Antenne],Tableau13[Province_RDC],"Non répertoriées")</f>
        <v>Non répertoriées</v>
      </c>
      <c r="D340">
        <v>14</v>
      </c>
      <c r="E340" t="str">
        <f>_xlfn.XLOOKUP(B340,Tableau13[ID_Antenne],Tableau13[Technologie],"Non répertoriées")</f>
        <v>Non répertoriées</v>
      </c>
      <c r="F340" t="str">
        <f>_xlfn.XLOOKUP(B340,Tableau13[ID_Antenne],Tableau13[Latitude],"Non répertoriées")</f>
        <v>Non répertoriées</v>
      </c>
      <c r="G340" t="str">
        <f>_xlfn.XLOOKUP(B340,Tableau13[ID_Antenne],Tableau13[Longitude],"Non répertoriées")</f>
        <v>Non répertoriées</v>
      </c>
      <c r="H340" t="s">
        <v>10</v>
      </c>
    </row>
    <row r="341" spans="1:8" x14ac:dyDescent="0.25">
      <c r="A341" s="1">
        <v>45211.546527777777</v>
      </c>
      <c r="B341" t="s">
        <v>66</v>
      </c>
      <c r="C341" t="str">
        <f>_xlfn.XLOOKUP(B341,Tableau13[ID_Antenne],Tableau13[Province_RDC],"Non répertoriées")</f>
        <v>Non répertoriées</v>
      </c>
      <c r="D341">
        <v>115</v>
      </c>
      <c r="E341" t="str">
        <f>_xlfn.XLOOKUP(B341,Tableau13[ID_Antenne],Tableau13[Technologie],"Non répertoriées")</f>
        <v>Non répertoriées</v>
      </c>
      <c r="F341" t="str">
        <f>_xlfn.XLOOKUP(B341,Tableau13[ID_Antenne],Tableau13[Latitude],"Non répertoriées")</f>
        <v>Non répertoriées</v>
      </c>
      <c r="G341" t="str">
        <f>_xlfn.XLOOKUP(B341,Tableau13[ID_Antenne],Tableau13[Longitude],"Non répertoriées")</f>
        <v>Non répertoriées</v>
      </c>
      <c r="H341" t="s">
        <v>5</v>
      </c>
    </row>
    <row r="342" spans="1:8" x14ac:dyDescent="0.25">
      <c r="A342" s="1">
        <v>45209.904861111107</v>
      </c>
      <c r="B342" t="s">
        <v>32</v>
      </c>
      <c r="C342" t="str">
        <f>_xlfn.XLOOKUP(B342,Tableau13[ID_Antenne],Tableau13[Province_RDC],"Non répertoriées")</f>
        <v>Non répertoriées</v>
      </c>
      <c r="D342">
        <v>45</v>
      </c>
      <c r="E342" t="str">
        <f>_xlfn.XLOOKUP(B342,Tableau13[ID_Antenne],Tableau13[Technologie],"Non répertoriées")</f>
        <v>Non répertoriées</v>
      </c>
      <c r="F342" t="str">
        <f>_xlfn.XLOOKUP(B342,Tableau13[ID_Antenne],Tableau13[Latitude],"Non répertoriées")</f>
        <v>Non répertoriées</v>
      </c>
      <c r="G342" t="str">
        <f>_xlfn.XLOOKUP(B342,Tableau13[ID_Antenne],Tableau13[Longitude],"Non répertoriées")</f>
        <v>Non répertoriées</v>
      </c>
      <c r="H342" t="s">
        <v>10</v>
      </c>
    </row>
    <row r="343" spans="1:8" x14ac:dyDescent="0.25">
      <c r="A343" s="1">
        <v>45218.647916666669</v>
      </c>
      <c r="B343" t="s">
        <v>288</v>
      </c>
      <c r="C343" t="str">
        <f>_xlfn.XLOOKUP(B343,Tableau13[ID_Antenne],Tableau13[Province_RDC],"Non répertoriées")</f>
        <v>Non répertoriées</v>
      </c>
      <c r="D343">
        <v>78</v>
      </c>
      <c r="E343" t="str">
        <f>_xlfn.XLOOKUP(B343,Tableau13[ID_Antenne],Tableau13[Technologie],"Non répertoriées")</f>
        <v>Non répertoriées</v>
      </c>
      <c r="F343" t="str">
        <f>_xlfn.XLOOKUP(B343,Tableau13[ID_Antenne],Tableau13[Latitude],"Non répertoriées")</f>
        <v>Non répertoriées</v>
      </c>
      <c r="G343" t="str">
        <f>_xlfn.XLOOKUP(B343,Tableau13[ID_Antenne],Tableau13[Longitude],"Non répertoriées")</f>
        <v>Non répertoriées</v>
      </c>
      <c r="H343" t="s">
        <v>5</v>
      </c>
    </row>
    <row r="344" spans="1:8" x14ac:dyDescent="0.25">
      <c r="A344" s="1">
        <v>45221.376388888893</v>
      </c>
      <c r="B344" t="s">
        <v>289</v>
      </c>
      <c r="C344" s="29" t="str">
        <f>_xlfn.XLOOKUP(B344,Tableau13[ID_Antenne],Tableau13[Province_RDC],"Non répertoriées")</f>
        <v>Maniema</v>
      </c>
      <c r="D344">
        <v>59</v>
      </c>
      <c r="E344" s="31" t="str">
        <f>_xlfn.XLOOKUP(B344,Tableau13[ID_Antenne],Tableau13[Technologie],"Non répertoriées")</f>
        <v>5G</v>
      </c>
      <c r="F344" s="3">
        <f>_xlfn.XLOOKUP(B344,Tableau13[ID_Antenne],Tableau13[Latitude],"Non répertoriées")</f>
        <v>-8.4824669999999998</v>
      </c>
      <c r="G344" s="32">
        <f>_xlfn.XLOOKUP(B344,Tableau13[ID_Antenne],Tableau13[Longitude],"Non répertoriées")</f>
        <v>21.897777999999999</v>
      </c>
      <c r="H344" t="s">
        <v>10</v>
      </c>
    </row>
    <row r="345" spans="1:8" x14ac:dyDescent="0.25">
      <c r="A345" s="1">
        <v>45207.526388888888</v>
      </c>
      <c r="B345" t="s">
        <v>290</v>
      </c>
      <c r="C345" s="29" t="str">
        <f>_xlfn.XLOOKUP(B345,Tableau13[ID_Antenne],Tableau13[Province_RDC],"Non répertoriées")</f>
        <v>Haut-Katanga</v>
      </c>
      <c r="D345">
        <v>78</v>
      </c>
      <c r="E345" s="31" t="str">
        <f>_xlfn.XLOOKUP(B345,Tableau13[ID_Antenne],Tableau13[Technologie],"Non répertoriées")</f>
        <v>3G</v>
      </c>
      <c r="F345" s="3">
        <f>_xlfn.XLOOKUP(B345,Tableau13[ID_Antenne],Tableau13[Latitude],"Non répertoriées")</f>
        <v>-9.4229749999999992</v>
      </c>
      <c r="G345" s="32">
        <f>_xlfn.XLOOKUP(B345,Tableau13[ID_Antenne],Tableau13[Longitude],"Non répertoriées")</f>
        <v>29.375005999999999</v>
      </c>
      <c r="H345" t="s">
        <v>10</v>
      </c>
    </row>
    <row r="346" spans="1:8" x14ac:dyDescent="0.25">
      <c r="A346" s="1">
        <v>45201.009027777778</v>
      </c>
      <c r="B346" t="s">
        <v>257</v>
      </c>
      <c r="C346" s="29" t="str">
        <f>_xlfn.XLOOKUP(B346,Tableau13[ID_Antenne],Tableau13[Province_RDC],"Non répertoriées")</f>
        <v>Nord-Ubangi</v>
      </c>
      <c r="D346">
        <v>56</v>
      </c>
      <c r="E346" s="31" t="str">
        <f>_xlfn.XLOOKUP(B346,Tableau13[ID_Antenne],Tableau13[Technologie],"Non répertoriées")</f>
        <v>3G</v>
      </c>
      <c r="F346" s="3">
        <f>_xlfn.XLOOKUP(B346,Tableau13[ID_Antenne],Tableau13[Latitude],"Non répertoriées")</f>
        <v>-7.7839049999999999</v>
      </c>
      <c r="G346" s="32">
        <f>_xlfn.XLOOKUP(B346,Tableau13[ID_Antenne],Tableau13[Longitude],"Non répertoriées")</f>
        <v>14.114281999999999</v>
      </c>
      <c r="H346" t="s">
        <v>8</v>
      </c>
    </row>
    <row r="347" spans="1:8" x14ac:dyDescent="0.25">
      <c r="A347" s="1">
        <v>45201.057638888888</v>
      </c>
      <c r="B347" t="s">
        <v>291</v>
      </c>
      <c r="C347" s="29" t="str">
        <f>_xlfn.XLOOKUP(B347,Tableau13[ID_Antenne],Tableau13[Province_RDC],"Non répertoriées")</f>
        <v>Haut-Katanga</v>
      </c>
      <c r="D347">
        <v>103</v>
      </c>
      <c r="E347" s="31" t="str">
        <f>_xlfn.XLOOKUP(B347,Tableau13[ID_Antenne],Tableau13[Technologie],"Non répertoriées")</f>
        <v>3G</v>
      </c>
      <c r="F347" s="3">
        <f>_xlfn.XLOOKUP(B347,Tableau13[ID_Antenne],Tableau13[Latitude],"Non répertoriées")</f>
        <v>-11.594525000000001</v>
      </c>
      <c r="G347" s="32">
        <f>_xlfn.XLOOKUP(B347,Tableau13[ID_Antenne],Tableau13[Longitude],"Non répertoriées")</f>
        <v>29.744895</v>
      </c>
      <c r="H347" t="s">
        <v>5</v>
      </c>
    </row>
    <row r="348" spans="1:8" x14ac:dyDescent="0.25">
      <c r="A348" s="1">
        <v>45226.37777777778</v>
      </c>
      <c r="B348" t="s">
        <v>292</v>
      </c>
      <c r="C348" s="29" t="str">
        <f>_xlfn.XLOOKUP(B348,Tableau13[ID_Antenne],Tableau13[Province_RDC],"Non répertoriées")</f>
        <v>Mongala</v>
      </c>
      <c r="D348">
        <v>74</v>
      </c>
      <c r="E348" s="31" t="str">
        <f>_xlfn.XLOOKUP(B348,Tableau13[ID_Antenne],Tableau13[Technologie],"Non répertoriées")</f>
        <v>5G</v>
      </c>
      <c r="F348" s="3">
        <f>_xlfn.XLOOKUP(B348,Tableau13[ID_Antenne],Tableau13[Latitude],"Non répertoriées")</f>
        <v>4.6809229999999999</v>
      </c>
      <c r="G348" s="32">
        <f>_xlfn.XLOOKUP(B348,Tableau13[ID_Antenne],Tableau13[Longitude],"Non répertoriées")</f>
        <v>28.934242000000001</v>
      </c>
      <c r="H348" t="s">
        <v>10</v>
      </c>
    </row>
    <row r="349" spans="1:8" x14ac:dyDescent="0.25">
      <c r="A349" s="1">
        <v>45220.11041666667</v>
      </c>
      <c r="B349" t="s">
        <v>293</v>
      </c>
      <c r="C349" s="29" t="str">
        <f>_xlfn.XLOOKUP(B349,Tableau13[ID_Antenne],Tableau13[Province_RDC],"Non répertoriées")</f>
        <v>Ituri</v>
      </c>
      <c r="D349">
        <v>111</v>
      </c>
      <c r="E349" s="31" t="str">
        <f>_xlfn.XLOOKUP(B349,Tableau13[ID_Antenne],Tableau13[Technologie],"Non répertoriées")</f>
        <v>3G</v>
      </c>
      <c r="F349" s="3">
        <f>_xlfn.XLOOKUP(B349,Tableau13[ID_Antenne],Tableau13[Latitude],"Non répertoriées")</f>
        <v>-4.1250960000000001</v>
      </c>
      <c r="G349" s="32">
        <f>_xlfn.XLOOKUP(B349,Tableau13[ID_Antenne],Tableau13[Longitude],"Non répertoriées")</f>
        <v>27.799897999999999</v>
      </c>
      <c r="H349" t="s">
        <v>10</v>
      </c>
    </row>
    <row r="350" spans="1:8" x14ac:dyDescent="0.25">
      <c r="A350" s="1">
        <v>45219.683333333327</v>
      </c>
      <c r="B350" t="s">
        <v>294</v>
      </c>
      <c r="C350" s="29" t="str">
        <f>_xlfn.XLOOKUP(B350,Tableau13[ID_Antenne],Tableau13[Province_RDC],"Non répertoriées")</f>
        <v>Kongo-Central</v>
      </c>
      <c r="D350">
        <v>99</v>
      </c>
      <c r="E350" s="31" t="str">
        <f>_xlfn.XLOOKUP(B350,Tableau13[ID_Antenne],Tableau13[Technologie],"Non répertoriées")</f>
        <v>5G</v>
      </c>
      <c r="F350" s="3">
        <f>_xlfn.XLOOKUP(B350,Tableau13[ID_Antenne],Tableau13[Latitude],"Non répertoriées")</f>
        <v>-9.5840350000000001</v>
      </c>
      <c r="G350" s="32">
        <f>_xlfn.XLOOKUP(B350,Tableau13[ID_Antenne],Tableau13[Longitude],"Non répertoriées")</f>
        <v>15.966024000000001</v>
      </c>
      <c r="H350" t="s">
        <v>8</v>
      </c>
    </row>
    <row r="351" spans="1:8" x14ac:dyDescent="0.25">
      <c r="A351" s="1">
        <v>45214.774305555547</v>
      </c>
      <c r="B351" t="s">
        <v>82</v>
      </c>
      <c r="C351" s="29" t="str">
        <f>_xlfn.XLOOKUP(B351,Tableau13[ID_Antenne],Tableau13[Province_RDC],"Non répertoriées")</f>
        <v>Sud-Ubangi</v>
      </c>
      <c r="D351">
        <v>118</v>
      </c>
      <c r="E351" s="31" t="str">
        <f>_xlfn.XLOOKUP(B351,Tableau13[ID_Antenne],Tableau13[Technologie],"Non répertoriées")</f>
        <v>4G</v>
      </c>
      <c r="F351" s="3">
        <f>_xlfn.XLOOKUP(B351,Tableau13[ID_Antenne],Tableau13[Latitude],"Non répertoriées")</f>
        <v>-10.914952</v>
      </c>
      <c r="G351" s="32">
        <f>_xlfn.XLOOKUP(B351,Tableau13[ID_Antenne],Tableau13[Longitude],"Non répertoriées")</f>
        <v>26.409648000000001</v>
      </c>
      <c r="H351" t="s">
        <v>5</v>
      </c>
    </row>
    <row r="352" spans="1:8" x14ac:dyDescent="0.25">
      <c r="A352" s="1">
        <v>45230.997916666667</v>
      </c>
      <c r="B352" t="s">
        <v>295</v>
      </c>
      <c r="C352" s="29" t="str">
        <f>_xlfn.XLOOKUP(B352,Tableau13[ID_Antenne],Tableau13[Province_RDC],"Non répertoriées")</f>
        <v>Ituri</v>
      </c>
      <c r="D352">
        <v>72</v>
      </c>
      <c r="E352" s="31" t="str">
        <f>_xlfn.XLOOKUP(B352,Tableau13[ID_Antenne],Tableau13[Technologie],"Non répertoriées")</f>
        <v>5G</v>
      </c>
      <c r="F352" s="3">
        <f>_xlfn.XLOOKUP(B352,Tableau13[ID_Antenne],Tableau13[Latitude],"Non répertoriées")</f>
        <v>-1.9120569999999999</v>
      </c>
      <c r="G352" s="32">
        <f>_xlfn.XLOOKUP(B352,Tableau13[ID_Antenne],Tableau13[Longitude],"Non répertoriées")</f>
        <v>15.236072999999999</v>
      </c>
      <c r="H352" t="s">
        <v>10</v>
      </c>
    </row>
    <row r="353" spans="1:8" x14ac:dyDescent="0.25">
      <c r="A353" s="1">
        <v>45201.623611111107</v>
      </c>
      <c r="B353" t="s">
        <v>296</v>
      </c>
      <c r="C353" t="str">
        <f>_xlfn.XLOOKUP(B353,Tableau13[ID_Antenne],Tableau13[Province_RDC],"Non répertoriées")</f>
        <v>Non répertoriées</v>
      </c>
      <c r="D353">
        <v>9</v>
      </c>
      <c r="E353" t="str">
        <f>_xlfn.XLOOKUP(B353,Tableau13[ID_Antenne],Tableau13[Technologie],"Non répertoriées")</f>
        <v>Non répertoriées</v>
      </c>
      <c r="F353" t="str">
        <f>_xlfn.XLOOKUP(B353,Tableau13[ID_Antenne],Tableau13[Latitude],"Non répertoriées")</f>
        <v>Non répertoriées</v>
      </c>
      <c r="G353" t="str">
        <f>_xlfn.XLOOKUP(B353,Tableau13[ID_Antenne],Tableau13[Longitude],"Non répertoriées")</f>
        <v>Non répertoriées</v>
      </c>
      <c r="H353" t="s">
        <v>5</v>
      </c>
    </row>
    <row r="354" spans="1:8" x14ac:dyDescent="0.25">
      <c r="A354" s="1">
        <v>45225.77847222222</v>
      </c>
      <c r="B354" t="s">
        <v>297</v>
      </c>
      <c r="C354" t="str">
        <f>_xlfn.XLOOKUP(B354,Tableau13[ID_Antenne],Tableau13[Province_RDC],"Non répertoriées")</f>
        <v>Non répertoriées</v>
      </c>
      <c r="D354">
        <v>89</v>
      </c>
      <c r="E354" t="str">
        <f>_xlfn.XLOOKUP(B354,Tableau13[ID_Antenne],Tableau13[Technologie],"Non répertoriées")</f>
        <v>Non répertoriées</v>
      </c>
      <c r="F354" t="str">
        <f>_xlfn.XLOOKUP(B354,Tableau13[ID_Antenne],Tableau13[Latitude],"Non répertoriées")</f>
        <v>Non répertoriées</v>
      </c>
      <c r="G354" t="str">
        <f>_xlfn.XLOOKUP(B354,Tableau13[ID_Antenne],Tableau13[Longitude],"Non répertoriées")</f>
        <v>Non répertoriées</v>
      </c>
      <c r="H354" t="s">
        <v>5</v>
      </c>
    </row>
    <row r="355" spans="1:8" x14ac:dyDescent="0.25">
      <c r="A355" s="1">
        <v>45206.443055555559</v>
      </c>
      <c r="B355" t="s">
        <v>298</v>
      </c>
      <c r="C355" s="29" t="str">
        <f>_xlfn.XLOOKUP(B355,Tableau13[ID_Antenne],Tableau13[Province_RDC],"Non répertoriées")</f>
        <v>Haut-Lomami</v>
      </c>
      <c r="D355">
        <v>48</v>
      </c>
      <c r="E355" s="31" t="str">
        <f>_xlfn.XLOOKUP(B355,Tableau13[ID_Antenne],Tableau13[Technologie],"Non répertoriées")</f>
        <v>4G</v>
      </c>
      <c r="F355" s="3">
        <f>_xlfn.XLOOKUP(B355,Tableau13[ID_Antenne],Tableau13[Latitude],"Non répertoriées")</f>
        <v>0.16327700000000001</v>
      </c>
      <c r="G355" s="32">
        <f>_xlfn.XLOOKUP(B355,Tableau13[ID_Antenne],Tableau13[Longitude],"Non répertoriées")</f>
        <v>14.871577</v>
      </c>
      <c r="H355" t="s">
        <v>10</v>
      </c>
    </row>
    <row r="356" spans="1:8" x14ac:dyDescent="0.25">
      <c r="A356" s="1">
        <v>45215.67291666667</v>
      </c>
      <c r="B356" t="s">
        <v>51</v>
      </c>
      <c r="C356" s="29" t="str">
        <f>_xlfn.XLOOKUP(B356,Tableau13[ID_Antenne],Tableau13[Province_RDC],"Non répertoriées")</f>
        <v>Nord-Kivu</v>
      </c>
      <c r="D356">
        <v>117</v>
      </c>
      <c r="E356" s="31" t="str">
        <f>_xlfn.XLOOKUP(B356,Tableau13[ID_Antenne],Tableau13[Technologie],"Non répertoriées")</f>
        <v>3G</v>
      </c>
      <c r="F356" s="3">
        <f>_xlfn.XLOOKUP(B356,Tableau13[ID_Antenne],Tableau13[Latitude],"Non répertoriées")</f>
        <v>-11.866133</v>
      </c>
      <c r="G356" s="32">
        <f>_xlfn.XLOOKUP(B356,Tableau13[ID_Antenne],Tableau13[Longitude],"Non répertoriées")</f>
        <v>27.068932</v>
      </c>
      <c r="H356" t="s">
        <v>10</v>
      </c>
    </row>
    <row r="357" spans="1:8" x14ac:dyDescent="0.25">
      <c r="A357" s="1">
        <v>45230.061111111107</v>
      </c>
      <c r="B357" t="s">
        <v>299</v>
      </c>
      <c r="C357" t="str">
        <f>_xlfn.XLOOKUP(B357,Tableau13[ID_Antenne],Tableau13[Province_RDC],"Non répertoriées")</f>
        <v>Non répertoriées</v>
      </c>
      <c r="D357">
        <v>103</v>
      </c>
      <c r="E357" t="str">
        <f>_xlfn.XLOOKUP(B357,Tableau13[ID_Antenne],Tableau13[Technologie],"Non répertoriées")</f>
        <v>Non répertoriées</v>
      </c>
      <c r="F357" t="str">
        <f>_xlfn.XLOOKUP(B357,Tableau13[ID_Antenne],Tableau13[Latitude],"Non répertoriées")</f>
        <v>Non répertoriées</v>
      </c>
      <c r="G357" t="str">
        <f>_xlfn.XLOOKUP(B357,Tableau13[ID_Antenne],Tableau13[Longitude],"Non répertoriées")</f>
        <v>Non répertoriées</v>
      </c>
      <c r="H357" t="s">
        <v>5</v>
      </c>
    </row>
    <row r="358" spans="1:8" x14ac:dyDescent="0.25">
      <c r="A358" s="1">
        <v>45203.447916666657</v>
      </c>
      <c r="B358" t="s">
        <v>219</v>
      </c>
      <c r="C358" t="str">
        <f>_xlfn.XLOOKUP(B358,Tableau13[ID_Antenne],Tableau13[Province_RDC],"Non répertoriées")</f>
        <v>Non répertoriées</v>
      </c>
      <c r="D358">
        <v>84</v>
      </c>
      <c r="E358" t="str">
        <f>_xlfn.XLOOKUP(B358,Tableau13[ID_Antenne],Tableau13[Technologie],"Non répertoriées")</f>
        <v>Non répertoriées</v>
      </c>
      <c r="F358" t="str">
        <f>_xlfn.XLOOKUP(B358,Tableau13[ID_Antenne],Tableau13[Latitude],"Non répertoriées")</f>
        <v>Non répertoriées</v>
      </c>
      <c r="G358" t="str">
        <f>_xlfn.XLOOKUP(B358,Tableau13[ID_Antenne],Tableau13[Longitude],"Non répertoriées")</f>
        <v>Non répertoriées</v>
      </c>
      <c r="H358" t="s">
        <v>10</v>
      </c>
    </row>
    <row r="359" spans="1:8" x14ac:dyDescent="0.25">
      <c r="A359" s="1">
        <v>45202.695138888892</v>
      </c>
      <c r="B359" t="s">
        <v>300</v>
      </c>
      <c r="C359" t="str">
        <f>_xlfn.XLOOKUP(B359,Tableau13[ID_Antenne],Tableau13[Province_RDC],"Non répertoriées")</f>
        <v>Non répertoriées</v>
      </c>
      <c r="D359">
        <v>21</v>
      </c>
      <c r="E359" t="str">
        <f>_xlfn.XLOOKUP(B359,Tableau13[ID_Antenne],Tableau13[Technologie],"Non répertoriées")</f>
        <v>Non répertoriées</v>
      </c>
      <c r="F359" t="str">
        <f>_xlfn.XLOOKUP(B359,Tableau13[ID_Antenne],Tableau13[Latitude],"Non répertoriées")</f>
        <v>Non répertoriées</v>
      </c>
      <c r="G359" t="str">
        <f>_xlfn.XLOOKUP(B359,Tableau13[ID_Antenne],Tableau13[Longitude],"Non répertoriées")</f>
        <v>Non répertoriées</v>
      </c>
      <c r="H359" t="s">
        <v>5</v>
      </c>
    </row>
    <row r="360" spans="1:8" x14ac:dyDescent="0.25">
      <c r="A360" s="1">
        <v>45205.052083333343</v>
      </c>
      <c r="B360" t="s">
        <v>301</v>
      </c>
      <c r="C360" s="29" t="str">
        <f>_xlfn.XLOOKUP(B360,Tableau13[ID_Antenne],Tableau13[Province_RDC],"Non répertoriées")</f>
        <v>Kasai</v>
      </c>
      <c r="D360">
        <v>81</v>
      </c>
      <c r="E360" s="31" t="str">
        <f>_xlfn.XLOOKUP(B360,Tableau13[ID_Antenne],Tableau13[Technologie],"Non répertoriées")</f>
        <v>4G</v>
      </c>
      <c r="F360" s="3">
        <f>_xlfn.XLOOKUP(B360,Tableau13[ID_Antenne],Tableau13[Latitude],"Non répertoriées")</f>
        <v>1.5802860000000001</v>
      </c>
      <c r="G360" s="32">
        <f>_xlfn.XLOOKUP(B360,Tableau13[ID_Antenne],Tableau13[Longitude],"Non répertoriées")</f>
        <v>20.99053</v>
      </c>
      <c r="H360" t="s">
        <v>10</v>
      </c>
    </row>
    <row r="361" spans="1:8" x14ac:dyDescent="0.25">
      <c r="A361" s="1">
        <v>45222.602777777778</v>
      </c>
      <c r="B361" t="s">
        <v>302</v>
      </c>
      <c r="C361" t="str">
        <f>_xlfn.XLOOKUP(B361,Tableau13[ID_Antenne],Tableau13[Province_RDC],"Non répertoriées")</f>
        <v>Non répertoriées</v>
      </c>
      <c r="D361">
        <v>53</v>
      </c>
      <c r="E361" t="str">
        <f>_xlfn.XLOOKUP(B361,Tableau13[ID_Antenne],Tableau13[Technologie],"Non répertoriées")</f>
        <v>Non répertoriées</v>
      </c>
      <c r="F361" t="str">
        <f>_xlfn.XLOOKUP(B361,Tableau13[ID_Antenne],Tableau13[Latitude],"Non répertoriées")</f>
        <v>Non répertoriées</v>
      </c>
      <c r="G361" t="str">
        <f>_xlfn.XLOOKUP(B361,Tableau13[ID_Antenne],Tableau13[Longitude],"Non répertoriées")</f>
        <v>Non répertoriées</v>
      </c>
      <c r="H361" t="s">
        <v>8</v>
      </c>
    </row>
    <row r="362" spans="1:8" x14ac:dyDescent="0.25">
      <c r="A362" s="1">
        <v>45216.693749999999</v>
      </c>
      <c r="B362" t="s">
        <v>122</v>
      </c>
      <c r="C362" s="29" t="str">
        <f>_xlfn.XLOOKUP(B362,Tableau13[ID_Antenne],Tableau13[Province_RDC],"Non répertoriées")</f>
        <v>Haut-Uele</v>
      </c>
      <c r="D362">
        <v>24</v>
      </c>
      <c r="E362" s="31" t="str">
        <f>_xlfn.XLOOKUP(B362,Tableau13[ID_Antenne],Tableau13[Technologie],"Non répertoriées")</f>
        <v>4G</v>
      </c>
      <c r="F362" s="3">
        <f>_xlfn.XLOOKUP(B362,Tableau13[ID_Antenne],Tableau13[Latitude],"Non répertoriées")</f>
        <v>-12.100756000000001</v>
      </c>
      <c r="G362" s="32">
        <f>_xlfn.XLOOKUP(B362,Tableau13[ID_Antenne],Tableau13[Longitude],"Non répertoriées")</f>
        <v>21.938649999999999</v>
      </c>
      <c r="H362" t="s">
        <v>10</v>
      </c>
    </row>
    <row r="363" spans="1:8" x14ac:dyDescent="0.25">
      <c r="A363" s="1">
        <v>45205.474305555559</v>
      </c>
      <c r="B363" t="s">
        <v>303</v>
      </c>
      <c r="C363" s="29" t="str">
        <f>_xlfn.XLOOKUP(B363,Tableau13[ID_Antenne],Tableau13[Province_RDC],"Non répertoriées")</f>
        <v>Haut-Uele</v>
      </c>
      <c r="D363">
        <v>25</v>
      </c>
      <c r="E363" s="31" t="str">
        <f>_xlfn.XLOOKUP(B363,Tableau13[ID_Antenne],Tableau13[Technologie],"Non répertoriées")</f>
        <v>5G</v>
      </c>
      <c r="F363" s="3">
        <f>_xlfn.XLOOKUP(B363,Tableau13[ID_Antenne],Tableau13[Latitude],"Non répertoriées")</f>
        <v>-1.013558</v>
      </c>
      <c r="G363" s="32">
        <f>_xlfn.XLOOKUP(B363,Tableau13[ID_Antenne],Tableau13[Longitude],"Non répertoriées")</f>
        <v>17.346937</v>
      </c>
      <c r="H363" t="s">
        <v>5</v>
      </c>
    </row>
    <row r="364" spans="1:8" x14ac:dyDescent="0.25">
      <c r="A364" s="1">
        <v>45229.39166666667</v>
      </c>
      <c r="B364" t="s">
        <v>304</v>
      </c>
      <c r="C364" s="29" t="str">
        <f>_xlfn.XLOOKUP(B364,Tableau13[ID_Antenne],Tableau13[Province_RDC],"Non répertoriées")</f>
        <v>Lualaba</v>
      </c>
      <c r="D364">
        <v>28</v>
      </c>
      <c r="E364" s="31" t="str">
        <f>_xlfn.XLOOKUP(B364,Tableau13[ID_Antenne],Tableau13[Technologie],"Non répertoriées")</f>
        <v>4G</v>
      </c>
      <c r="F364" s="3">
        <f>_xlfn.XLOOKUP(B364,Tableau13[ID_Antenne],Tableau13[Latitude],"Non répertoriées")</f>
        <v>-10.967288</v>
      </c>
      <c r="G364" s="32">
        <f>_xlfn.XLOOKUP(B364,Tableau13[ID_Antenne],Tableau13[Longitude],"Non répertoriées")</f>
        <v>17.617781000000001</v>
      </c>
      <c r="H364" t="s">
        <v>10</v>
      </c>
    </row>
    <row r="365" spans="1:8" x14ac:dyDescent="0.25">
      <c r="A365" s="1">
        <v>45213.446527777778</v>
      </c>
      <c r="B365" t="s">
        <v>305</v>
      </c>
      <c r="C365" t="str">
        <f>_xlfn.XLOOKUP(B365,Tableau13[ID_Antenne],Tableau13[Province_RDC],"Non répertoriées")</f>
        <v>Non répertoriées</v>
      </c>
      <c r="D365">
        <v>111</v>
      </c>
      <c r="E365" t="str">
        <f>_xlfn.XLOOKUP(B365,Tableau13[ID_Antenne],Tableau13[Technologie],"Non répertoriées")</f>
        <v>Non répertoriées</v>
      </c>
      <c r="F365" t="str">
        <f>_xlfn.XLOOKUP(B365,Tableau13[ID_Antenne],Tableau13[Latitude],"Non répertoriées")</f>
        <v>Non répertoriées</v>
      </c>
      <c r="G365" t="str">
        <f>_xlfn.XLOOKUP(B365,Tableau13[ID_Antenne],Tableau13[Longitude],"Non répertoriées")</f>
        <v>Non répertoriées</v>
      </c>
      <c r="H365" t="s">
        <v>5</v>
      </c>
    </row>
    <row r="366" spans="1:8" x14ac:dyDescent="0.25">
      <c r="A366" s="1">
        <v>45219.076388888891</v>
      </c>
      <c r="B366" t="s">
        <v>306</v>
      </c>
      <c r="C366" t="str">
        <f>_xlfn.XLOOKUP(B366,Tableau13[ID_Antenne],Tableau13[Province_RDC],"Non répertoriées")</f>
        <v>Non répertoriées</v>
      </c>
      <c r="D366">
        <v>93</v>
      </c>
      <c r="E366" t="str">
        <f>_xlfn.XLOOKUP(B366,Tableau13[ID_Antenne],Tableau13[Technologie],"Non répertoriées")</f>
        <v>Non répertoriées</v>
      </c>
      <c r="F366" t="str">
        <f>_xlfn.XLOOKUP(B366,Tableau13[ID_Antenne],Tableau13[Latitude],"Non répertoriées")</f>
        <v>Non répertoriées</v>
      </c>
      <c r="G366" t="str">
        <f>_xlfn.XLOOKUP(B366,Tableau13[ID_Antenne],Tableau13[Longitude],"Non répertoriées")</f>
        <v>Non répertoriées</v>
      </c>
      <c r="H366" t="s">
        <v>10</v>
      </c>
    </row>
    <row r="367" spans="1:8" x14ac:dyDescent="0.25">
      <c r="A367" s="1">
        <v>45220.847916666673</v>
      </c>
      <c r="B367" t="s">
        <v>269</v>
      </c>
      <c r="C367" s="29" t="str">
        <f>_xlfn.XLOOKUP(B367,Tableau13[ID_Antenne],Tableau13[Province_RDC],"Non répertoriées")</f>
        <v>Kongo-Central</v>
      </c>
      <c r="D367">
        <v>103</v>
      </c>
      <c r="E367" s="31" t="str">
        <f>_xlfn.XLOOKUP(B367,Tableau13[ID_Antenne],Tableau13[Technologie],"Non répertoriées")</f>
        <v>4G</v>
      </c>
      <c r="F367" s="3">
        <f>_xlfn.XLOOKUP(B367,Tableau13[ID_Antenne],Tableau13[Latitude],"Non répertoriées")</f>
        <v>-12.112399999999999</v>
      </c>
      <c r="G367" s="32">
        <f>_xlfn.XLOOKUP(B367,Tableau13[ID_Antenne],Tableau13[Longitude],"Non répertoriées")</f>
        <v>15.872226</v>
      </c>
      <c r="H367" t="s">
        <v>5</v>
      </c>
    </row>
    <row r="368" spans="1:8" x14ac:dyDescent="0.25">
      <c r="A368" s="1">
        <v>45202.42083333333</v>
      </c>
      <c r="B368" t="s">
        <v>30</v>
      </c>
      <c r="C368" s="29" t="str">
        <f>_xlfn.XLOOKUP(B368,Tableau13[ID_Antenne],Tableau13[Province_RDC],"Non répertoriées")</f>
        <v>Sud-Ubangi</v>
      </c>
      <c r="D368">
        <v>84</v>
      </c>
      <c r="E368" s="31" t="str">
        <f>_xlfn.XLOOKUP(B368,Tableau13[ID_Antenne],Tableau13[Technologie],"Non répertoriées")</f>
        <v>5G</v>
      </c>
      <c r="F368" s="3">
        <f>_xlfn.XLOOKUP(B368,Tableau13[ID_Antenne],Tableau13[Latitude],"Non répertoriées")</f>
        <v>-10.56448</v>
      </c>
      <c r="G368" s="32">
        <f>_xlfn.XLOOKUP(B368,Tableau13[ID_Antenne],Tableau13[Longitude],"Non répertoriées")</f>
        <v>19.792876</v>
      </c>
      <c r="H368" t="s">
        <v>5</v>
      </c>
    </row>
    <row r="369" spans="1:8" x14ac:dyDescent="0.25">
      <c r="A369" s="1">
        <v>45217.89166666667</v>
      </c>
      <c r="B369" t="s">
        <v>307</v>
      </c>
      <c r="C369" s="29" t="str">
        <f>_xlfn.XLOOKUP(B369,Tableau13[ID_Antenne],Tableau13[Province_RDC],"Non répertoriées")</f>
        <v>Mongala</v>
      </c>
      <c r="D369">
        <v>108</v>
      </c>
      <c r="E369" s="31" t="str">
        <f>_xlfn.XLOOKUP(B369,Tableau13[ID_Antenne],Tableau13[Technologie],"Non répertoriées")</f>
        <v>5G</v>
      </c>
      <c r="F369" s="3">
        <f>_xlfn.XLOOKUP(B369,Tableau13[ID_Antenne],Tableau13[Latitude],"Non répertoriées")</f>
        <v>-5.3762689999999997</v>
      </c>
      <c r="G369" s="32">
        <f>_xlfn.XLOOKUP(B369,Tableau13[ID_Antenne],Tableau13[Longitude],"Non répertoriées")</f>
        <v>28.189575999999999</v>
      </c>
      <c r="H369" t="s">
        <v>10</v>
      </c>
    </row>
    <row r="370" spans="1:8" x14ac:dyDescent="0.25">
      <c r="A370" s="1">
        <v>45209.365277777782</v>
      </c>
      <c r="B370" t="s">
        <v>308</v>
      </c>
      <c r="C370" s="29" t="str">
        <f>_xlfn.XLOOKUP(B370,Tableau13[ID_Antenne],Tableau13[Province_RDC],"Non répertoriées")</f>
        <v>Sankuru</v>
      </c>
      <c r="D370">
        <v>120</v>
      </c>
      <c r="E370" s="31" t="str">
        <f>_xlfn.XLOOKUP(B370,Tableau13[ID_Antenne],Tableau13[Technologie],"Non répertoriées")</f>
        <v>4G</v>
      </c>
      <c r="F370" s="3">
        <f>_xlfn.XLOOKUP(B370,Tableau13[ID_Antenne],Tableau13[Latitude],"Non répertoriées")</f>
        <v>-1.4110389999999999</v>
      </c>
      <c r="G370" s="32">
        <f>_xlfn.XLOOKUP(B370,Tableau13[ID_Antenne],Tableau13[Longitude],"Non répertoriées")</f>
        <v>21.261644</v>
      </c>
      <c r="H370" t="s">
        <v>5</v>
      </c>
    </row>
    <row r="371" spans="1:8" x14ac:dyDescent="0.25">
      <c r="A371" s="1">
        <v>45227.915277777778</v>
      </c>
      <c r="B371" t="s">
        <v>271</v>
      </c>
      <c r="C371" s="29" t="str">
        <f>_xlfn.XLOOKUP(B371,Tableau13[ID_Antenne],Tableau13[Province_RDC],"Non répertoriées")</f>
        <v>Ituri</v>
      </c>
      <c r="D371">
        <v>26</v>
      </c>
      <c r="E371" s="31" t="str">
        <f>_xlfn.XLOOKUP(B371,Tableau13[ID_Antenne],Tableau13[Technologie],"Non répertoriées")</f>
        <v>5G</v>
      </c>
      <c r="F371" s="3">
        <f>_xlfn.XLOOKUP(B371,Tableau13[ID_Antenne],Tableau13[Latitude],"Non répertoriées")</f>
        <v>-3.7720639999999999</v>
      </c>
      <c r="G371" s="32">
        <f>_xlfn.XLOOKUP(B371,Tableau13[ID_Antenne],Tableau13[Longitude],"Non répertoriées")</f>
        <v>16.006277999999998</v>
      </c>
      <c r="H371" t="s">
        <v>8</v>
      </c>
    </row>
    <row r="372" spans="1:8" x14ac:dyDescent="0.25">
      <c r="A372" s="1">
        <v>45219.181250000001</v>
      </c>
      <c r="B372" t="s">
        <v>262</v>
      </c>
      <c r="C372" s="29" t="str">
        <f>_xlfn.XLOOKUP(B372,Tableau13[ID_Antenne],Tableau13[Province_RDC],"Non répertoriées")</f>
        <v>Nord-Kivu</v>
      </c>
      <c r="D372">
        <v>97</v>
      </c>
      <c r="E372" s="31" t="str">
        <f>_xlfn.XLOOKUP(B372,Tableau13[ID_Antenne],Tableau13[Technologie],"Non répertoriées")</f>
        <v>3G</v>
      </c>
      <c r="F372" s="3">
        <f>_xlfn.XLOOKUP(B372,Tableau13[ID_Antenne],Tableau13[Latitude],"Non répertoriées")</f>
        <v>-4.1754939999999996</v>
      </c>
      <c r="G372" s="32">
        <f>_xlfn.XLOOKUP(B372,Tableau13[ID_Antenne],Tableau13[Longitude],"Non répertoriées")</f>
        <v>16.704664999999999</v>
      </c>
      <c r="H372" t="s">
        <v>8</v>
      </c>
    </row>
    <row r="373" spans="1:8" x14ac:dyDescent="0.25">
      <c r="A373" s="1">
        <v>45202.779166666667</v>
      </c>
      <c r="B373" t="s">
        <v>309</v>
      </c>
      <c r="C373" s="29" t="str">
        <f>_xlfn.XLOOKUP(B373,Tableau13[ID_Antenne],Tableau13[Province_RDC],"Non répertoriées")</f>
        <v>Tanganyika</v>
      </c>
      <c r="D373">
        <v>61</v>
      </c>
      <c r="E373" s="31" t="str">
        <f>_xlfn.XLOOKUP(B373,Tableau13[ID_Antenne],Tableau13[Technologie],"Non répertoriées")</f>
        <v>4G</v>
      </c>
      <c r="F373" s="3">
        <f>_xlfn.XLOOKUP(B373,Tableau13[ID_Antenne],Tableau13[Latitude],"Non répertoriées")</f>
        <v>-12.229338</v>
      </c>
      <c r="G373" s="32">
        <f>_xlfn.XLOOKUP(B373,Tableau13[ID_Antenne],Tableau13[Longitude],"Non répertoriées")</f>
        <v>29.587834999999998</v>
      </c>
      <c r="H373" t="s">
        <v>10</v>
      </c>
    </row>
    <row r="374" spans="1:8" x14ac:dyDescent="0.25">
      <c r="A374" s="1">
        <v>45204.47152777778</v>
      </c>
      <c r="B374" t="s">
        <v>310</v>
      </c>
      <c r="C374" s="29" t="str">
        <f>_xlfn.XLOOKUP(B374,Tableau13[ID_Antenne],Tableau13[Province_RDC],"Non répertoriées")</f>
        <v>Nord-Kivu</v>
      </c>
      <c r="D374">
        <v>10</v>
      </c>
      <c r="E374" s="31" t="str">
        <f>_xlfn.XLOOKUP(B374,Tableau13[ID_Antenne],Tableau13[Technologie],"Non répertoriées")</f>
        <v>5G</v>
      </c>
      <c r="F374" s="3">
        <f>_xlfn.XLOOKUP(B374,Tableau13[ID_Antenne],Tableau13[Latitude],"Non répertoriées")</f>
        <v>4.9455159999999996</v>
      </c>
      <c r="G374" s="32">
        <f>_xlfn.XLOOKUP(B374,Tableau13[ID_Antenne],Tableau13[Longitude],"Non répertoriées")</f>
        <v>23.647746000000001</v>
      </c>
      <c r="H374" t="s">
        <v>5</v>
      </c>
    </row>
    <row r="375" spans="1:8" x14ac:dyDescent="0.25">
      <c r="A375" s="1">
        <v>45230.863888888889</v>
      </c>
      <c r="B375" t="s">
        <v>311</v>
      </c>
      <c r="C375" s="29" t="str">
        <f>_xlfn.XLOOKUP(B375,Tableau13[ID_Antenne],Tableau13[Province_RDC],"Non répertoriées")</f>
        <v>Sud-Kivu</v>
      </c>
      <c r="D375">
        <v>57</v>
      </c>
      <c r="E375" s="31" t="str">
        <f>_xlfn.XLOOKUP(B375,Tableau13[ID_Antenne],Tableau13[Technologie],"Non répertoriées")</f>
        <v>3G</v>
      </c>
      <c r="F375" s="3">
        <f>_xlfn.XLOOKUP(B375,Tableau13[ID_Antenne],Tableau13[Latitude],"Non répertoriées")</f>
        <v>-4.1694589999999998</v>
      </c>
      <c r="G375" s="32">
        <f>_xlfn.XLOOKUP(B375,Tableau13[ID_Antenne],Tableau13[Longitude],"Non répertoriées")</f>
        <v>23.376487000000001</v>
      </c>
      <c r="H375" t="s">
        <v>5</v>
      </c>
    </row>
    <row r="376" spans="1:8" x14ac:dyDescent="0.25">
      <c r="A376" s="1">
        <v>45221.505555555559</v>
      </c>
      <c r="B376" t="s">
        <v>312</v>
      </c>
      <c r="C376" s="29" t="str">
        <f>_xlfn.XLOOKUP(B376,Tableau13[ID_Antenne],Tableau13[Province_RDC],"Non répertoriées")</f>
        <v>Mongala</v>
      </c>
      <c r="D376">
        <v>51</v>
      </c>
      <c r="E376" s="31" t="str">
        <f>_xlfn.XLOOKUP(B376,Tableau13[ID_Antenne],Tableau13[Technologie],"Non répertoriées")</f>
        <v>3G</v>
      </c>
      <c r="F376" s="3">
        <f>_xlfn.XLOOKUP(B376,Tableau13[ID_Antenne],Tableau13[Latitude],"Non répertoriées")</f>
        <v>-1.231033</v>
      </c>
      <c r="G376" s="32">
        <f>_xlfn.XLOOKUP(B376,Tableau13[ID_Antenne],Tableau13[Longitude],"Non répertoriées")</f>
        <v>28.851388</v>
      </c>
      <c r="H376" t="s">
        <v>5</v>
      </c>
    </row>
    <row r="377" spans="1:8" x14ac:dyDescent="0.25">
      <c r="A377" s="1">
        <v>45219.920138888891</v>
      </c>
      <c r="B377" t="s">
        <v>313</v>
      </c>
      <c r="C377" t="str">
        <f>_xlfn.XLOOKUP(B377,Tableau13[ID_Antenne],Tableau13[Province_RDC],"Non répertoriées")</f>
        <v>Non répertoriées</v>
      </c>
      <c r="D377">
        <v>91</v>
      </c>
      <c r="E377" t="str">
        <f>_xlfn.XLOOKUP(B377,Tableau13[ID_Antenne],Tableau13[Technologie],"Non répertoriées")</f>
        <v>Non répertoriées</v>
      </c>
      <c r="F377" t="str">
        <f>_xlfn.XLOOKUP(B377,Tableau13[ID_Antenne],Tableau13[Latitude],"Non répertoriées")</f>
        <v>Non répertoriées</v>
      </c>
      <c r="G377" t="str">
        <f>_xlfn.XLOOKUP(B377,Tableau13[ID_Antenne],Tableau13[Longitude],"Non répertoriées")</f>
        <v>Non répertoriées</v>
      </c>
      <c r="H377" t="s">
        <v>10</v>
      </c>
    </row>
    <row r="378" spans="1:8" x14ac:dyDescent="0.25">
      <c r="A378" s="1">
        <v>45209.724999999999</v>
      </c>
      <c r="B378" t="s">
        <v>314</v>
      </c>
      <c r="C378" t="str">
        <f>_xlfn.XLOOKUP(B378,Tableau13[ID_Antenne],Tableau13[Province_RDC],"Non répertoriées")</f>
        <v>Non répertoriées</v>
      </c>
      <c r="D378">
        <v>97</v>
      </c>
      <c r="E378" t="str">
        <f>_xlfn.XLOOKUP(B378,Tableau13[ID_Antenne],Tableau13[Technologie],"Non répertoriées")</f>
        <v>Non répertoriées</v>
      </c>
      <c r="F378" t="str">
        <f>_xlfn.XLOOKUP(B378,Tableau13[ID_Antenne],Tableau13[Latitude],"Non répertoriées")</f>
        <v>Non répertoriées</v>
      </c>
      <c r="G378" t="str">
        <f>_xlfn.XLOOKUP(B378,Tableau13[ID_Antenne],Tableau13[Longitude],"Non répertoriées")</f>
        <v>Non répertoriées</v>
      </c>
      <c r="H378" t="s">
        <v>10</v>
      </c>
    </row>
    <row r="379" spans="1:8" x14ac:dyDescent="0.25">
      <c r="A379" s="1">
        <v>45220.452777777777</v>
      </c>
      <c r="B379" t="s">
        <v>315</v>
      </c>
      <c r="C379" t="str">
        <f>_xlfn.XLOOKUP(B379,Tableau13[ID_Antenne],Tableau13[Province_RDC],"Non répertoriées")</f>
        <v>Non répertoriées</v>
      </c>
      <c r="D379">
        <v>35</v>
      </c>
      <c r="E379" t="str">
        <f>_xlfn.XLOOKUP(B379,Tableau13[ID_Antenne],Tableau13[Technologie],"Non répertoriées")</f>
        <v>Non répertoriées</v>
      </c>
      <c r="F379" t="str">
        <f>_xlfn.XLOOKUP(B379,Tableau13[ID_Antenne],Tableau13[Latitude],"Non répertoriées")</f>
        <v>Non répertoriées</v>
      </c>
      <c r="G379" t="str">
        <f>_xlfn.XLOOKUP(B379,Tableau13[ID_Antenne],Tableau13[Longitude],"Non répertoriées")</f>
        <v>Non répertoriées</v>
      </c>
      <c r="H379" t="s">
        <v>8</v>
      </c>
    </row>
    <row r="380" spans="1:8" x14ac:dyDescent="0.25">
      <c r="A380" s="1">
        <v>45204.905555555553</v>
      </c>
      <c r="B380" t="s">
        <v>316</v>
      </c>
      <c r="C380" s="29" t="str">
        <f>_xlfn.XLOOKUP(B380,Tableau13[ID_Antenne],Tableau13[Province_RDC],"Non répertoriées")</f>
        <v>Bas-Uele</v>
      </c>
      <c r="D380">
        <v>61</v>
      </c>
      <c r="E380" s="31" t="str">
        <f>_xlfn.XLOOKUP(B380,Tableau13[ID_Antenne],Tableau13[Technologie],"Non répertoriées")</f>
        <v>5G</v>
      </c>
      <c r="F380" s="3">
        <f>_xlfn.XLOOKUP(B380,Tableau13[ID_Antenne],Tableau13[Latitude],"Non répertoriées")</f>
        <v>4.497306</v>
      </c>
      <c r="G380" s="32">
        <f>_xlfn.XLOOKUP(B380,Tableau13[ID_Antenne],Tableau13[Longitude],"Non répertoriées")</f>
        <v>12.857251</v>
      </c>
      <c r="H380" t="s">
        <v>5</v>
      </c>
    </row>
    <row r="381" spans="1:8" x14ac:dyDescent="0.25">
      <c r="A381" s="1">
        <v>45226.988194444442</v>
      </c>
      <c r="B381" t="s">
        <v>317</v>
      </c>
      <c r="C381" t="str">
        <f>_xlfn.XLOOKUP(B381,Tableau13[ID_Antenne],Tableau13[Province_RDC],"Non répertoriées")</f>
        <v>Non répertoriées</v>
      </c>
      <c r="D381">
        <v>83</v>
      </c>
      <c r="E381" t="str">
        <f>_xlfn.XLOOKUP(B381,Tableau13[ID_Antenne],Tableau13[Technologie],"Non répertoriées")</f>
        <v>Non répertoriées</v>
      </c>
      <c r="F381" t="str">
        <f>_xlfn.XLOOKUP(B381,Tableau13[ID_Antenne],Tableau13[Latitude],"Non répertoriées")</f>
        <v>Non répertoriées</v>
      </c>
      <c r="G381" t="str">
        <f>_xlfn.XLOOKUP(B381,Tableau13[ID_Antenne],Tableau13[Longitude],"Non répertoriées")</f>
        <v>Non répertoriées</v>
      </c>
      <c r="H381" t="s">
        <v>8</v>
      </c>
    </row>
    <row r="382" spans="1:8" x14ac:dyDescent="0.25">
      <c r="A382" s="1">
        <v>45229.670138888891</v>
      </c>
      <c r="B382" t="s">
        <v>318</v>
      </c>
      <c r="C382" s="29" t="str">
        <f>_xlfn.XLOOKUP(B382,Tableau13[ID_Antenne],Tableau13[Province_RDC],"Non répertoriées")</f>
        <v>Haut-Lomami</v>
      </c>
      <c r="D382">
        <v>41</v>
      </c>
      <c r="E382" s="31" t="str">
        <f>_xlfn.XLOOKUP(B382,Tableau13[ID_Antenne],Tableau13[Technologie],"Non répertoriées")</f>
        <v>4G</v>
      </c>
      <c r="F382" s="3">
        <f>_xlfn.XLOOKUP(B382,Tableau13[ID_Antenne],Tableau13[Latitude],"Non répertoriées")</f>
        <v>-7.1785899999999998</v>
      </c>
      <c r="G382" s="32">
        <f>_xlfn.XLOOKUP(B382,Tableau13[ID_Antenne],Tableau13[Longitude],"Non répertoriées")</f>
        <v>24.4404</v>
      </c>
      <c r="H382" t="s">
        <v>10</v>
      </c>
    </row>
    <row r="383" spans="1:8" x14ac:dyDescent="0.25">
      <c r="A383" s="1">
        <v>45220.893750000003</v>
      </c>
      <c r="B383" t="s">
        <v>319</v>
      </c>
      <c r="C383" s="29" t="str">
        <f>_xlfn.XLOOKUP(B383,Tableau13[ID_Antenne],Tableau13[Province_RDC],"Non répertoriées")</f>
        <v>Bas-Uele</v>
      </c>
      <c r="D383">
        <v>101</v>
      </c>
      <c r="E383" s="31" t="str">
        <f>_xlfn.XLOOKUP(B383,Tableau13[ID_Antenne],Tableau13[Technologie],"Non répertoriées")</f>
        <v>4G</v>
      </c>
      <c r="F383" s="3">
        <f>_xlfn.XLOOKUP(B383,Tableau13[ID_Antenne],Tableau13[Latitude],"Non répertoriées")</f>
        <v>-2.2876210000000001</v>
      </c>
      <c r="G383" s="32">
        <f>_xlfn.XLOOKUP(B383,Tableau13[ID_Antenne],Tableau13[Longitude],"Non répertoriées")</f>
        <v>27.582545</v>
      </c>
      <c r="H383" t="s">
        <v>10</v>
      </c>
    </row>
    <row r="384" spans="1:8" x14ac:dyDescent="0.25">
      <c r="A384" s="1">
        <v>45216.459027777782</v>
      </c>
      <c r="B384" t="s">
        <v>150</v>
      </c>
      <c r="C384" t="str">
        <f>_xlfn.XLOOKUP(B384,Tableau13[ID_Antenne],Tableau13[Province_RDC],"Non répertoriées")</f>
        <v>Non répertoriées</v>
      </c>
      <c r="D384">
        <v>100</v>
      </c>
      <c r="E384" t="str">
        <f>_xlfn.XLOOKUP(B384,Tableau13[ID_Antenne],Tableau13[Technologie],"Non répertoriées")</f>
        <v>Non répertoriées</v>
      </c>
      <c r="F384" t="str">
        <f>_xlfn.XLOOKUP(B384,Tableau13[ID_Antenne],Tableau13[Latitude],"Non répertoriées")</f>
        <v>Non répertoriées</v>
      </c>
      <c r="G384" t="str">
        <f>_xlfn.XLOOKUP(B384,Tableau13[ID_Antenne],Tableau13[Longitude],"Non répertoriées")</f>
        <v>Non répertoriées</v>
      </c>
      <c r="H384" t="s">
        <v>8</v>
      </c>
    </row>
    <row r="385" spans="1:8" x14ac:dyDescent="0.25">
      <c r="A385" s="1">
        <v>45211.382638888892</v>
      </c>
      <c r="B385" t="s">
        <v>59</v>
      </c>
      <c r="C385" t="str">
        <f>_xlfn.XLOOKUP(B385,Tableau13[ID_Antenne],Tableau13[Province_RDC],"Non répertoriées")</f>
        <v>Non répertoriées</v>
      </c>
      <c r="D385">
        <v>105</v>
      </c>
      <c r="E385" t="str">
        <f>_xlfn.XLOOKUP(B385,Tableau13[ID_Antenne],Tableau13[Technologie],"Non répertoriées")</f>
        <v>Non répertoriées</v>
      </c>
      <c r="F385" t="str">
        <f>_xlfn.XLOOKUP(B385,Tableau13[ID_Antenne],Tableau13[Latitude],"Non répertoriées")</f>
        <v>Non répertoriées</v>
      </c>
      <c r="G385" t="str">
        <f>_xlfn.XLOOKUP(B385,Tableau13[ID_Antenne],Tableau13[Longitude],"Non répertoriées")</f>
        <v>Non répertoriées</v>
      </c>
      <c r="H385" t="s">
        <v>5</v>
      </c>
    </row>
    <row r="386" spans="1:8" x14ac:dyDescent="0.25">
      <c r="A386" s="1">
        <v>45230.26458333333</v>
      </c>
      <c r="B386" t="s">
        <v>320</v>
      </c>
      <c r="C386" s="29" t="str">
        <f>_xlfn.XLOOKUP(B386,Tableau13[ID_Antenne],Tableau13[Province_RDC],"Non répertoriées")</f>
        <v>Mongala</v>
      </c>
      <c r="D386">
        <v>62</v>
      </c>
      <c r="E386" s="31" t="str">
        <f>_xlfn.XLOOKUP(B386,Tableau13[ID_Antenne],Tableau13[Technologie],"Non répertoriées")</f>
        <v>5G</v>
      </c>
      <c r="F386" s="3">
        <f>_xlfn.XLOOKUP(B386,Tableau13[ID_Antenne],Tableau13[Latitude],"Non répertoriées")</f>
        <v>3.6344850000000002</v>
      </c>
      <c r="G386" s="32">
        <f>_xlfn.XLOOKUP(B386,Tableau13[ID_Antenne],Tableau13[Longitude],"Non répertoriées")</f>
        <v>12.158348999999999</v>
      </c>
      <c r="H386" t="s">
        <v>5</v>
      </c>
    </row>
    <row r="387" spans="1:8" x14ac:dyDescent="0.25">
      <c r="A387" s="1">
        <v>45230.633333333331</v>
      </c>
      <c r="B387" t="s">
        <v>321</v>
      </c>
      <c r="C387" s="29" t="str">
        <f>_xlfn.XLOOKUP(B387,Tableau13[ID_Antenne],Tableau13[Province_RDC],"Non répertoriées")</f>
        <v>Kasai-Oriental</v>
      </c>
      <c r="D387">
        <v>34</v>
      </c>
      <c r="E387" s="31" t="str">
        <f>_xlfn.XLOOKUP(B387,Tableau13[ID_Antenne],Tableau13[Technologie],"Non répertoriées")</f>
        <v>5G</v>
      </c>
      <c r="F387" s="3">
        <f>_xlfn.XLOOKUP(B387,Tableau13[ID_Antenne],Tableau13[Latitude],"Non répertoriées")</f>
        <v>2.486888</v>
      </c>
      <c r="G387" s="32">
        <f>_xlfn.XLOOKUP(B387,Tableau13[ID_Antenne],Tableau13[Longitude],"Non répertoriées")</f>
        <v>23.798074</v>
      </c>
      <c r="H387" t="s">
        <v>5</v>
      </c>
    </row>
    <row r="388" spans="1:8" x14ac:dyDescent="0.25">
      <c r="A388" s="1">
        <v>45207.17291666667</v>
      </c>
      <c r="B388" t="s">
        <v>322</v>
      </c>
      <c r="C388" t="str">
        <f>_xlfn.XLOOKUP(B388,Tableau13[ID_Antenne],Tableau13[Province_RDC],"Non répertoriées")</f>
        <v>Non répertoriées</v>
      </c>
      <c r="D388">
        <v>73</v>
      </c>
      <c r="E388" t="str">
        <f>_xlfn.XLOOKUP(B388,Tableau13[ID_Antenne],Tableau13[Technologie],"Non répertoriées")</f>
        <v>Non répertoriées</v>
      </c>
      <c r="F388" t="str">
        <f>_xlfn.XLOOKUP(B388,Tableau13[ID_Antenne],Tableau13[Latitude],"Non répertoriées")</f>
        <v>Non répertoriées</v>
      </c>
      <c r="G388" t="str">
        <f>_xlfn.XLOOKUP(B388,Tableau13[ID_Antenne],Tableau13[Longitude],"Non répertoriées")</f>
        <v>Non répertoriées</v>
      </c>
      <c r="H388" t="s">
        <v>10</v>
      </c>
    </row>
    <row r="389" spans="1:8" x14ac:dyDescent="0.25">
      <c r="A389" s="1">
        <v>45202.412499999999</v>
      </c>
      <c r="B389" t="s">
        <v>323</v>
      </c>
      <c r="C389" s="29" t="str">
        <f>_xlfn.XLOOKUP(B389,Tableau13[ID_Antenne],Tableau13[Province_RDC],"Non répertoriées")</f>
        <v>Bas-Uele</v>
      </c>
      <c r="D389">
        <v>35</v>
      </c>
      <c r="E389" s="31" t="str">
        <f>_xlfn.XLOOKUP(B389,Tableau13[ID_Antenne],Tableau13[Technologie],"Non répertoriées")</f>
        <v>3G</v>
      </c>
      <c r="F389" s="3">
        <f>_xlfn.XLOOKUP(B389,Tableau13[ID_Antenne],Tableau13[Latitude],"Non répertoriées")</f>
        <v>-6.4197189999999997</v>
      </c>
      <c r="G389" s="32">
        <f>_xlfn.XLOOKUP(B389,Tableau13[ID_Antenne],Tableau13[Longitude],"Non répertoriées")</f>
        <v>22.287264</v>
      </c>
      <c r="H389" t="s">
        <v>5</v>
      </c>
    </row>
    <row r="390" spans="1:8" x14ac:dyDescent="0.25">
      <c r="A390" s="1">
        <v>45225.147222222222</v>
      </c>
      <c r="B390" t="s">
        <v>324</v>
      </c>
      <c r="C390" s="29" t="str">
        <f>_xlfn.XLOOKUP(B390,Tableau13[ID_Antenne],Tableau13[Province_RDC],"Non répertoriées")</f>
        <v>Sud-Kivu</v>
      </c>
      <c r="D390">
        <v>44</v>
      </c>
      <c r="E390" s="31" t="str">
        <f>_xlfn.XLOOKUP(B390,Tableau13[ID_Antenne],Tableau13[Technologie],"Non répertoriées")</f>
        <v>3G</v>
      </c>
      <c r="F390" s="3">
        <f>_xlfn.XLOOKUP(B390,Tableau13[ID_Antenne],Tableau13[Latitude],"Non répertoriées")</f>
        <v>4.2904629999999999</v>
      </c>
      <c r="G390" s="32">
        <f>_xlfn.XLOOKUP(B390,Tableau13[ID_Antenne],Tableau13[Longitude],"Non répertoriées")</f>
        <v>26.354195000000001</v>
      </c>
      <c r="H390" t="s">
        <v>5</v>
      </c>
    </row>
    <row r="391" spans="1:8" x14ac:dyDescent="0.25">
      <c r="A391" s="1">
        <v>45207.379861111112</v>
      </c>
      <c r="B391" t="s">
        <v>248</v>
      </c>
      <c r="C391" t="str">
        <f>_xlfn.XLOOKUP(B391,Tableau13[ID_Antenne],Tableau13[Province_RDC],"Non répertoriées")</f>
        <v>Non répertoriées</v>
      </c>
      <c r="D391">
        <v>118</v>
      </c>
      <c r="E391" t="str">
        <f>_xlfn.XLOOKUP(B391,Tableau13[ID_Antenne],Tableau13[Technologie],"Non répertoriées")</f>
        <v>Non répertoriées</v>
      </c>
      <c r="F391" t="str">
        <f>_xlfn.XLOOKUP(B391,Tableau13[ID_Antenne],Tableau13[Latitude],"Non répertoriées")</f>
        <v>Non répertoriées</v>
      </c>
      <c r="G391" t="str">
        <f>_xlfn.XLOOKUP(B391,Tableau13[ID_Antenne],Tableau13[Longitude],"Non répertoriées")</f>
        <v>Non répertoriées</v>
      </c>
      <c r="H391" t="s">
        <v>10</v>
      </c>
    </row>
    <row r="392" spans="1:8" x14ac:dyDescent="0.25">
      <c r="A392" s="1">
        <v>45201.30972222222</v>
      </c>
      <c r="B392" t="s">
        <v>325</v>
      </c>
      <c r="C392" t="str">
        <f>_xlfn.XLOOKUP(B392,Tableau13[ID_Antenne],Tableau13[Province_RDC],"Non répertoriées")</f>
        <v>Non répertoriées</v>
      </c>
      <c r="D392">
        <v>56</v>
      </c>
      <c r="E392" t="str">
        <f>_xlfn.XLOOKUP(B392,Tableau13[ID_Antenne],Tableau13[Technologie],"Non répertoriées")</f>
        <v>Non répertoriées</v>
      </c>
      <c r="F392" t="str">
        <f>_xlfn.XLOOKUP(B392,Tableau13[ID_Antenne],Tableau13[Latitude],"Non répertoriées")</f>
        <v>Non répertoriées</v>
      </c>
      <c r="G392" t="str">
        <f>_xlfn.XLOOKUP(B392,Tableau13[ID_Antenne],Tableau13[Longitude],"Non répertoriées")</f>
        <v>Non répertoriées</v>
      </c>
      <c r="H392" t="s">
        <v>10</v>
      </c>
    </row>
    <row r="393" spans="1:8" x14ac:dyDescent="0.25">
      <c r="A393" s="1">
        <v>45220.811805555553</v>
      </c>
      <c r="B393" t="s">
        <v>326</v>
      </c>
      <c r="C393" s="29" t="str">
        <f>_xlfn.XLOOKUP(B393,Tableau13[ID_Antenne],Tableau13[Province_RDC],"Non répertoriées")</f>
        <v>Kwilu</v>
      </c>
      <c r="D393">
        <v>100</v>
      </c>
      <c r="E393" s="31" t="str">
        <f>_xlfn.XLOOKUP(B393,Tableau13[ID_Antenne],Tableau13[Technologie],"Non répertoriées")</f>
        <v>3G</v>
      </c>
      <c r="F393" s="3">
        <f>_xlfn.XLOOKUP(B393,Tableau13[ID_Antenne],Tableau13[Latitude],"Non répertoriées")</f>
        <v>-0.98830399999999996</v>
      </c>
      <c r="G393" s="32">
        <f>_xlfn.XLOOKUP(B393,Tableau13[ID_Antenne],Tableau13[Longitude],"Non répertoriées")</f>
        <v>28.099966999999999</v>
      </c>
      <c r="H393" t="s">
        <v>10</v>
      </c>
    </row>
    <row r="394" spans="1:8" x14ac:dyDescent="0.25">
      <c r="A394" s="1">
        <v>45202.161805555559</v>
      </c>
      <c r="B394" t="s">
        <v>327</v>
      </c>
      <c r="C394" s="29" t="str">
        <f>_xlfn.XLOOKUP(B394,Tableau13[ID_Antenne],Tableau13[Province_RDC],"Non répertoriées")</f>
        <v>Nord-Kivu</v>
      </c>
      <c r="D394">
        <v>61</v>
      </c>
      <c r="E394" s="31" t="str">
        <f>_xlfn.XLOOKUP(B394,Tableau13[ID_Antenne],Tableau13[Technologie],"Non répertoriées")</f>
        <v>3G</v>
      </c>
      <c r="F394" s="3">
        <f>_xlfn.XLOOKUP(B394,Tableau13[ID_Antenne],Tableau13[Latitude],"Non répertoriées")</f>
        <v>-6.5529849999999996</v>
      </c>
      <c r="G394" s="32">
        <f>_xlfn.XLOOKUP(B394,Tableau13[ID_Antenne],Tableau13[Longitude],"Non répertoriées")</f>
        <v>21.990606</v>
      </c>
      <c r="H394" t="s">
        <v>8</v>
      </c>
    </row>
    <row r="395" spans="1:8" x14ac:dyDescent="0.25">
      <c r="A395" s="1">
        <v>45228.651388888888</v>
      </c>
      <c r="B395" t="s">
        <v>328</v>
      </c>
      <c r="C395" s="29" t="str">
        <f>_xlfn.XLOOKUP(B395,Tableau13[ID_Antenne],Tableau13[Province_RDC],"Non répertoriées")</f>
        <v>Sud-Kivu</v>
      </c>
      <c r="D395">
        <v>119</v>
      </c>
      <c r="E395" s="31" t="str">
        <f>_xlfn.XLOOKUP(B395,Tableau13[ID_Antenne],Tableau13[Technologie],"Non répertoriées")</f>
        <v>5G</v>
      </c>
      <c r="F395" s="3">
        <f>_xlfn.XLOOKUP(B395,Tableau13[ID_Antenne],Tableau13[Latitude],"Non répertoriées")</f>
        <v>2.453036</v>
      </c>
      <c r="G395" s="32">
        <f>_xlfn.XLOOKUP(B395,Tableau13[ID_Antenne],Tableau13[Longitude],"Non répertoriées")</f>
        <v>20.555484</v>
      </c>
      <c r="H395" t="s">
        <v>5</v>
      </c>
    </row>
    <row r="396" spans="1:8" x14ac:dyDescent="0.25">
      <c r="A396" s="1">
        <v>45217.027777777781</v>
      </c>
      <c r="B396" t="s">
        <v>182</v>
      </c>
      <c r="C396" t="str">
        <f>_xlfn.XLOOKUP(B396,Tableau13[ID_Antenne],Tableau13[Province_RDC],"Non répertoriées")</f>
        <v>Non répertoriées</v>
      </c>
      <c r="D396">
        <v>54</v>
      </c>
      <c r="E396" t="str">
        <f>_xlfn.XLOOKUP(B396,Tableau13[ID_Antenne],Tableau13[Technologie],"Non répertoriées")</f>
        <v>Non répertoriées</v>
      </c>
      <c r="F396" t="str">
        <f>_xlfn.XLOOKUP(B396,Tableau13[ID_Antenne],Tableau13[Latitude],"Non répertoriées")</f>
        <v>Non répertoriées</v>
      </c>
      <c r="G396" t="str">
        <f>_xlfn.XLOOKUP(B396,Tableau13[ID_Antenne],Tableau13[Longitude],"Non répertoriées")</f>
        <v>Non répertoriées</v>
      </c>
      <c r="H396" t="s">
        <v>8</v>
      </c>
    </row>
    <row r="397" spans="1:8" x14ac:dyDescent="0.25">
      <c r="A397" s="1">
        <v>45216.760416666657</v>
      </c>
      <c r="B397" t="s">
        <v>329</v>
      </c>
      <c r="C397" s="29" t="str">
        <f>_xlfn.XLOOKUP(B397,Tableau13[ID_Antenne],Tableau13[Province_RDC],"Non répertoriées")</f>
        <v>Ituri</v>
      </c>
      <c r="D397">
        <v>48</v>
      </c>
      <c r="E397" s="31" t="str">
        <f>_xlfn.XLOOKUP(B397,Tableau13[ID_Antenne],Tableau13[Technologie],"Non répertoriées")</f>
        <v>5G</v>
      </c>
      <c r="F397" s="3">
        <f>_xlfn.XLOOKUP(B397,Tableau13[ID_Antenne],Tableau13[Latitude],"Non répertoriées")</f>
        <v>-11.002602</v>
      </c>
      <c r="G397" s="32">
        <f>_xlfn.XLOOKUP(B397,Tableau13[ID_Antenne],Tableau13[Longitude],"Non répertoriées")</f>
        <v>23.918247999999998</v>
      </c>
      <c r="H397" t="s">
        <v>5</v>
      </c>
    </row>
    <row r="398" spans="1:8" x14ac:dyDescent="0.25">
      <c r="A398" s="1">
        <v>45222.179166666669</v>
      </c>
      <c r="B398" t="s">
        <v>330</v>
      </c>
      <c r="C398" s="29" t="str">
        <f>_xlfn.XLOOKUP(B398,Tableau13[ID_Antenne],Tableau13[Province_RDC],"Non répertoriées")</f>
        <v>Kinshasa</v>
      </c>
      <c r="D398">
        <v>28</v>
      </c>
      <c r="E398" s="31" t="str">
        <f>_xlfn.XLOOKUP(B398,Tableau13[ID_Antenne],Tableau13[Technologie],"Non répertoriées")</f>
        <v>3G</v>
      </c>
      <c r="F398" s="3">
        <f>_xlfn.XLOOKUP(B398,Tableau13[ID_Antenne],Tableau13[Latitude],"Non répertoriées")</f>
        <v>-0.90854400000000002</v>
      </c>
      <c r="G398" s="32">
        <f>_xlfn.XLOOKUP(B398,Tableau13[ID_Antenne],Tableau13[Longitude],"Non répertoriées")</f>
        <v>17.154896999999998</v>
      </c>
      <c r="H398" t="s">
        <v>8</v>
      </c>
    </row>
    <row r="399" spans="1:8" x14ac:dyDescent="0.25">
      <c r="A399" s="1">
        <v>45213.027083333327</v>
      </c>
      <c r="B399" t="s">
        <v>331</v>
      </c>
      <c r="C399" s="29" t="str">
        <f>_xlfn.XLOOKUP(B399,Tableau13[ID_Antenne],Tableau13[Province_RDC],"Non répertoriées")</f>
        <v>Kwango</v>
      </c>
      <c r="D399">
        <v>68</v>
      </c>
      <c r="E399" s="31" t="str">
        <f>_xlfn.XLOOKUP(B399,Tableau13[ID_Antenne],Tableau13[Technologie],"Non répertoriées")</f>
        <v>5G</v>
      </c>
      <c r="F399" s="3">
        <f>_xlfn.XLOOKUP(B399,Tableau13[ID_Antenne],Tableau13[Latitude],"Non répertoriées")</f>
        <v>-8.1210620000000002</v>
      </c>
      <c r="G399" s="32">
        <f>_xlfn.XLOOKUP(B399,Tableau13[ID_Antenne],Tableau13[Longitude],"Non répertoriées")</f>
        <v>21.094390000000001</v>
      </c>
      <c r="H399" t="s">
        <v>10</v>
      </c>
    </row>
    <row r="400" spans="1:8" x14ac:dyDescent="0.25">
      <c r="A400" s="1">
        <v>45211.316666666673</v>
      </c>
      <c r="B400" t="s">
        <v>332</v>
      </c>
      <c r="C400" s="29" t="str">
        <f>_xlfn.XLOOKUP(B400,Tableau13[ID_Antenne],Tableau13[Province_RDC],"Non répertoriées")</f>
        <v>Lualaba</v>
      </c>
      <c r="D400">
        <v>93</v>
      </c>
      <c r="E400" s="31" t="str">
        <f>_xlfn.XLOOKUP(B400,Tableau13[ID_Antenne],Tableau13[Technologie],"Non répertoriées")</f>
        <v>4G</v>
      </c>
      <c r="F400" s="3">
        <f>_xlfn.XLOOKUP(B400,Tableau13[ID_Antenne],Tableau13[Latitude],"Non répertoriées")</f>
        <v>1.286548</v>
      </c>
      <c r="G400" s="32">
        <f>_xlfn.XLOOKUP(B400,Tableau13[ID_Antenne],Tableau13[Longitude],"Non répertoriées")</f>
        <v>29.823702999999998</v>
      </c>
      <c r="H400" t="s">
        <v>10</v>
      </c>
    </row>
    <row r="401" spans="1:8" x14ac:dyDescent="0.25">
      <c r="A401" s="1">
        <v>45213.237500000003</v>
      </c>
      <c r="B401" t="s">
        <v>127</v>
      </c>
      <c r="C401" s="29" t="str">
        <f>_xlfn.XLOOKUP(B401,Tableau13[ID_Antenne],Tableau13[Province_RDC],"Non répertoriées")</f>
        <v>Nord-Kivu</v>
      </c>
      <c r="D401">
        <v>68</v>
      </c>
      <c r="E401" s="31" t="str">
        <f>_xlfn.XLOOKUP(B401,Tableau13[ID_Antenne],Tableau13[Technologie],"Non répertoriées")</f>
        <v>4G</v>
      </c>
      <c r="F401" s="3">
        <f>_xlfn.XLOOKUP(B401,Tableau13[ID_Antenne],Tableau13[Latitude],"Non répertoriées")</f>
        <v>-10.25074</v>
      </c>
      <c r="G401" s="32">
        <f>_xlfn.XLOOKUP(B401,Tableau13[ID_Antenne],Tableau13[Longitude],"Non répertoriées")</f>
        <v>26.099086</v>
      </c>
      <c r="H401" t="s">
        <v>10</v>
      </c>
    </row>
    <row r="402" spans="1:8" x14ac:dyDescent="0.25">
      <c r="A402" s="1">
        <v>45221.106249999997</v>
      </c>
      <c r="B402" t="s">
        <v>25</v>
      </c>
      <c r="C402" t="str">
        <f>_xlfn.XLOOKUP(B402,Tableau13[ID_Antenne],Tableau13[Province_RDC],"Non répertoriées")</f>
        <v>Non répertoriées</v>
      </c>
      <c r="D402">
        <v>52</v>
      </c>
      <c r="E402" t="str">
        <f>_xlfn.XLOOKUP(B402,Tableau13[ID_Antenne],Tableau13[Technologie],"Non répertoriées")</f>
        <v>Non répertoriées</v>
      </c>
      <c r="F402" t="str">
        <f>_xlfn.XLOOKUP(B402,Tableau13[ID_Antenne],Tableau13[Latitude],"Non répertoriées")</f>
        <v>Non répertoriées</v>
      </c>
      <c r="G402" t="str">
        <f>_xlfn.XLOOKUP(B402,Tableau13[ID_Antenne],Tableau13[Longitude],"Non répertoriées")</f>
        <v>Non répertoriées</v>
      </c>
      <c r="H402" t="s">
        <v>10</v>
      </c>
    </row>
    <row r="403" spans="1:8" x14ac:dyDescent="0.25">
      <c r="A403" s="1">
        <v>45211.106249999997</v>
      </c>
      <c r="B403" t="s">
        <v>333</v>
      </c>
      <c r="C403" s="29" t="str">
        <f>_xlfn.XLOOKUP(B403,Tableau13[ID_Antenne],Tableau13[Province_RDC],"Non répertoriées")</f>
        <v>Kasai</v>
      </c>
      <c r="D403">
        <v>107</v>
      </c>
      <c r="E403" s="31" t="str">
        <f>_xlfn.XLOOKUP(B403,Tableau13[ID_Antenne],Tableau13[Technologie],"Non répertoriées")</f>
        <v>5G</v>
      </c>
      <c r="F403" s="3">
        <f>_xlfn.XLOOKUP(B403,Tableau13[ID_Antenne],Tableau13[Latitude],"Non répertoriées")</f>
        <v>-5.125</v>
      </c>
      <c r="G403" s="32">
        <f>_xlfn.XLOOKUP(B403,Tableau13[ID_Antenne],Tableau13[Longitude],"Non répertoriées")</f>
        <v>23.513119</v>
      </c>
      <c r="H403" t="s">
        <v>5</v>
      </c>
    </row>
    <row r="404" spans="1:8" x14ac:dyDescent="0.25">
      <c r="A404" s="1">
        <v>45217.701388888891</v>
      </c>
      <c r="B404" t="s">
        <v>140</v>
      </c>
      <c r="C404" t="str">
        <f>_xlfn.XLOOKUP(B404,Tableau13[ID_Antenne],Tableau13[Province_RDC],"Non répertoriées")</f>
        <v>Non répertoriées</v>
      </c>
      <c r="D404">
        <v>71</v>
      </c>
      <c r="E404" t="str">
        <f>_xlfn.XLOOKUP(B404,Tableau13[ID_Antenne],Tableau13[Technologie],"Non répertoriées")</f>
        <v>Non répertoriées</v>
      </c>
      <c r="F404" t="str">
        <f>_xlfn.XLOOKUP(B404,Tableau13[ID_Antenne],Tableau13[Latitude],"Non répertoriées")</f>
        <v>Non répertoriées</v>
      </c>
      <c r="G404" t="str">
        <f>_xlfn.XLOOKUP(B404,Tableau13[ID_Antenne],Tableau13[Longitude],"Non répertoriées")</f>
        <v>Non répertoriées</v>
      </c>
      <c r="H404" t="s">
        <v>8</v>
      </c>
    </row>
    <row r="405" spans="1:8" x14ac:dyDescent="0.25">
      <c r="A405" s="1">
        <v>45216.709027777782</v>
      </c>
      <c r="B405" t="s">
        <v>334</v>
      </c>
      <c r="C405" s="29" t="str">
        <f>_xlfn.XLOOKUP(B405,Tableau13[ID_Antenne],Tableau13[Province_RDC],"Non répertoriées")</f>
        <v>Ituri</v>
      </c>
      <c r="D405">
        <v>39</v>
      </c>
      <c r="E405" s="31" t="str">
        <f>_xlfn.XLOOKUP(B405,Tableau13[ID_Antenne],Tableau13[Technologie],"Non répertoriées")</f>
        <v>5G</v>
      </c>
      <c r="F405" s="3">
        <f>_xlfn.XLOOKUP(B405,Tableau13[ID_Antenne],Tableau13[Latitude],"Non répertoriées")</f>
        <v>-0.34051900000000002</v>
      </c>
      <c r="G405" s="32">
        <f>_xlfn.XLOOKUP(B405,Tableau13[ID_Antenne],Tableau13[Longitude],"Non répertoriées")</f>
        <v>17.079799000000001</v>
      </c>
      <c r="H405" t="s">
        <v>5</v>
      </c>
    </row>
    <row r="406" spans="1:8" x14ac:dyDescent="0.25">
      <c r="A406" s="1">
        <v>45212.626388888893</v>
      </c>
      <c r="B406" t="s">
        <v>335</v>
      </c>
      <c r="C406" t="str">
        <f>_xlfn.XLOOKUP(B406,Tableau13[ID_Antenne],Tableau13[Province_RDC],"Non répertoriées")</f>
        <v>Non répertoriées</v>
      </c>
      <c r="D406">
        <v>107</v>
      </c>
      <c r="E406" t="str">
        <f>_xlfn.XLOOKUP(B406,Tableau13[ID_Antenne],Tableau13[Technologie],"Non répertoriées")</f>
        <v>Non répertoriées</v>
      </c>
      <c r="F406" t="str">
        <f>_xlfn.XLOOKUP(B406,Tableau13[ID_Antenne],Tableau13[Latitude],"Non répertoriées")</f>
        <v>Non répertoriées</v>
      </c>
      <c r="G406" t="str">
        <f>_xlfn.XLOOKUP(B406,Tableau13[ID_Antenne],Tableau13[Longitude],"Non répertoriées")</f>
        <v>Non répertoriées</v>
      </c>
      <c r="H406" t="s">
        <v>8</v>
      </c>
    </row>
    <row r="407" spans="1:8" x14ac:dyDescent="0.25">
      <c r="A407" s="1">
        <v>45220.515972222223</v>
      </c>
      <c r="B407" t="s">
        <v>336</v>
      </c>
      <c r="C407" t="str">
        <f>_xlfn.XLOOKUP(B407,Tableau13[ID_Antenne],Tableau13[Province_RDC],"Non répertoriées")</f>
        <v>Non répertoriées</v>
      </c>
      <c r="D407">
        <v>15</v>
      </c>
      <c r="E407" t="str">
        <f>_xlfn.XLOOKUP(B407,Tableau13[ID_Antenne],Tableau13[Technologie],"Non répertoriées")</f>
        <v>Non répertoriées</v>
      </c>
      <c r="F407" t="str">
        <f>_xlfn.XLOOKUP(B407,Tableau13[ID_Antenne],Tableau13[Latitude],"Non répertoriées")</f>
        <v>Non répertoriées</v>
      </c>
      <c r="G407" t="str">
        <f>_xlfn.XLOOKUP(B407,Tableau13[ID_Antenne],Tableau13[Longitude],"Non répertoriées")</f>
        <v>Non répertoriées</v>
      </c>
      <c r="H407" t="s">
        <v>10</v>
      </c>
    </row>
    <row r="408" spans="1:8" x14ac:dyDescent="0.25">
      <c r="A408" s="1">
        <v>45208.959027777782</v>
      </c>
      <c r="B408" t="s">
        <v>69</v>
      </c>
      <c r="C408" s="29" t="str">
        <f>_xlfn.XLOOKUP(B408,Tableau13[ID_Antenne],Tableau13[Province_RDC],"Non répertoriées")</f>
        <v>Nord-Kivu</v>
      </c>
      <c r="D408">
        <v>98</v>
      </c>
      <c r="E408" s="31" t="str">
        <f>_xlfn.XLOOKUP(B408,Tableau13[ID_Antenne],Tableau13[Technologie],"Non répertoriées")</f>
        <v>5G</v>
      </c>
      <c r="F408" s="3">
        <f>_xlfn.XLOOKUP(B408,Tableau13[ID_Antenne],Tableau13[Latitude],"Non répertoriées")</f>
        <v>0.82868600000000003</v>
      </c>
      <c r="G408" s="32">
        <f>_xlfn.XLOOKUP(B408,Tableau13[ID_Antenne],Tableau13[Longitude],"Non répertoriées")</f>
        <v>26.958843999999999</v>
      </c>
      <c r="H408" t="s">
        <v>10</v>
      </c>
    </row>
    <row r="409" spans="1:8" x14ac:dyDescent="0.25">
      <c r="A409" s="1">
        <v>45211.098611111112</v>
      </c>
      <c r="B409" t="s">
        <v>337</v>
      </c>
      <c r="C409" s="29" t="str">
        <f>_xlfn.XLOOKUP(B409,Tableau13[ID_Antenne],Tableau13[Province_RDC],"Non répertoriées")</f>
        <v>Sud-Ubangi</v>
      </c>
      <c r="D409">
        <v>59</v>
      </c>
      <c r="E409" s="31" t="str">
        <f>_xlfn.XLOOKUP(B409,Tableau13[ID_Antenne],Tableau13[Technologie],"Non répertoriées")</f>
        <v>3G</v>
      </c>
      <c r="F409" s="3">
        <f>_xlfn.XLOOKUP(B409,Tableau13[ID_Antenne],Tableau13[Latitude],"Non répertoriées")</f>
        <v>-11.387295999999999</v>
      </c>
      <c r="G409" s="32">
        <f>_xlfn.XLOOKUP(B409,Tableau13[ID_Antenne],Tableau13[Longitude],"Non répertoriées")</f>
        <v>19.384257999999999</v>
      </c>
      <c r="H409" t="s">
        <v>10</v>
      </c>
    </row>
    <row r="410" spans="1:8" x14ac:dyDescent="0.25">
      <c r="A410" s="1">
        <v>45207.987500000003</v>
      </c>
      <c r="B410" t="s">
        <v>338</v>
      </c>
      <c r="C410" s="29" t="str">
        <f>_xlfn.XLOOKUP(B410,Tableau13[ID_Antenne],Tableau13[Province_RDC],"Non répertoriées")</f>
        <v>Kwango</v>
      </c>
      <c r="D410">
        <v>15</v>
      </c>
      <c r="E410" s="31" t="str">
        <f>_xlfn.XLOOKUP(B410,Tableau13[ID_Antenne],Tableau13[Technologie],"Non répertoriées")</f>
        <v>5G</v>
      </c>
      <c r="F410" s="3">
        <f>_xlfn.XLOOKUP(B410,Tableau13[ID_Antenne],Tableau13[Latitude],"Non répertoriées")</f>
        <v>-9.0798120000000004</v>
      </c>
      <c r="G410" s="32">
        <f>_xlfn.XLOOKUP(B410,Tableau13[ID_Antenne],Tableau13[Longitude],"Non répertoriées")</f>
        <v>14.945484</v>
      </c>
      <c r="H410" t="s">
        <v>8</v>
      </c>
    </row>
    <row r="411" spans="1:8" x14ac:dyDescent="0.25">
      <c r="A411" s="1">
        <v>45220.15902777778</v>
      </c>
      <c r="B411" t="s">
        <v>339</v>
      </c>
      <c r="C411" s="29" t="str">
        <f>_xlfn.XLOOKUP(B411,Tableau13[ID_Antenne],Tableau13[Province_RDC],"Non répertoriées")</f>
        <v>Tshopo</v>
      </c>
      <c r="D411">
        <v>60</v>
      </c>
      <c r="E411" s="31" t="str">
        <f>_xlfn.XLOOKUP(B411,Tableau13[ID_Antenne],Tableau13[Technologie],"Non répertoriées")</f>
        <v>4G</v>
      </c>
      <c r="F411" s="3">
        <f>_xlfn.XLOOKUP(B411,Tableau13[ID_Antenne],Tableau13[Latitude],"Non répertoriées")</f>
        <v>-9.4133639999999996</v>
      </c>
      <c r="G411" s="32">
        <f>_xlfn.XLOOKUP(B411,Tableau13[ID_Antenne],Tableau13[Longitude],"Non répertoriées")</f>
        <v>15.682482</v>
      </c>
      <c r="H411" t="s">
        <v>10</v>
      </c>
    </row>
    <row r="412" spans="1:8" x14ac:dyDescent="0.25">
      <c r="A412" s="1">
        <v>45218.991666666669</v>
      </c>
      <c r="B412" t="s">
        <v>271</v>
      </c>
      <c r="C412" s="29" t="str">
        <f>_xlfn.XLOOKUP(B412,Tableau13[ID_Antenne],Tableau13[Province_RDC],"Non répertoriées")</f>
        <v>Ituri</v>
      </c>
      <c r="D412">
        <v>82</v>
      </c>
      <c r="E412" s="31" t="str">
        <f>_xlfn.XLOOKUP(B412,Tableau13[ID_Antenne],Tableau13[Technologie],"Non répertoriées")</f>
        <v>5G</v>
      </c>
      <c r="F412" s="3">
        <f>_xlfn.XLOOKUP(B412,Tableau13[ID_Antenne],Tableau13[Latitude],"Non répertoriées")</f>
        <v>-3.7720639999999999</v>
      </c>
      <c r="G412" s="32">
        <f>_xlfn.XLOOKUP(B412,Tableau13[ID_Antenne],Tableau13[Longitude],"Non répertoriées")</f>
        <v>16.006277999999998</v>
      </c>
      <c r="H412" t="s">
        <v>5</v>
      </c>
    </row>
    <row r="413" spans="1:8" x14ac:dyDescent="0.25">
      <c r="A413" s="1">
        <v>45210.168055555558</v>
      </c>
      <c r="B413" t="s">
        <v>340</v>
      </c>
      <c r="C413" s="29" t="str">
        <f>_xlfn.XLOOKUP(B413,Tableau13[ID_Antenne],Tableau13[Province_RDC],"Non répertoriées")</f>
        <v>Tanganyika</v>
      </c>
      <c r="D413">
        <v>110</v>
      </c>
      <c r="E413" s="31" t="str">
        <f>_xlfn.XLOOKUP(B413,Tableau13[ID_Antenne],Tableau13[Technologie],"Non répertoriées")</f>
        <v>4G</v>
      </c>
      <c r="F413" s="3">
        <f>_xlfn.XLOOKUP(B413,Tableau13[ID_Antenne],Tableau13[Latitude],"Non répertoriées")</f>
        <v>-9.9565739999999998</v>
      </c>
      <c r="G413" s="32">
        <f>_xlfn.XLOOKUP(B413,Tableau13[ID_Antenne],Tableau13[Longitude],"Non répertoriées")</f>
        <v>21.017202000000001</v>
      </c>
      <c r="H413" t="s">
        <v>5</v>
      </c>
    </row>
    <row r="414" spans="1:8" x14ac:dyDescent="0.25">
      <c r="A414" s="1">
        <v>45211.722916666673</v>
      </c>
      <c r="B414" t="s">
        <v>341</v>
      </c>
      <c r="C414" s="29" t="str">
        <f>_xlfn.XLOOKUP(B414,Tableau13[ID_Antenne],Tableau13[Province_RDC],"Non répertoriées")</f>
        <v>Haut-Uele</v>
      </c>
      <c r="D414">
        <v>28</v>
      </c>
      <c r="E414" s="31" t="str">
        <f>_xlfn.XLOOKUP(B414,Tableau13[ID_Antenne],Tableau13[Technologie],"Non répertoriées")</f>
        <v>4G</v>
      </c>
      <c r="F414" s="3">
        <f>_xlfn.XLOOKUP(B414,Tableau13[ID_Antenne],Tableau13[Latitude],"Non répertoriées")</f>
        <v>-6.9624990000000002</v>
      </c>
      <c r="G414" s="32">
        <f>_xlfn.XLOOKUP(B414,Tableau13[ID_Antenne],Tableau13[Longitude],"Non répertoriées")</f>
        <v>20.759834999999999</v>
      </c>
      <c r="H414" t="s">
        <v>5</v>
      </c>
    </row>
    <row r="415" spans="1:8" x14ac:dyDescent="0.25">
      <c r="A415" s="1">
        <v>45226.84097222222</v>
      </c>
      <c r="B415" t="s">
        <v>342</v>
      </c>
      <c r="C415" s="29" t="str">
        <f>_xlfn.XLOOKUP(B415,Tableau13[ID_Antenne],Tableau13[Province_RDC],"Non répertoriées")</f>
        <v>Kinshasa</v>
      </c>
      <c r="D415">
        <v>74</v>
      </c>
      <c r="E415" s="31" t="str">
        <f>_xlfn.XLOOKUP(B415,Tableau13[ID_Antenne],Tableau13[Technologie],"Non répertoriées")</f>
        <v>5G</v>
      </c>
      <c r="F415" s="3">
        <f>_xlfn.XLOOKUP(B415,Tableau13[ID_Antenne],Tableau13[Latitude],"Non répertoriées")</f>
        <v>-11.389362</v>
      </c>
      <c r="G415" s="32">
        <f>_xlfn.XLOOKUP(B415,Tableau13[ID_Antenne],Tableau13[Longitude],"Non répertoriées")</f>
        <v>22.240174</v>
      </c>
      <c r="H415" t="s">
        <v>8</v>
      </c>
    </row>
    <row r="416" spans="1:8" x14ac:dyDescent="0.25">
      <c r="A416" s="1">
        <v>45226.895138888889</v>
      </c>
      <c r="B416" t="s">
        <v>343</v>
      </c>
      <c r="C416" t="str">
        <f>_xlfn.XLOOKUP(B416,Tableau13[ID_Antenne],Tableau13[Province_RDC],"Non répertoriées")</f>
        <v>Non répertoriées</v>
      </c>
      <c r="D416">
        <v>42</v>
      </c>
      <c r="E416" t="str">
        <f>_xlfn.XLOOKUP(B416,Tableau13[ID_Antenne],Tableau13[Technologie],"Non répertoriées")</f>
        <v>Non répertoriées</v>
      </c>
      <c r="F416" t="str">
        <f>_xlfn.XLOOKUP(B416,Tableau13[ID_Antenne],Tableau13[Latitude],"Non répertoriées")</f>
        <v>Non répertoriées</v>
      </c>
      <c r="G416" t="str">
        <f>_xlfn.XLOOKUP(B416,Tableau13[ID_Antenne],Tableau13[Longitude],"Non répertoriées")</f>
        <v>Non répertoriées</v>
      </c>
      <c r="H416" t="s">
        <v>5</v>
      </c>
    </row>
    <row r="417" spans="1:8" x14ac:dyDescent="0.25">
      <c r="A417" s="1">
        <v>45222.652777777781</v>
      </c>
      <c r="B417" t="s">
        <v>344</v>
      </c>
      <c r="C417" s="29" t="str">
        <f>_xlfn.XLOOKUP(B417,Tableau13[ID_Antenne],Tableau13[Province_RDC],"Non répertoriées")</f>
        <v>Lomami</v>
      </c>
      <c r="D417">
        <v>46</v>
      </c>
      <c r="E417" s="31" t="str">
        <f>_xlfn.XLOOKUP(B417,Tableau13[ID_Antenne],Tableau13[Technologie],"Non répertoriées")</f>
        <v>3G</v>
      </c>
      <c r="F417" s="3">
        <f>_xlfn.XLOOKUP(B417,Tableau13[ID_Antenne],Tableau13[Latitude],"Non répertoriées")</f>
        <v>-11.266565999999999</v>
      </c>
      <c r="G417" s="32">
        <f>_xlfn.XLOOKUP(B417,Tableau13[ID_Antenne],Tableau13[Longitude],"Non répertoriées")</f>
        <v>26.245055000000001</v>
      </c>
      <c r="H417" t="s">
        <v>10</v>
      </c>
    </row>
    <row r="418" spans="1:8" x14ac:dyDescent="0.25">
      <c r="A418" s="1">
        <v>45205.169444444437</v>
      </c>
      <c r="B418" t="s">
        <v>345</v>
      </c>
      <c r="C418" s="29" t="str">
        <f>_xlfn.XLOOKUP(B418,Tableau13[ID_Antenne],Tableau13[Province_RDC],"Non répertoriées")</f>
        <v>Kasai</v>
      </c>
      <c r="D418">
        <v>18</v>
      </c>
      <c r="E418" s="31" t="str">
        <f>_xlfn.XLOOKUP(B418,Tableau13[ID_Antenne],Tableau13[Technologie],"Non répertoriées")</f>
        <v>3G</v>
      </c>
      <c r="F418" s="3">
        <f>_xlfn.XLOOKUP(B418,Tableau13[ID_Antenne],Tableau13[Latitude],"Non répertoriées")</f>
        <v>4.8689660000000003</v>
      </c>
      <c r="G418" s="32">
        <f>_xlfn.XLOOKUP(B418,Tableau13[ID_Antenne],Tableau13[Longitude],"Non répertoriées")</f>
        <v>25.112373000000002</v>
      </c>
      <c r="H418" t="s">
        <v>8</v>
      </c>
    </row>
    <row r="419" spans="1:8" x14ac:dyDescent="0.25">
      <c r="A419" s="1">
        <v>45222.584722222222</v>
      </c>
      <c r="B419" t="s">
        <v>346</v>
      </c>
      <c r="C419" s="29" t="str">
        <f>_xlfn.XLOOKUP(B419,Tableau13[ID_Antenne],Tableau13[Province_RDC],"Non répertoriées")</f>
        <v>Equateur</v>
      </c>
      <c r="D419">
        <v>15</v>
      </c>
      <c r="E419" s="31" t="str">
        <f>_xlfn.XLOOKUP(B419,Tableau13[ID_Antenne],Tableau13[Technologie],"Non répertoriées")</f>
        <v>4G</v>
      </c>
      <c r="F419" s="3">
        <f>_xlfn.XLOOKUP(B419,Tableau13[ID_Antenne],Tableau13[Latitude],"Non répertoriées")</f>
        <v>-9.1215879999999991</v>
      </c>
      <c r="G419" s="32">
        <f>_xlfn.XLOOKUP(B419,Tableau13[ID_Antenne],Tableau13[Longitude],"Non répertoriées")</f>
        <v>16.457916999999998</v>
      </c>
      <c r="H419" t="s">
        <v>10</v>
      </c>
    </row>
    <row r="420" spans="1:8" x14ac:dyDescent="0.25">
      <c r="A420" s="1">
        <v>45209.251388888893</v>
      </c>
      <c r="B420" t="s">
        <v>253</v>
      </c>
      <c r="C420" t="str">
        <f>_xlfn.XLOOKUP(B420,Tableau13[ID_Antenne],Tableau13[Province_RDC],"Non répertoriées")</f>
        <v>Non répertoriées</v>
      </c>
      <c r="D420">
        <v>46</v>
      </c>
      <c r="E420" t="str">
        <f>_xlfn.XLOOKUP(B420,Tableau13[ID_Antenne],Tableau13[Technologie],"Non répertoriées")</f>
        <v>Non répertoriées</v>
      </c>
      <c r="F420" t="str">
        <f>_xlfn.XLOOKUP(B420,Tableau13[ID_Antenne],Tableau13[Latitude],"Non répertoriées")</f>
        <v>Non répertoriées</v>
      </c>
      <c r="G420" t="str">
        <f>_xlfn.XLOOKUP(B420,Tableau13[ID_Antenne],Tableau13[Longitude],"Non répertoriées")</f>
        <v>Non répertoriées</v>
      </c>
      <c r="H420" t="s">
        <v>8</v>
      </c>
    </row>
    <row r="421" spans="1:8" x14ac:dyDescent="0.25">
      <c r="A421" s="1">
        <v>45225.288888888892</v>
      </c>
      <c r="B421" t="s">
        <v>298</v>
      </c>
      <c r="C421" s="29" t="str">
        <f>_xlfn.XLOOKUP(B421,Tableau13[ID_Antenne],Tableau13[Province_RDC],"Non répertoriées")</f>
        <v>Haut-Lomami</v>
      </c>
      <c r="D421">
        <v>89</v>
      </c>
      <c r="E421" s="31" t="str">
        <f>_xlfn.XLOOKUP(B421,Tableau13[ID_Antenne],Tableau13[Technologie],"Non répertoriées")</f>
        <v>4G</v>
      </c>
      <c r="F421" s="3">
        <f>_xlfn.XLOOKUP(B421,Tableau13[ID_Antenne],Tableau13[Latitude],"Non répertoriées")</f>
        <v>0.16327700000000001</v>
      </c>
      <c r="G421" s="32">
        <f>_xlfn.XLOOKUP(B421,Tableau13[ID_Antenne],Tableau13[Longitude],"Non répertoriées")</f>
        <v>14.871577</v>
      </c>
      <c r="H421" t="s">
        <v>5</v>
      </c>
    </row>
    <row r="422" spans="1:8" x14ac:dyDescent="0.25">
      <c r="A422" s="1">
        <v>45201.457638888889</v>
      </c>
      <c r="B422" t="s">
        <v>347</v>
      </c>
      <c r="C422" t="str">
        <f>_xlfn.XLOOKUP(B422,Tableau13[ID_Antenne],Tableau13[Province_RDC],"Non répertoriées")</f>
        <v>Non répertoriées</v>
      </c>
      <c r="D422">
        <v>42</v>
      </c>
      <c r="E422" t="str">
        <f>_xlfn.XLOOKUP(B422,Tableau13[ID_Antenne],Tableau13[Technologie],"Non répertoriées")</f>
        <v>Non répertoriées</v>
      </c>
      <c r="F422" t="str">
        <f>_xlfn.XLOOKUP(B422,Tableau13[ID_Antenne],Tableau13[Latitude],"Non répertoriées")</f>
        <v>Non répertoriées</v>
      </c>
      <c r="G422" t="str">
        <f>_xlfn.XLOOKUP(B422,Tableau13[ID_Antenne],Tableau13[Longitude],"Non répertoriées")</f>
        <v>Non répertoriées</v>
      </c>
      <c r="H422" t="s">
        <v>10</v>
      </c>
    </row>
    <row r="423" spans="1:8" x14ac:dyDescent="0.25">
      <c r="A423" s="1">
        <v>45209.684027777781</v>
      </c>
      <c r="B423" t="s">
        <v>200</v>
      </c>
      <c r="C423" t="str">
        <f>_xlfn.XLOOKUP(B423,Tableau13[ID_Antenne],Tableau13[Province_RDC],"Non répertoriées")</f>
        <v>Non répertoriées</v>
      </c>
      <c r="D423">
        <v>44</v>
      </c>
      <c r="E423" t="str">
        <f>_xlfn.XLOOKUP(B423,Tableau13[ID_Antenne],Tableau13[Technologie],"Non répertoriées")</f>
        <v>Non répertoriées</v>
      </c>
      <c r="F423" t="str">
        <f>_xlfn.XLOOKUP(B423,Tableau13[ID_Antenne],Tableau13[Latitude],"Non répertoriées")</f>
        <v>Non répertoriées</v>
      </c>
      <c r="G423" t="str">
        <f>_xlfn.XLOOKUP(B423,Tableau13[ID_Antenne],Tableau13[Longitude],"Non répertoriées")</f>
        <v>Non répertoriées</v>
      </c>
      <c r="H423" t="s">
        <v>10</v>
      </c>
    </row>
    <row r="424" spans="1:8" x14ac:dyDescent="0.25">
      <c r="A424" s="1">
        <v>45226.729166666657</v>
      </c>
      <c r="B424" t="s">
        <v>348</v>
      </c>
      <c r="C424" t="str">
        <f>_xlfn.XLOOKUP(B424,Tableau13[ID_Antenne],Tableau13[Province_RDC],"Non répertoriées")</f>
        <v>Non répertoriées</v>
      </c>
      <c r="D424">
        <v>62</v>
      </c>
      <c r="E424" t="str">
        <f>_xlfn.XLOOKUP(B424,Tableau13[ID_Antenne],Tableau13[Technologie],"Non répertoriées")</f>
        <v>Non répertoriées</v>
      </c>
      <c r="F424" t="str">
        <f>_xlfn.XLOOKUP(B424,Tableau13[ID_Antenne],Tableau13[Latitude],"Non répertoriées")</f>
        <v>Non répertoriées</v>
      </c>
      <c r="G424" t="str">
        <f>_xlfn.XLOOKUP(B424,Tableau13[ID_Antenne],Tableau13[Longitude],"Non répertoriées")</f>
        <v>Non répertoriées</v>
      </c>
      <c r="H424" t="s">
        <v>8</v>
      </c>
    </row>
    <row r="425" spans="1:8" x14ac:dyDescent="0.25">
      <c r="A425" s="1">
        <v>45208.074999999997</v>
      </c>
      <c r="B425" t="s">
        <v>255</v>
      </c>
      <c r="C425" t="str">
        <f>_xlfn.XLOOKUP(B425,Tableau13[ID_Antenne],Tableau13[Province_RDC],"Non répertoriées")</f>
        <v>Non répertoriées</v>
      </c>
      <c r="D425">
        <v>82</v>
      </c>
      <c r="E425" t="str">
        <f>_xlfn.XLOOKUP(B425,Tableau13[ID_Antenne],Tableau13[Technologie],"Non répertoriées")</f>
        <v>Non répertoriées</v>
      </c>
      <c r="F425" t="str">
        <f>_xlfn.XLOOKUP(B425,Tableau13[ID_Antenne],Tableau13[Latitude],"Non répertoriées")</f>
        <v>Non répertoriées</v>
      </c>
      <c r="G425" t="str">
        <f>_xlfn.XLOOKUP(B425,Tableau13[ID_Antenne],Tableau13[Longitude],"Non répertoriées")</f>
        <v>Non répertoriées</v>
      </c>
      <c r="H425" t="s">
        <v>10</v>
      </c>
    </row>
    <row r="426" spans="1:8" x14ac:dyDescent="0.25">
      <c r="A426" s="1">
        <v>45220.262499999997</v>
      </c>
      <c r="B426" t="s">
        <v>349</v>
      </c>
      <c r="C426" t="str">
        <f>_xlfn.XLOOKUP(B426,Tableau13[ID_Antenne],Tableau13[Province_RDC],"Non répertoriées")</f>
        <v>Non répertoriées</v>
      </c>
      <c r="D426">
        <v>96</v>
      </c>
      <c r="E426" t="str">
        <f>_xlfn.XLOOKUP(B426,Tableau13[ID_Antenne],Tableau13[Technologie],"Non répertoriées")</f>
        <v>Non répertoriées</v>
      </c>
      <c r="F426" t="str">
        <f>_xlfn.XLOOKUP(B426,Tableau13[ID_Antenne],Tableau13[Latitude],"Non répertoriées")</f>
        <v>Non répertoriées</v>
      </c>
      <c r="G426" t="str">
        <f>_xlfn.XLOOKUP(B426,Tableau13[ID_Antenne],Tableau13[Longitude],"Non répertoriées")</f>
        <v>Non répertoriées</v>
      </c>
      <c r="H426" t="s">
        <v>5</v>
      </c>
    </row>
    <row r="427" spans="1:8" x14ac:dyDescent="0.25">
      <c r="A427" s="1">
        <v>45211.079861111109</v>
      </c>
      <c r="B427" t="s">
        <v>350</v>
      </c>
      <c r="C427" t="str">
        <f>_xlfn.XLOOKUP(B427,Tableau13[ID_Antenne],Tableau13[Province_RDC],"Non répertoriées")</f>
        <v>Non répertoriées</v>
      </c>
      <c r="D427">
        <v>59</v>
      </c>
      <c r="E427" t="str">
        <f>_xlfn.XLOOKUP(B427,Tableau13[ID_Antenne],Tableau13[Technologie],"Non répertoriées")</f>
        <v>Non répertoriées</v>
      </c>
      <c r="F427" t="str">
        <f>_xlfn.XLOOKUP(B427,Tableau13[ID_Antenne],Tableau13[Latitude],"Non répertoriées")</f>
        <v>Non répertoriées</v>
      </c>
      <c r="G427" t="str">
        <f>_xlfn.XLOOKUP(B427,Tableau13[ID_Antenne],Tableau13[Longitude],"Non répertoriées")</f>
        <v>Non répertoriées</v>
      </c>
      <c r="H427" t="s">
        <v>8</v>
      </c>
    </row>
    <row r="428" spans="1:8" x14ac:dyDescent="0.25">
      <c r="A428" s="1">
        <v>45220.428472222222</v>
      </c>
      <c r="B428" t="s">
        <v>32</v>
      </c>
      <c r="C428" t="str">
        <f>_xlfn.XLOOKUP(B428,Tableau13[ID_Antenne],Tableau13[Province_RDC],"Non répertoriées")</f>
        <v>Non répertoriées</v>
      </c>
      <c r="D428">
        <v>26</v>
      </c>
      <c r="E428" t="str">
        <f>_xlfn.XLOOKUP(B428,Tableau13[ID_Antenne],Tableau13[Technologie],"Non répertoriées")</f>
        <v>Non répertoriées</v>
      </c>
      <c r="F428" t="str">
        <f>_xlfn.XLOOKUP(B428,Tableau13[ID_Antenne],Tableau13[Latitude],"Non répertoriées")</f>
        <v>Non répertoriées</v>
      </c>
      <c r="G428" t="str">
        <f>_xlfn.XLOOKUP(B428,Tableau13[ID_Antenne],Tableau13[Longitude],"Non répertoriées")</f>
        <v>Non répertoriées</v>
      </c>
      <c r="H428" t="s">
        <v>10</v>
      </c>
    </row>
    <row r="429" spans="1:8" x14ac:dyDescent="0.25">
      <c r="A429" s="1">
        <v>45203.477083333331</v>
      </c>
      <c r="B429" t="s">
        <v>351</v>
      </c>
      <c r="C429" t="str">
        <f>_xlfn.XLOOKUP(B429,Tableau13[ID_Antenne],Tableau13[Province_RDC],"Non répertoriées")</f>
        <v>Non répertoriées</v>
      </c>
      <c r="D429">
        <v>93</v>
      </c>
      <c r="E429" t="str">
        <f>_xlfn.XLOOKUP(B429,Tableau13[ID_Antenne],Tableau13[Technologie],"Non répertoriées")</f>
        <v>Non répertoriées</v>
      </c>
      <c r="F429" t="str">
        <f>_xlfn.XLOOKUP(B429,Tableau13[ID_Antenne],Tableau13[Latitude],"Non répertoriées")</f>
        <v>Non répertoriées</v>
      </c>
      <c r="G429" t="str">
        <f>_xlfn.XLOOKUP(B429,Tableau13[ID_Antenne],Tableau13[Longitude],"Non répertoriées")</f>
        <v>Non répertoriées</v>
      </c>
      <c r="H429" t="s">
        <v>8</v>
      </c>
    </row>
    <row r="430" spans="1:8" x14ac:dyDescent="0.25">
      <c r="A430" s="1">
        <v>45202.912499999999</v>
      </c>
      <c r="B430" t="s">
        <v>352</v>
      </c>
      <c r="C430" t="str">
        <f>_xlfn.XLOOKUP(B430,Tableau13[ID_Antenne],Tableau13[Province_RDC],"Non répertoriées")</f>
        <v>Non répertoriées</v>
      </c>
      <c r="D430">
        <v>68</v>
      </c>
      <c r="E430" t="str">
        <f>_xlfn.XLOOKUP(B430,Tableau13[ID_Antenne],Tableau13[Technologie],"Non répertoriées")</f>
        <v>Non répertoriées</v>
      </c>
      <c r="F430" t="str">
        <f>_xlfn.XLOOKUP(B430,Tableau13[ID_Antenne],Tableau13[Latitude],"Non répertoriées")</f>
        <v>Non répertoriées</v>
      </c>
      <c r="G430" t="str">
        <f>_xlfn.XLOOKUP(B430,Tableau13[ID_Antenne],Tableau13[Longitude],"Non répertoriées")</f>
        <v>Non répertoriées</v>
      </c>
      <c r="H430" t="s">
        <v>10</v>
      </c>
    </row>
    <row r="431" spans="1:8" x14ac:dyDescent="0.25">
      <c r="A431" s="1">
        <v>45210.890277777777</v>
      </c>
      <c r="B431" t="s">
        <v>195</v>
      </c>
      <c r="C431" t="str">
        <f>_xlfn.XLOOKUP(B431,Tableau13[ID_Antenne],Tableau13[Province_RDC],"Non répertoriées")</f>
        <v>Non répertoriées</v>
      </c>
      <c r="D431">
        <v>118</v>
      </c>
      <c r="E431" t="str">
        <f>_xlfn.XLOOKUP(B431,Tableau13[ID_Antenne],Tableau13[Technologie],"Non répertoriées")</f>
        <v>Non répertoriées</v>
      </c>
      <c r="F431" t="str">
        <f>_xlfn.XLOOKUP(B431,Tableau13[ID_Antenne],Tableau13[Latitude],"Non répertoriées")</f>
        <v>Non répertoriées</v>
      </c>
      <c r="G431" t="str">
        <f>_xlfn.XLOOKUP(B431,Tableau13[ID_Antenne],Tableau13[Longitude],"Non répertoriées")</f>
        <v>Non répertoriées</v>
      </c>
      <c r="H431" t="s">
        <v>5</v>
      </c>
    </row>
    <row r="432" spans="1:8" x14ac:dyDescent="0.25">
      <c r="A432" s="1">
        <v>45222.107638888891</v>
      </c>
      <c r="B432" t="s">
        <v>116</v>
      </c>
      <c r="C432" t="str">
        <f>_xlfn.XLOOKUP(B432,Tableau13[ID_Antenne],Tableau13[Province_RDC],"Non répertoriées")</f>
        <v>Non répertoriées</v>
      </c>
      <c r="D432">
        <v>85</v>
      </c>
      <c r="E432" t="str">
        <f>_xlfn.XLOOKUP(B432,Tableau13[ID_Antenne],Tableau13[Technologie],"Non répertoriées")</f>
        <v>Non répertoriées</v>
      </c>
      <c r="F432" t="str">
        <f>_xlfn.XLOOKUP(B432,Tableau13[ID_Antenne],Tableau13[Latitude],"Non répertoriées")</f>
        <v>Non répertoriées</v>
      </c>
      <c r="G432" t="str">
        <f>_xlfn.XLOOKUP(B432,Tableau13[ID_Antenne],Tableau13[Longitude],"Non répertoriées")</f>
        <v>Non répertoriées</v>
      </c>
      <c r="H432" t="s">
        <v>5</v>
      </c>
    </row>
    <row r="433" spans="1:8" x14ac:dyDescent="0.25">
      <c r="A433" s="1">
        <v>45217.414583333331</v>
      </c>
      <c r="B433" t="s">
        <v>119</v>
      </c>
      <c r="C433" t="str">
        <f>_xlfn.XLOOKUP(B433,Tableau13[ID_Antenne],Tableau13[Province_RDC],"Non répertoriées")</f>
        <v>Non répertoriées</v>
      </c>
      <c r="D433">
        <v>74</v>
      </c>
      <c r="E433" t="str">
        <f>_xlfn.XLOOKUP(B433,Tableau13[ID_Antenne],Tableau13[Technologie],"Non répertoriées")</f>
        <v>Non répertoriées</v>
      </c>
      <c r="F433" t="str">
        <f>_xlfn.XLOOKUP(B433,Tableau13[ID_Antenne],Tableau13[Latitude],"Non répertoriées")</f>
        <v>Non répertoriées</v>
      </c>
      <c r="G433" t="str">
        <f>_xlfn.XLOOKUP(B433,Tableau13[ID_Antenne],Tableau13[Longitude],"Non répertoriées")</f>
        <v>Non répertoriées</v>
      </c>
      <c r="H433" t="s">
        <v>10</v>
      </c>
    </row>
    <row r="434" spans="1:8" x14ac:dyDescent="0.25">
      <c r="A434" s="1">
        <v>45209.239583333343</v>
      </c>
      <c r="B434" t="s">
        <v>353</v>
      </c>
      <c r="C434" t="str">
        <f>_xlfn.XLOOKUP(B434,Tableau13[ID_Antenne],Tableau13[Province_RDC],"Non répertoriées")</f>
        <v>Non répertoriées</v>
      </c>
      <c r="D434">
        <v>42</v>
      </c>
      <c r="E434" t="str">
        <f>_xlfn.XLOOKUP(B434,Tableau13[ID_Antenne],Tableau13[Technologie],"Non répertoriées")</f>
        <v>Non répertoriées</v>
      </c>
      <c r="F434" t="str">
        <f>_xlfn.XLOOKUP(B434,Tableau13[ID_Antenne],Tableau13[Latitude],"Non répertoriées")</f>
        <v>Non répertoriées</v>
      </c>
      <c r="G434" t="str">
        <f>_xlfn.XLOOKUP(B434,Tableau13[ID_Antenne],Tableau13[Longitude],"Non répertoriées")</f>
        <v>Non répertoriées</v>
      </c>
      <c r="H434" t="s">
        <v>10</v>
      </c>
    </row>
    <row r="435" spans="1:8" x14ac:dyDescent="0.25">
      <c r="A435" s="1">
        <v>45222.944444444453</v>
      </c>
      <c r="B435" t="s">
        <v>214</v>
      </c>
      <c r="C435" t="str">
        <f>_xlfn.XLOOKUP(B435,Tableau13[ID_Antenne],Tableau13[Province_RDC],"Non répertoriées")</f>
        <v>Non répertoriées</v>
      </c>
      <c r="D435">
        <v>87</v>
      </c>
      <c r="E435" t="str">
        <f>_xlfn.XLOOKUP(B435,Tableau13[ID_Antenne],Tableau13[Technologie],"Non répertoriées")</f>
        <v>Non répertoriées</v>
      </c>
      <c r="F435" t="str">
        <f>_xlfn.XLOOKUP(B435,Tableau13[ID_Antenne],Tableau13[Latitude],"Non répertoriées")</f>
        <v>Non répertoriées</v>
      </c>
      <c r="G435" t="str">
        <f>_xlfn.XLOOKUP(B435,Tableau13[ID_Antenne],Tableau13[Longitude],"Non répertoriées")</f>
        <v>Non répertoriées</v>
      </c>
      <c r="H435" t="s">
        <v>8</v>
      </c>
    </row>
    <row r="436" spans="1:8" x14ac:dyDescent="0.25">
      <c r="A436" s="1">
        <v>45205.480555555558</v>
      </c>
      <c r="B436" t="s">
        <v>354</v>
      </c>
      <c r="C436" t="str">
        <f>_xlfn.XLOOKUP(B436,Tableau13[ID_Antenne],Tableau13[Province_RDC],"Non répertoriées")</f>
        <v>Non répertoriées</v>
      </c>
      <c r="D436">
        <v>43</v>
      </c>
      <c r="E436" t="str">
        <f>_xlfn.XLOOKUP(B436,Tableau13[ID_Antenne],Tableau13[Technologie],"Non répertoriées")</f>
        <v>Non répertoriées</v>
      </c>
      <c r="F436" t="str">
        <f>_xlfn.XLOOKUP(B436,Tableau13[ID_Antenne],Tableau13[Latitude],"Non répertoriées")</f>
        <v>Non répertoriées</v>
      </c>
      <c r="G436" t="str">
        <f>_xlfn.XLOOKUP(B436,Tableau13[ID_Antenne],Tableau13[Longitude],"Non répertoriées")</f>
        <v>Non répertoriées</v>
      </c>
      <c r="H436" t="s">
        <v>8</v>
      </c>
    </row>
    <row r="437" spans="1:8" x14ac:dyDescent="0.25">
      <c r="A437" s="1">
        <v>45207.133333333331</v>
      </c>
      <c r="B437" t="s">
        <v>355</v>
      </c>
      <c r="C437" s="29" t="str">
        <f>_xlfn.XLOOKUP(B437,Tableau13[ID_Antenne],Tableau13[Province_RDC],"Non répertoriées")</f>
        <v>Kasai-Oriental</v>
      </c>
      <c r="D437">
        <v>66</v>
      </c>
      <c r="E437" s="31" t="str">
        <f>_xlfn.XLOOKUP(B437,Tableau13[ID_Antenne],Tableau13[Technologie],"Non répertoriées")</f>
        <v>3G</v>
      </c>
      <c r="F437" s="3">
        <f>_xlfn.XLOOKUP(B437,Tableau13[ID_Antenne],Tableau13[Latitude],"Non répertoriées")</f>
        <v>-5.4073029999999997</v>
      </c>
      <c r="G437" s="32">
        <f>_xlfn.XLOOKUP(B437,Tableau13[ID_Antenne],Tableau13[Longitude],"Non répertoriées")</f>
        <v>29.762294000000001</v>
      </c>
      <c r="H437" t="s">
        <v>8</v>
      </c>
    </row>
    <row r="438" spans="1:8" x14ac:dyDescent="0.25">
      <c r="A438" s="1">
        <v>45225.177083333343</v>
      </c>
      <c r="B438" t="s">
        <v>356</v>
      </c>
      <c r="C438" t="str">
        <f>_xlfn.XLOOKUP(B438,Tableau13[ID_Antenne],Tableau13[Province_RDC],"Non répertoriées")</f>
        <v>Non répertoriées</v>
      </c>
      <c r="D438">
        <v>36</v>
      </c>
      <c r="E438" t="str">
        <f>_xlfn.XLOOKUP(B438,Tableau13[ID_Antenne],Tableau13[Technologie],"Non répertoriées")</f>
        <v>Non répertoriées</v>
      </c>
      <c r="F438" t="str">
        <f>_xlfn.XLOOKUP(B438,Tableau13[ID_Antenne],Tableau13[Latitude],"Non répertoriées")</f>
        <v>Non répertoriées</v>
      </c>
      <c r="G438" t="str">
        <f>_xlfn.XLOOKUP(B438,Tableau13[ID_Antenne],Tableau13[Longitude],"Non répertoriées")</f>
        <v>Non répertoriées</v>
      </c>
      <c r="H438" t="s">
        <v>10</v>
      </c>
    </row>
    <row r="439" spans="1:8" x14ac:dyDescent="0.25">
      <c r="A439" s="1">
        <v>45225.625694444447</v>
      </c>
      <c r="B439" t="s">
        <v>357</v>
      </c>
      <c r="C439" s="29" t="str">
        <f>_xlfn.XLOOKUP(B439,Tableau13[ID_Antenne],Tableau13[Province_RDC],"Non répertoriées")</f>
        <v>Sud-Ubangi</v>
      </c>
      <c r="D439">
        <v>108</v>
      </c>
      <c r="E439" s="31" t="str">
        <f>_xlfn.XLOOKUP(B439,Tableau13[ID_Antenne],Tableau13[Technologie],"Non répertoriées")</f>
        <v>5G</v>
      </c>
      <c r="F439" s="3">
        <f>_xlfn.XLOOKUP(B439,Tableau13[ID_Antenne],Tableau13[Latitude],"Non répertoriées")</f>
        <v>-10.611184</v>
      </c>
      <c r="G439" s="32">
        <f>_xlfn.XLOOKUP(B439,Tableau13[ID_Antenne],Tableau13[Longitude],"Non répertoriées")</f>
        <v>23.022268</v>
      </c>
      <c r="H439" t="s">
        <v>10</v>
      </c>
    </row>
    <row r="440" spans="1:8" x14ac:dyDescent="0.25">
      <c r="A440" s="1">
        <v>45211.73333333333</v>
      </c>
      <c r="B440" t="s">
        <v>358</v>
      </c>
      <c r="C440" t="str">
        <f>_xlfn.XLOOKUP(B440,Tableau13[ID_Antenne],Tableau13[Province_RDC],"Non répertoriées")</f>
        <v>Non répertoriées</v>
      </c>
      <c r="D440">
        <v>108</v>
      </c>
      <c r="E440" t="str">
        <f>_xlfn.XLOOKUP(B440,Tableau13[ID_Antenne],Tableau13[Technologie],"Non répertoriées")</f>
        <v>Non répertoriées</v>
      </c>
      <c r="F440" t="str">
        <f>_xlfn.XLOOKUP(B440,Tableau13[ID_Antenne],Tableau13[Latitude],"Non répertoriées")</f>
        <v>Non répertoriées</v>
      </c>
      <c r="G440" t="str">
        <f>_xlfn.XLOOKUP(B440,Tableau13[ID_Antenne],Tableau13[Longitude],"Non répertoriées")</f>
        <v>Non répertoriées</v>
      </c>
      <c r="H440" t="s">
        <v>8</v>
      </c>
    </row>
    <row r="441" spans="1:8" x14ac:dyDescent="0.25">
      <c r="A441" s="1">
        <v>45211.618750000001</v>
      </c>
      <c r="B441" t="s">
        <v>359</v>
      </c>
      <c r="C441" s="29" t="str">
        <f>_xlfn.XLOOKUP(B441,Tableau13[ID_Antenne],Tableau13[Province_RDC],"Non répertoriées")</f>
        <v>Tshopo</v>
      </c>
      <c r="D441">
        <v>92</v>
      </c>
      <c r="E441" s="31" t="str">
        <f>_xlfn.XLOOKUP(B441,Tableau13[ID_Antenne],Tableau13[Technologie],"Non répertoriées")</f>
        <v>3G</v>
      </c>
      <c r="F441" s="3">
        <f>_xlfn.XLOOKUP(B441,Tableau13[ID_Antenne],Tableau13[Latitude],"Non répertoriées")</f>
        <v>-0.85624699999999998</v>
      </c>
      <c r="G441" s="32">
        <f>_xlfn.XLOOKUP(B441,Tableau13[ID_Antenne],Tableau13[Longitude],"Non répertoriées")</f>
        <v>28.624870000000001</v>
      </c>
      <c r="H441" t="s">
        <v>5</v>
      </c>
    </row>
    <row r="442" spans="1:8" x14ac:dyDescent="0.25">
      <c r="A442" s="1">
        <v>45217.193749999999</v>
      </c>
      <c r="B442" t="s">
        <v>306</v>
      </c>
      <c r="C442" t="str">
        <f>_xlfn.XLOOKUP(B442,Tableau13[ID_Antenne],Tableau13[Province_RDC],"Non répertoriées")</f>
        <v>Non répertoriées</v>
      </c>
      <c r="D442">
        <v>56</v>
      </c>
      <c r="E442" t="str">
        <f>_xlfn.XLOOKUP(B442,Tableau13[ID_Antenne],Tableau13[Technologie],"Non répertoriées")</f>
        <v>Non répertoriées</v>
      </c>
      <c r="F442" t="str">
        <f>_xlfn.XLOOKUP(B442,Tableau13[ID_Antenne],Tableau13[Latitude],"Non répertoriées")</f>
        <v>Non répertoriées</v>
      </c>
      <c r="G442" t="str">
        <f>_xlfn.XLOOKUP(B442,Tableau13[ID_Antenne],Tableau13[Longitude],"Non répertoriées")</f>
        <v>Non répertoriées</v>
      </c>
      <c r="H442" t="s">
        <v>5</v>
      </c>
    </row>
    <row r="443" spans="1:8" x14ac:dyDescent="0.25">
      <c r="A443" s="1">
        <v>45228.086111111108</v>
      </c>
      <c r="B443" t="s">
        <v>360</v>
      </c>
      <c r="C443" s="29" t="str">
        <f>_xlfn.XLOOKUP(B443,Tableau13[ID_Antenne],Tableau13[Province_RDC],"Non répertoriées")</f>
        <v>Sankuru</v>
      </c>
      <c r="D443">
        <v>43</v>
      </c>
      <c r="E443" s="31" t="str">
        <f>_xlfn.XLOOKUP(B443,Tableau13[ID_Antenne],Tableau13[Technologie],"Non répertoriées")</f>
        <v>5G</v>
      </c>
      <c r="F443" s="3">
        <f>_xlfn.XLOOKUP(B443,Tableau13[ID_Antenne],Tableau13[Latitude],"Non répertoriées")</f>
        <v>-6.4883290000000002</v>
      </c>
      <c r="G443" s="32">
        <f>_xlfn.XLOOKUP(B443,Tableau13[ID_Antenne],Tableau13[Longitude],"Non répertoriées")</f>
        <v>25.103404000000001</v>
      </c>
      <c r="H443" t="s">
        <v>10</v>
      </c>
    </row>
    <row r="444" spans="1:8" x14ac:dyDescent="0.25">
      <c r="A444" s="1">
        <v>45209.53125</v>
      </c>
      <c r="B444" t="s">
        <v>361</v>
      </c>
      <c r="C444" s="29" t="str">
        <f>_xlfn.XLOOKUP(B444,Tableau13[ID_Antenne],Tableau13[Province_RDC],"Non répertoriées")</f>
        <v>Maniema</v>
      </c>
      <c r="D444">
        <v>63</v>
      </c>
      <c r="E444" s="31" t="str">
        <f>_xlfn.XLOOKUP(B444,Tableau13[ID_Antenne],Tableau13[Technologie],"Non répertoriées")</f>
        <v>4G</v>
      </c>
      <c r="F444" s="3">
        <f>_xlfn.XLOOKUP(B444,Tableau13[ID_Antenne],Tableau13[Latitude],"Non répertoriées")</f>
        <v>1.727095</v>
      </c>
      <c r="G444" s="32">
        <f>_xlfn.XLOOKUP(B444,Tableau13[ID_Antenne],Tableau13[Longitude],"Non répertoriées")</f>
        <v>22.099651999999999</v>
      </c>
      <c r="H444" t="s">
        <v>5</v>
      </c>
    </row>
    <row r="445" spans="1:8" x14ac:dyDescent="0.25">
      <c r="A445" s="1">
        <v>45223.647916666669</v>
      </c>
      <c r="B445" t="s">
        <v>362</v>
      </c>
      <c r="C445" t="str">
        <f>_xlfn.XLOOKUP(B445,Tableau13[ID_Antenne],Tableau13[Province_RDC],"Non répertoriées")</f>
        <v>Non répertoriées</v>
      </c>
      <c r="D445">
        <v>14</v>
      </c>
      <c r="E445" t="str">
        <f>_xlfn.XLOOKUP(B445,Tableau13[ID_Antenne],Tableau13[Technologie],"Non répertoriées")</f>
        <v>Non répertoriées</v>
      </c>
      <c r="F445" t="str">
        <f>_xlfn.XLOOKUP(B445,Tableau13[ID_Antenne],Tableau13[Latitude],"Non répertoriées")</f>
        <v>Non répertoriées</v>
      </c>
      <c r="G445" t="str">
        <f>_xlfn.XLOOKUP(B445,Tableau13[ID_Antenne],Tableau13[Longitude],"Non répertoriées")</f>
        <v>Non répertoriées</v>
      </c>
      <c r="H445" t="s">
        <v>10</v>
      </c>
    </row>
    <row r="446" spans="1:8" x14ac:dyDescent="0.25">
      <c r="A446" s="1">
        <v>45213.577777777777</v>
      </c>
      <c r="B446" t="s">
        <v>363</v>
      </c>
      <c r="C446" t="str">
        <f>_xlfn.XLOOKUP(B446,Tableau13[ID_Antenne],Tableau13[Province_RDC],"Non répertoriées")</f>
        <v>Non répertoriées</v>
      </c>
      <c r="D446">
        <v>93</v>
      </c>
      <c r="E446" t="str">
        <f>_xlfn.XLOOKUP(B446,Tableau13[ID_Antenne],Tableau13[Technologie],"Non répertoriées")</f>
        <v>Non répertoriées</v>
      </c>
      <c r="F446" t="str">
        <f>_xlfn.XLOOKUP(B446,Tableau13[ID_Antenne],Tableau13[Latitude],"Non répertoriées")</f>
        <v>Non répertoriées</v>
      </c>
      <c r="G446" t="str">
        <f>_xlfn.XLOOKUP(B446,Tableau13[ID_Antenne],Tableau13[Longitude],"Non répertoriées")</f>
        <v>Non répertoriées</v>
      </c>
      <c r="H446" t="s">
        <v>8</v>
      </c>
    </row>
    <row r="447" spans="1:8" x14ac:dyDescent="0.25">
      <c r="A447" s="1">
        <v>45218.088888888888</v>
      </c>
      <c r="B447" t="s">
        <v>342</v>
      </c>
      <c r="C447" s="29" t="str">
        <f>_xlfn.XLOOKUP(B447,Tableau13[ID_Antenne],Tableau13[Province_RDC],"Non répertoriées")</f>
        <v>Kinshasa</v>
      </c>
      <c r="D447">
        <v>12</v>
      </c>
      <c r="E447" s="31" t="str">
        <f>_xlfn.XLOOKUP(B447,Tableau13[ID_Antenne],Tableau13[Technologie],"Non répertoriées")</f>
        <v>5G</v>
      </c>
      <c r="F447" s="3">
        <f>_xlfn.XLOOKUP(B447,Tableau13[ID_Antenne],Tableau13[Latitude],"Non répertoriées")</f>
        <v>-11.389362</v>
      </c>
      <c r="G447" s="32">
        <f>_xlfn.XLOOKUP(B447,Tableau13[ID_Antenne],Tableau13[Longitude],"Non répertoriées")</f>
        <v>22.240174</v>
      </c>
      <c r="H447" t="s">
        <v>10</v>
      </c>
    </row>
    <row r="448" spans="1:8" x14ac:dyDescent="0.25">
      <c r="A448" s="1">
        <v>45210.836111111108</v>
      </c>
      <c r="B448" t="s">
        <v>364</v>
      </c>
      <c r="C448" t="str">
        <f>_xlfn.XLOOKUP(B448,Tableau13[ID_Antenne],Tableau13[Province_RDC],"Non répertoriées")</f>
        <v>Non répertoriées</v>
      </c>
      <c r="D448">
        <v>25</v>
      </c>
      <c r="E448" t="str">
        <f>_xlfn.XLOOKUP(B448,Tableau13[ID_Antenne],Tableau13[Technologie],"Non répertoriées")</f>
        <v>Non répertoriées</v>
      </c>
      <c r="F448" t="str">
        <f>_xlfn.XLOOKUP(B448,Tableau13[ID_Antenne],Tableau13[Latitude],"Non répertoriées")</f>
        <v>Non répertoriées</v>
      </c>
      <c r="G448" t="str">
        <f>_xlfn.XLOOKUP(B448,Tableau13[ID_Antenne],Tableau13[Longitude],"Non répertoriées")</f>
        <v>Non répertoriées</v>
      </c>
      <c r="H448" t="s">
        <v>10</v>
      </c>
    </row>
    <row r="449" spans="1:8" x14ac:dyDescent="0.25">
      <c r="A449" s="1">
        <v>45214.613194444442</v>
      </c>
      <c r="B449" t="s">
        <v>365</v>
      </c>
      <c r="C449" t="str">
        <f>_xlfn.XLOOKUP(B449,Tableau13[ID_Antenne],Tableau13[Province_RDC],"Non répertoriées")</f>
        <v>Non répertoriées</v>
      </c>
      <c r="D449">
        <v>61</v>
      </c>
      <c r="E449" t="str">
        <f>_xlfn.XLOOKUP(B449,Tableau13[ID_Antenne],Tableau13[Technologie],"Non répertoriées")</f>
        <v>Non répertoriées</v>
      </c>
      <c r="F449" t="str">
        <f>_xlfn.XLOOKUP(B449,Tableau13[ID_Antenne],Tableau13[Latitude],"Non répertoriées")</f>
        <v>Non répertoriées</v>
      </c>
      <c r="G449" t="str">
        <f>_xlfn.XLOOKUP(B449,Tableau13[ID_Antenne],Tableau13[Longitude],"Non répertoriées")</f>
        <v>Non répertoriées</v>
      </c>
      <c r="H449" t="s">
        <v>10</v>
      </c>
    </row>
    <row r="450" spans="1:8" x14ac:dyDescent="0.25">
      <c r="A450" s="1">
        <v>45216.463888888888</v>
      </c>
      <c r="B450" t="s">
        <v>318</v>
      </c>
      <c r="C450" s="29" t="str">
        <f>_xlfn.XLOOKUP(B450,Tableau13[ID_Antenne],Tableau13[Province_RDC],"Non répertoriées")</f>
        <v>Haut-Lomami</v>
      </c>
      <c r="D450">
        <v>58</v>
      </c>
      <c r="E450" s="31" t="str">
        <f>_xlfn.XLOOKUP(B450,Tableau13[ID_Antenne],Tableau13[Technologie],"Non répertoriées")</f>
        <v>4G</v>
      </c>
      <c r="F450" s="3">
        <f>_xlfn.XLOOKUP(B450,Tableau13[ID_Antenne],Tableau13[Latitude],"Non répertoriées")</f>
        <v>-7.1785899999999998</v>
      </c>
      <c r="G450" s="32">
        <f>_xlfn.XLOOKUP(B450,Tableau13[ID_Antenne],Tableau13[Longitude],"Non répertoriées")</f>
        <v>24.4404</v>
      </c>
      <c r="H450" t="s">
        <v>5</v>
      </c>
    </row>
    <row r="451" spans="1:8" x14ac:dyDescent="0.25">
      <c r="A451" s="1">
        <v>45228.736111111109</v>
      </c>
      <c r="B451" t="s">
        <v>366</v>
      </c>
      <c r="C451" s="29" t="str">
        <f>_xlfn.XLOOKUP(B451,Tableau13[ID_Antenne],Tableau13[Province_RDC],"Non répertoriées")</f>
        <v>Kasai-Oriental</v>
      </c>
      <c r="D451">
        <v>66</v>
      </c>
      <c r="E451" s="31" t="str">
        <f>_xlfn.XLOOKUP(B451,Tableau13[ID_Antenne],Tableau13[Technologie],"Non répertoriées")</f>
        <v>5G</v>
      </c>
      <c r="F451" s="3">
        <f>_xlfn.XLOOKUP(B451,Tableau13[ID_Antenne],Tableau13[Latitude],"Non répertoriées")</f>
        <v>-4.4831099999999999</v>
      </c>
      <c r="G451" s="32">
        <f>_xlfn.XLOOKUP(B451,Tableau13[ID_Antenne],Tableau13[Longitude],"Non répertoriées")</f>
        <v>25.406548000000001</v>
      </c>
      <c r="H451" t="s">
        <v>10</v>
      </c>
    </row>
    <row r="452" spans="1:8" x14ac:dyDescent="0.25">
      <c r="A452" s="1">
        <v>45218.242361111108</v>
      </c>
      <c r="B452" t="s">
        <v>208</v>
      </c>
      <c r="C452" t="str">
        <f>_xlfn.XLOOKUP(B452,Tableau13[ID_Antenne],Tableau13[Province_RDC],"Non répertoriées")</f>
        <v>Non répertoriées</v>
      </c>
      <c r="D452">
        <v>64</v>
      </c>
      <c r="E452" t="str">
        <f>_xlfn.XLOOKUP(B452,Tableau13[ID_Antenne],Tableau13[Technologie],"Non répertoriées")</f>
        <v>Non répertoriées</v>
      </c>
      <c r="F452" t="str">
        <f>_xlfn.XLOOKUP(B452,Tableau13[ID_Antenne],Tableau13[Latitude],"Non répertoriées")</f>
        <v>Non répertoriées</v>
      </c>
      <c r="G452" t="str">
        <f>_xlfn.XLOOKUP(B452,Tableau13[ID_Antenne],Tableau13[Longitude],"Non répertoriées")</f>
        <v>Non répertoriées</v>
      </c>
      <c r="H452" t="s">
        <v>5</v>
      </c>
    </row>
    <row r="453" spans="1:8" x14ac:dyDescent="0.25">
      <c r="A453" s="1">
        <v>45230.185416666667</v>
      </c>
      <c r="B453" t="s">
        <v>367</v>
      </c>
      <c r="C453" t="str">
        <f>_xlfn.XLOOKUP(B453,Tableau13[ID_Antenne],Tableau13[Province_RDC],"Non répertoriées")</f>
        <v>Non répertoriées</v>
      </c>
      <c r="D453">
        <v>31</v>
      </c>
      <c r="E453" t="str">
        <f>_xlfn.XLOOKUP(B453,Tableau13[ID_Antenne],Tableau13[Technologie],"Non répertoriées")</f>
        <v>Non répertoriées</v>
      </c>
      <c r="F453" t="str">
        <f>_xlfn.XLOOKUP(B453,Tableau13[ID_Antenne],Tableau13[Latitude],"Non répertoriées")</f>
        <v>Non répertoriées</v>
      </c>
      <c r="G453" t="str">
        <f>_xlfn.XLOOKUP(B453,Tableau13[ID_Antenne],Tableau13[Longitude],"Non répertoriées")</f>
        <v>Non répertoriées</v>
      </c>
      <c r="H453" t="s">
        <v>8</v>
      </c>
    </row>
    <row r="454" spans="1:8" x14ac:dyDescent="0.25">
      <c r="A454" s="1">
        <v>45216.078472222223</v>
      </c>
      <c r="B454" t="s">
        <v>368</v>
      </c>
      <c r="C454" s="29" t="str">
        <f>_xlfn.XLOOKUP(B454,Tableau13[ID_Antenne],Tableau13[Province_RDC],"Non répertoriées")</f>
        <v>Sud-Ubangi</v>
      </c>
      <c r="D454">
        <v>48</v>
      </c>
      <c r="E454" s="31" t="str">
        <f>_xlfn.XLOOKUP(B454,Tableau13[ID_Antenne],Tableau13[Technologie],"Non répertoriées")</f>
        <v>3G</v>
      </c>
      <c r="F454" s="3">
        <f>_xlfn.XLOOKUP(B454,Tableau13[ID_Antenne],Tableau13[Latitude],"Non répertoriées")</f>
        <v>-8.0864899999999995</v>
      </c>
      <c r="G454" s="32">
        <f>_xlfn.XLOOKUP(B454,Tableau13[ID_Antenne],Tableau13[Longitude],"Non répertoriées")</f>
        <v>14.555277</v>
      </c>
      <c r="H454" t="s">
        <v>8</v>
      </c>
    </row>
    <row r="455" spans="1:8" x14ac:dyDescent="0.25">
      <c r="A455" s="1">
        <v>45203.67291666667</v>
      </c>
      <c r="B455" t="s">
        <v>369</v>
      </c>
      <c r="C455" t="str">
        <f>_xlfn.XLOOKUP(B455,Tableau13[ID_Antenne],Tableau13[Province_RDC],"Non répertoriées")</f>
        <v>Non répertoriées</v>
      </c>
      <c r="D455">
        <v>82</v>
      </c>
      <c r="E455" t="str">
        <f>_xlfn.XLOOKUP(B455,Tableau13[ID_Antenne],Tableau13[Technologie],"Non répertoriées")</f>
        <v>Non répertoriées</v>
      </c>
      <c r="F455" t="str">
        <f>_xlfn.XLOOKUP(B455,Tableau13[ID_Antenne],Tableau13[Latitude],"Non répertoriées")</f>
        <v>Non répertoriées</v>
      </c>
      <c r="G455" t="str">
        <f>_xlfn.XLOOKUP(B455,Tableau13[ID_Antenne],Tableau13[Longitude],"Non répertoriées")</f>
        <v>Non répertoriées</v>
      </c>
      <c r="H455" t="s">
        <v>5</v>
      </c>
    </row>
    <row r="456" spans="1:8" x14ac:dyDescent="0.25">
      <c r="A456" s="1">
        <v>45209.215277777781</v>
      </c>
      <c r="B456" t="s">
        <v>342</v>
      </c>
      <c r="C456" s="29" t="str">
        <f>_xlfn.XLOOKUP(B456,Tableau13[ID_Antenne],Tableau13[Province_RDC],"Non répertoriées")</f>
        <v>Kinshasa</v>
      </c>
      <c r="D456">
        <v>23</v>
      </c>
      <c r="E456" s="31" t="str">
        <f>_xlfn.XLOOKUP(B456,Tableau13[ID_Antenne],Tableau13[Technologie],"Non répertoriées")</f>
        <v>5G</v>
      </c>
      <c r="F456" s="3">
        <f>_xlfn.XLOOKUP(B456,Tableau13[ID_Antenne],Tableau13[Latitude],"Non répertoriées")</f>
        <v>-11.389362</v>
      </c>
      <c r="G456" s="32">
        <f>_xlfn.XLOOKUP(B456,Tableau13[ID_Antenne],Tableau13[Longitude],"Non répertoriées")</f>
        <v>22.240174</v>
      </c>
      <c r="H456" t="s">
        <v>10</v>
      </c>
    </row>
    <row r="457" spans="1:8" x14ac:dyDescent="0.25">
      <c r="A457" s="1">
        <v>45210.926388888889</v>
      </c>
      <c r="B457" t="s">
        <v>192</v>
      </c>
      <c r="C457" s="29" t="str">
        <f>_xlfn.XLOOKUP(B457,Tableau13[ID_Antenne],Tableau13[Province_RDC],"Non répertoriées")</f>
        <v>Haut-Lomami</v>
      </c>
      <c r="D457">
        <v>45</v>
      </c>
      <c r="E457" s="31" t="str">
        <f>_xlfn.XLOOKUP(B457,Tableau13[ID_Antenne],Tableau13[Technologie],"Non répertoriées")</f>
        <v>4G</v>
      </c>
      <c r="F457" s="3">
        <f>_xlfn.XLOOKUP(B457,Tableau13[ID_Antenne],Tableau13[Latitude],"Non répertoriées")</f>
        <v>1.210869</v>
      </c>
      <c r="G457" s="32">
        <f>_xlfn.XLOOKUP(B457,Tableau13[ID_Antenne],Tableau13[Longitude],"Non répertoriées")</f>
        <v>25.598741</v>
      </c>
      <c r="H457" t="s">
        <v>8</v>
      </c>
    </row>
    <row r="458" spans="1:8" x14ac:dyDescent="0.25">
      <c r="A458" s="1">
        <v>45211.706250000003</v>
      </c>
      <c r="B458" t="s">
        <v>370</v>
      </c>
      <c r="C458" t="str">
        <f>_xlfn.XLOOKUP(B458,Tableau13[ID_Antenne],Tableau13[Province_RDC],"Non répertoriées")</f>
        <v>Non répertoriées</v>
      </c>
      <c r="D458">
        <v>115</v>
      </c>
      <c r="E458" t="str">
        <f>_xlfn.XLOOKUP(B458,Tableau13[ID_Antenne],Tableau13[Technologie],"Non répertoriées")</f>
        <v>Non répertoriées</v>
      </c>
      <c r="F458" t="str">
        <f>_xlfn.XLOOKUP(B458,Tableau13[ID_Antenne],Tableau13[Latitude],"Non répertoriées")</f>
        <v>Non répertoriées</v>
      </c>
      <c r="G458" t="str">
        <f>_xlfn.XLOOKUP(B458,Tableau13[ID_Antenne],Tableau13[Longitude],"Non répertoriées")</f>
        <v>Non répertoriées</v>
      </c>
      <c r="H458" t="s">
        <v>10</v>
      </c>
    </row>
    <row r="459" spans="1:8" x14ac:dyDescent="0.25">
      <c r="A459" s="1">
        <v>45209.094444444447</v>
      </c>
      <c r="B459" t="s">
        <v>371</v>
      </c>
      <c r="C459" t="str">
        <f>_xlfn.XLOOKUP(B459,Tableau13[ID_Antenne],Tableau13[Province_RDC],"Non répertoriées")</f>
        <v>Non répertoriées</v>
      </c>
      <c r="D459">
        <v>96</v>
      </c>
      <c r="E459" t="str">
        <f>_xlfn.XLOOKUP(B459,Tableau13[ID_Antenne],Tableau13[Technologie],"Non répertoriées")</f>
        <v>Non répertoriées</v>
      </c>
      <c r="F459" t="str">
        <f>_xlfn.XLOOKUP(B459,Tableau13[ID_Antenne],Tableau13[Latitude],"Non répertoriées")</f>
        <v>Non répertoriées</v>
      </c>
      <c r="G459" t="str">
        <f>_xlfn.XLOOKUP(B459,Tableau13[ID_Antenne],Tableau13[Longitude],"Non répertoriées")</f>
        <v>Non répertoriées</v>
      </c>
      <c r="H459" t="s">
        <v>5</v>
      </c>
    </row>
    <row r="460" spans="1:8" x14ac:dyDescent="0.25">
      <c r="A460" s="1">
        <v>45206.857638888891</v>
      </c>
      <c r="B460" t="s">
        <v>192</v>
      </c>
      <c r="C460" s="29" t="str">
        <f>_xlfn.XLOOKUP(B460,Tableau13[ID_Antenne],Tableau13[Province_RDC],"Non répertoriées")</f>
        <v>Haut-Lomami</v>
      </c>
      <c r="D460">
        <v>45</v>
      </c>
      <c r="E460" s="31" t="str">
        <f>_xlfn.XLOOKUP(B460,Tableau13[ID_Antenne],Tableau13[Technologie],"Non répertoriées")</f>
        <v>4G</v>
      </c>
      <c r="F460" s="3">
        <f>_xlfn.XLOOKUP(B460,Tableau13[ID_Antenne],Tableau13[Latitude],"Non répertoriées")</f>
        <v>1.210869</v>
      </c>
      <c r="G460" s="32">
        <f>_xlfn.XLOOKUP(B460,Tableau13[ID_Antenne],Tableau13[Longitude],"Non répertoriées")</f>
        <v>25.598741</v>
      </c>
      <c r="H460" t="s">
        <v>10</v>
      </c>
    </row>
    <row r="461" spans="1:8" x14ac:dyDescent="0.25">
      <c r="A461" s="1">
        <v>45208.194444444453</v>
      </c>
      <c r="B461" t="s">
        <v>372</v>
      </c>
      <c r="C461" t="str">
        <f>_xlfn.XLOOKUP(B461,Tableau13[ID_Antenne],Tableau13[Province_RDC],"Non répertoriées")</f>
        <v>Non répertoriées</v>
      </c>
      <c r="D461">
        <v>98</v>
      </c>
      <c r="E461" t="str">
        <f>_xlfn.XLOOKUP(B461,Tableau13[ID_Antenne],Tableau13[Technologie],"Non répertoriées")</f>
        <v>Non répertoriées</v>
      </c>
      <c r="F461" t="str">
        <f>_xlfn.XLOOKUP(B461,Tableau13[ID_Antenne],Tableau13[Latitude],"Non répertoriées")</f>
        <v>Non répertoriées</v>
      </c>
      <c r="G461" t="str">
        <f>_xlfn.XLOOKUP(B461,Tableau13[ID_Antenne],Tableau13[Longitude],"Non répertoriées")</f>
        <v>Non répertoriées</v>
      </c>
      <c r="H461" t="s">
        <v>8</v>
      </c>
    </row>
    <row r="462" spans="1:8" x14ac:dyDescent="0.25">
      <c r="A462" s="1">
        <v>45209.81527777778</v>
      </c>
      <c r="B462" t="s">
        <v>94</v>
      </c>
      <c r="C462" t="str">
        <f>_xlfn.XLOOKUP(B462,Tableau13[ID_Antenne],Tableau13[Province_RDC],"Non répertoriées")</f>
        <v>Non répertoriées</v>
      </c>
      <c r="D462">
        <v>115</v>
      </c>
      <c r="E462" t="str">
        <f>_xlfn.XLOOKUP(B462,Tableau13[ID_Antenne],Tableau13[Technologie],"Non répertoriées")</f>
        <v>Non répertoriées</v>
      </c>
      <c r="F462" t="str">
        <f>_xlfn.XLOOKUP(B462,Tableau13[ID_Antenne],Tableau13[Latitude],"Non répertoriées")</f>
        <v>Non répertoriées</v>
      </c>
      <c r="G462" t="str">
        <f>_xlfn.XLOOKUP(B462,Tableau13[ID_Antenne],Tableau13[Longitude],"Non répertoriées")</f>
        <v>Non répertoriées</v>
      </c>
      <c r="H462" t="s">
        <v>10</v>
      </c>
    </row>
    <row r="463" spans="1:8" x14ac:dyDescent="0.25">
      <c r="A463" s="1">
        <v>45202.695138888892</v>
      </c>
      <c r="B463" t="s">
        <v>373</v>
      </c>
      <c r="C463" t="str">
        <f>_xlfn.XLOOKUP(B463,Tableau13[ID_Antenne],Tableau13[Province_RDC],"Non répertoriées")</f>
        <v>Non répertoriées</v>
      </c>
      <c r="D463">
        <v>49</v>
      </c>
      <c r="E463" t="str">
        <f>_xlfn.XLOOKUP(B463,Tableau13[ID_Antenne],Tableau13[Technologie],"Non répertoriées")</f>
        <v>Non répertoriées</v>
      </c>
      <c r="F463" t="str">
        <f>_xlfn.XLOOKUP(B463,Tableau13[ID_Antenne],Tableau13[Latitude],"Non répertoriées")</f>
        <v>Non répertoriées</v>
      </c>
      <c r="G463" t="str">
        <f>_xlfn.XLOOKUP(B463,Tableau13[ID_Antenne],Tableau13[Longitude],"Non répertoriées")</f>
        <v>Non répertoriées</v>
      </c>
      <c r="H463" t="s">
        <v>8</v>
      </c>
    </row>
    <row r="464" spans="1:8" x14ac:dyDescent="0.25">
      <c r="A464" s="1">
        <v>45205.775694444441</v>
      </c>
      <c r="B464" t="s">
        <v>374</v>
      </c>
      <c r="C464" t="str">
        <f>_xlfn.XLOOKUP(B464,Tableau13[ID_Antenne],Tableau13[Province_RDC],"Non répertoriées")</f>
        <v>Non répertoriées</v>
      </c>
      <c r="D464">
        <v>56</v>
      </c>
      <c r="E464" t="str">
        <f>_xlfn.XLOOKUP(B464,Tableau13[ID_Antenne],Tableau13[Technologie],"Non répertoriées")</f>
        <v>Non répertoriées</v>
      </c>
      <c r="F464" t="str">
        <f>_xlfn.XLOOKUP(B464,Tableau13[ID_Antenne],Tableau13[Latitude],"Non répertoriées")</f>
        <v>Non répertoriées</v>
      </c>
      <c r="G464" t="str">
        <f>_xlfn.XLOOKUP(B464,Tableau13[ID_Antenne],Tableau13[Longitude],"Non répertoriées")</f>
        <v>Non répertoriées</v>
      </c>
      <c r="H464" t="s">
        <v>10</v>
      </c>
    </row>
    <row r="465" spans="1:8" x14ac:dyDescent="0.25">
      <c r="A465" s="1">
        <v>45204.237500000003</v>
      </c>
      <c r="B465" t="s">
        <v>224</v>
      </c>
      <c r="C465" s="29" t="str">
        <f>_xlfn.XLOOKUP(B465,Tableau13[ID_Antenne],Tableau13[Province_RDC],"Non répertoriées")</f>
        <v>Kongo-Central</v>
      </c>
      <c r="D465">
        <v>21</v>
      </c>
      <c r="E465" s="31" t="str">
        <f>_xlfn.XLOOKUP(B465,Tableau13[ID_Antenne],Tableau13[Technologie],"Non répertoriées")</f>
        <v>4G</v>
      </c>
      <c r="F465" s="3">
        <f>_xlfn.XLOOKUP(B465,Tableau13[ID_Antenne],Tableau13[Latitude],"Non répertoriées")</f>
        <v>2.975352</v>
      </c>
      <c r="G465" s="32">
        <f>_xlfn.XLOOKUP(B465,Tableau13[ID_Antenne],Tableau13[Longitude],"Non répertoriées")</f>
        <v>22.535886000000001</v>
      </c>
      <c r="H465" t="s">
        <v>8</v>
      </c>
    </row>
    <row r="466" spans="1:8" x14ac:dyDescent="0.25">
      <c r="A466" s="1">
        <v>45219.997916666667</v>
      </c>
      <c r="B466" t="s">
        <v>79</v>
      </c>
      <c r="C466" t="str">
        <f>_xlfn.XLOOKUP(B466,Tableau13[ID_Antenne],Tableau13[Province_RDC],"Non répertoriées")</f>
        <v>Non répertoriées</v>
      </c>
      <c r="D466">
        <v>102</v>
      </c>
      <c r="E466" t="str">
        <f>_xlfn.XLOOKUP(B466,Tableau13[ID_Antenne],Tableau13[Technologie],"Non répertoriées")</f>
        <v>Non répertoriées</v>
      </c>
      <c r="F466" t="str">
        <f>_xlfn.XLOOKUP(B466,Tableau13[ID_Antenne],Tableau13[Latitude],"Non répertoriées")</f>
        <v>Non répertoriées</v>
      </c>
      <c r="G466" t="str">
        <f>_xlfn.XLOOKUP(B466,Tableau13[ID_Antenne],Tableau13[Longitude],"Non répertoriées")</f>
        <v>Non répertoriées</v>
      </c>
      <c r="H466" t="s">
        <v>8</v>
      </c>
    </row>
    <row r="467" spans="1:8" x14ac:dyDescent="0.25">
      <c r="A467" s="1">
        <v>45219.453472222223</v>
      </c>
      <c r="B467" t="s">
        <v>375</v>
      </c>
      <c r="C467" t="str">
        <f>_xlfn.XLOOKUP(B467,Tableau13[ID_Antenne],Tableau13[Province_RDC],"Non répertoriées")</f>
        <v>Non répertoriées</v>
      </c>
      <c r="D467">
        <v>52</v>
      </c>
      <c r="E467" t="str">
        <f>_xlfn.XLOOKUP(B467,Tableau13[ID_Antenne],Tableau13[Technologie],"Non répertoriées")</f>
        <v>Non répertoriées</v>
      </c>
      <c r="F467" t="str">
        <f>_xlfn.XLOOKUP(B467,Tableau13[ID_Antenne],Tableau13[Latitude],"Non répertoriées")</f>
        <v>Non répertoriées</v>
      </c>
      <c r="G467" t="str">
        <f>_xlfn.XLOOKUP(B467,Tableau13[ID_Antenne],Tableau13[Longitude],"Non répertoriées")</f>
        <v>Non répertoriées</v>
      </c>
      <c r="H467" t="s">
        <v>8</v>
      </c>
    </row>
    <row r="468" spans="1:8" x14ac:dyDescent="0.25">
      <c r="A468" s="1">
        <v>45229.751388888893</v>
      </c>
      <c r="B468" t="s">
        <v>376</v>
      </c>
      <c r="C468" t="str">
        <f>_xlfn.XLOOKUP(B468,Tableau13[ID_Antenne],Tableau13[Province_RDC],"Non répertoriées")</f>
        <v>Non répertoriées</v>
      </c>
      <c r="D468">
        <v>70</v>
      </c>
      <c r="E468" t="str">
        <f>_xlfn.XLOOKUP(B468,Tableau13[ID_Antenne],Tableau13[Technologie],"Non répertoriées")</f>
        <v>Non répertoriées</v>
      </c>
      <c r="F468" t="str">
        <f>_xlfn.XLOOKUP(B468,Tableau13[ID_Antenne],Tableau13[Latitude],"Non répertoriées")</f>
        <v>Non répertoriées</v>
      </c>
      <c r="G468" t="str">
        <f>_xlfn.XLOOKUP(B468,Tableau13[ID_Antenne],Tableau13[Longitude],"Non répertoriées")</f>
        <v>Non répertoriées</v>
      </c>
      <c r="H468" t="s">
        <v>5</v>
      </c>
    </row>
    <row r="469" spans="1:8" x14ac:dyDescent="0.25">
      <c r="A469" s="1">
        <v>45226.003472222219</v>
      </c>
      <c r="B469" t="s">
        <v>377</v>
      </c>
      <c r="C469" t="str">
        <f>_xlfn.XLOOKUP(B469,Tableau13[ID_Antenne],Tableau13[Province_RDC],"Non répertoriées")</f>
        <v>Non répertoriées</v>
      </c>
      <c r="D469">
        <v>76</v>
      </c>
      <c r="E469" t="str">
        <f>_xlfn.XLOOKUP(B469,Tableau13[ID_Antenne],Tableau13[Technologie],"Non répertoriées")</f>
        <v>Non répertoriées</v>
      </c>
      <c r="F469" t="str">
        <f>_xlfn.XLOOKUP(B469,Tableau13[ID_Antenne],Tableau13[Latitude],"Non répertoriées")</f>
        <v>Non répertoriées</v>
      </c>
      <c r="G469" t="str">
        <f>_xlfn.XLOOKUP(B469,Tableau13[ID_Antenne],Tableau13[Longitude],"Non répertoriées")</f>
        <v>Non répertoriées</v>
      </c>
      <c r="H469" t="s">
        <v>5</v>
      </c>
    </row>
    <row r="470" spans="1:8" x14ac:dyDescent="0.25">
      <c r="A470" s="1">
        <v>45201.867361111108</v>
      </c>
      <c r="B470" t="s">
        <v>269</v>
      </c>
      <c r="C470" s="29" t="str">
        <f>_xlfn.XLOOKUP(B470,Tableau13[ID_Antenne],Tableau13[Province_RDC],"Non répertoriées")</f>
        <v>Kongo-Central</v>
      </c>
      <c r="D470">
        <v>18</v>
      </c>
      <c r="E470" s="31" t="str">
        <f>_xlfn.XLOOKUP(B470,Tableau13[ID_Antenne],Tableau13[Technologie],"Non répertoriées")</f>
        <v>4G</v>
      </c>
      <c r="F470" s="3">
        <f>_xlfn.XLOOKUP(B470,Tableau13[ID_Antenne],Tableau13[Latitude],"Non répertoriées")</f>
        <v>-12.112399999999999</v>
      </c>
      <c r="G470" s="32">
        <f>_xlfn.XLOOKUP(B470,Tableau13[ID_Antenne],Tableau13[Longitude],"Non répertoriées")</f>
        <v>15.872226</v>
      </c>
      <c r="H470" t="s">
        <v>5</v>
      </c>
    </row>
    <row r="471" spans="1:8" x14ac:dyDescent="0.25">
      <c r="A471" s="1">
        <v>45218.361805555563</v>
      </c>
      <c r="B471" t="s">
        <v>49</v>
      </c>
      <c r="C471" t="str">
        <f>_xlfn.XLOOKUP(B471,Tableau13[ID_Antenne],Tableau13[Province_RDC],"Non répertoriées")</f>
        <v>Non répertoriées</v>
      </c>
      <c r="D471">
        <v>45</v>
      </c>
      <c r="E471" t="str">
        <f>_xlfn.XLOOKUP(B471,Tableau13[ID_Antenne],Tableau13[Technologie],"Non répertoriées")</f>
        <v>Non répertoriées</v>
      </c>
      <c r="F471" t="str">
        <f>_xlfn.XLOOKUP(B471,Tableau13[ID_Antenne],Tableau13[Latitude],"Non répertoriées")</f>
        <v>Non répertoriées</v>
      </c>
      <c r="G471" t="str">
        <f>_xlfn.XLOOKUP(B471,Tableau13[ID_Antenne],Tableau13[Longitude],"Non répertoriées")</f>
        <v>Non répertoriées</v>
      </c>
      <c r="H471" t="s">
        <v>10</v>
      </c>
    </row>
    <row r="472" spans="1:8" x14ac:dyDescent="0.25">
      <c r="A472" s="1">
        <v>45206.768055555563</v>
      </c>
      <c r="B472" t="s">
        <v>378</v>
      </c>
      <c r="C472" t="str">
        <f>_xlfn.XLOOKUP(B472,Tableau13[ID_Antenne],Tableau13[Province_RDC],"Non répertoriées")</f>
        <v>Non répertoriées</v>
      </c>
      <c r="D472">
        <v>35</v>
      </c>
      <c r="E472" t="str">
        <f>_xlfn.XLOOKUP(B472,Tableau13[ID_Antenne],Tableau13[Technologie],"Non répertoriées")</f>
        <v>Non répertoriées</v>
      </c>
      <c r="F472" t="str">
        <f>_xlfn.XLOOKUP(B472,Tableau13[ID_Antenne],Tableau13[Latitude],"Non répertoriées")</f>
        <v>Non répertoriées</v>
      </c>
      <c r="G472" t="str">
        <f>_xlfn.XLOOKUP(B472,Tableau13[ID_Antenne],Tableau13[Longitude],"Non répertoriées")</f>
        <v>Non répertoriées</v>
      </c>
      <c r="H472" t="s">
        <v>10</v>
      </c>
    </row>
    <row r="473" spans="1:8" x14ac:dyDescent="0.25">
      <c r="A473" s="1">
        <v>45219.834027777782</v>
      </c>
      <c r="B473" t="s">
        <v>379</v>
      </c>
      <c r="C473" t="str">
        <f>_xlfn.XLOOKUP(B473,Tableau13[ID_Antenne],Tableau13[Province_RDC],"Non répertoriées")</f>
        <v>Non répertoriées</v>
      </c>
      <c r="D473">
        <v>64</v>
      </c>
      <c r="E473" t="str">
        <f>_xlfn.XLOOKUP(B473,Tableau13[ID_Antenne],Tableau13[Technologie],"Non répertoriées")</f>
        <v>Non répertoriées</v>
      </c>
      <c r="F473" t="str">
        <f>_xlfn.XLOOKUP(B473,Tableau13[ID_Antenne],Tableau13[Latitude],"Non répertoriées")</f>
        <v>Non répertoriées</v>
      </c>
      <c r="G473" t="str">
        <f>_xlfn.XLOOKUP(B473,Tableau13[ID_Antenne],Tableau13[Longitude],"Non répertoriées")</f>
        <v>Non répertoriées</v>
      </c>
      <c r="H473" t="s">
        <v>10</v>
      </c>
    </row>
    <row r="474" spans="1:8" x14ac:dyDescent="0.25">
      <c r="A474" s="1">
        <v>45201.043055555558</v>
      </c>
      <c r="B474" t="s">
        <v>354</v>
      </c>
      <c r="C474" t="str">
        <f>_xlfn.XLOOKUP(B474,Tableau13[ID_Antenne],Tableau13[Province_RDC],"Non répertoriées")</f>
        <v>Non répertoriées</v>
      </c>
      <c r="D474">
        <v>45</v>
      </c>
      <c r="E474" t="str">
        <f>_xlfn.XLOOKUP(B474,Tableau13[ID_Antenne],Tableau13[Technologie],"Non répertoriées")</f>
        <v>Non répertoriées</v>
      </c>
      <c r="F474" t="str">
        <f>_xlfn.XLOOKUP(B474,Tableau13[ID_Antenne],Tableau13[Latitude],"Non répertoriées")</f>
        <v>Non répertoriées</v>
      </c>
      <c r="G474" t="str">
        <f>_xlfn.XLOOKUP(B474,Tableau13[ID_Antenne],Tableau13[Longitude],"Non répertoriées")</f>
        <v>Non répertoriées</v>
      </c>
      <c r="H474" t="s">
        <v>8</v>
      </c>
    </row>
    <row r="475" spans="1:8" x14ac:dyDescent="0.25">
      <c r="A475" s="1">
        <v>45204.931250000001</v>
      </c>
      <c r="B475" t="s">
        <v>380</v>
      </c>
      <c r="C475" t="str">
        <f>_xlfn.XLOOKUP(B475,Tableau13[ID_Antenne],Tableau13[Province_RDC],"Non répertoriées")</f>
        <v>Non répertoriées</v>
      </c>
      <c r="D475">
        <v>66</v>
      </c>
      <c r="E475" t="str">
        <f>_xlfn.XLOOKUP(B475,Tableau13[ID_Antenne],Tableau13[Technologie],"Non répertoriées")</f>
        <v>Non répertoriées</v>
      </c>
      <c r="F475" t="str">
        <f>_xlfn.XLOOKUP(B475,Tableau13[ID_Antenne],Tableau13[Latitude],"Non répertoriées")</f>
        <v>Non répertoriées</v>
      </c>
      <c r="G475" t="str">
        <f>_xlfn.XLOOKUP(B475,Tableau13[ID_Antenne],Tableau13[Longitude],"Non répertoriées")</f>
        <v>Non répertoriées</v>
      </c>
      <c r="H475" t="s">
        <v>5</v>
      </c>
    </row>
    <row r="476" spans="1:8" x14ac:dyDescent="0.25">
      <c r="A476" s="1">
        <v>45225.647916666669</v>
      </c>
      <c r="B476" t="s">
        <v>381</v>
      </c>
      <c r="C476" t="str">
        <f>_xlfn.XLOOKUP(B476,Tableau13[ID_Antenne],Tableau13[Province_RDC],"Non répertoriées")</f>
        <v>Non répertoriées</v>
      </c>
      <c r="D476">
        <v>49</v>
      </c>
      <c r="E476" t="str">
        <f>_xlfn.XLOOKUP(B476,Tableau13[ID_Antenne],Tableau13[Technologie],"Non répertoriées")</f>
        <v>Non répertoriées</v>
      </c>
      <c r="F476" t="str">
        <f>_xlfn.XLOOKUP(B476,Tableau13[ID_Antenne],Tableau13[Latitude],"Non répertoriées")</f>
        <v>Non répertoriées</v>
      </c>
      <c r="G476" t="str">
        <f>_xlfn.XLOOKUP(B476,Tableau13[ID_Antenne],Tableau13[Longitude],"Non répertoriées")</f>
        <v>Non répertoriées</v>
      </c>
      <c r="H476" t="s">
        <v>5</v>
      </c>
    </row>
    <row r="477" spans="1:8" x14ac:dyDescent="0.25">
      <c r="A477" s="1">
        <v>45214.193055555559</v>
      </c>
      <c r="B477" t="s">
        <v>34</v>
      </c>
      <c r="C477" t="str">
        <f>_xlfn.XLOOKUP(B477,Tableau13[ID_Antenne],Tableau13[Province_RDC],"Non répertoriées")</f>
        <v>Non répertoriées</v>
      </c>
      <c r="D477">
        <v>76</v>
      </c>
      <c r="E477" t="str">
        <f>_xlfn.XLOOKUP(B477,Tableau13[ID_Antenne],Tableau13[Technologie],"Non répertoriées")</f>
        <v>Non répertoriées</v>
      </c>
      <c r="F477" t="str">
        <f>_xlfn.XLOOKUP(B477,Tableau13[ID_Antenne],Tableau13[Latitude],"Non répertoriées")</f>
        <v>Non répertoriées</v>
      </c>
      <c r="G477" t="str">
        <f>_xlfn.XLOOKUP(B477,Tableau13[ID_Antenne],Tableau13[Longitude],"Non répertoriées")</f>
        <v>Non répertoriées</v>
      </c>
      <c r="H477" t="s">
        <v>10</v>
      </c>
    </row>
    <row r="478" spans="1:8" x14ac:dyDescent="0.25">
      <c r="A478" s="1">
        <v>45228.672222222223</v>
      </c>
      <c r="B478" t="s">
        <v>382</v>
      </c>
      <c r="C478" s="29" t="str">
        <f>_xlfn.XLOOKUP(B478,Tableau13[ID_Antenne],Tableau13[Province_RDC],"Non répertoriées")</f>
        <v>Lualaba</v>
      </c>
      <c r="D478">
        <v>106</v>
      </c>
      <c r="E478" s="31" t="str">
        <f>_xlfn.XLOOKUP(B478,Tableau13[ID_Antenne],Tableau13[Technologie],"Non répertoriées")</f>
        <v>4G</v>
      </c>
      <c r="F478" s="3">
        <f>_xlfn.XLOOKUP(B478,Tableau13[ID_Antenne],Tableau13[Latitude],"Non répertoriées")</f>
        <v>2.0392079999999999</v>
      </c>
      <c r="G478" s="32">
        <f>_xlfn.XLOOKUP(B478,Tableau13[ID_Antenne],Tableau13[Longitude],"Non répertoriées")</f>
        <v>19.090841999999999</v>
      </c>
      <c r="H478" t="s">
        <v>5</v>
      </c>
    </row>
    <row r="479" spans="1:8" x14ac:dyDescent="0.25">
      <c r="A479" s="1">
        <v>45210.805555555547</v>
      </c>
      <c r="B479" t="s">
        <v>383</v>
      </c>
      <c r="C479" t="str">
        <f>_xlfn.XLOOKUP(B479,Tableau13[ID_Antenne],Tableau13[Province_RDC],"Non répertoriées")</f>
        <v>Non répertoriées</v>
      </c>
      <c r="D479">
        <v>97</v>
      </c>
      <c r="E479" t="str">
        <f>_xlfn.XLOOKUP(B479,Tableau13[ID_Antenne],Tableau13[Technologie],"Non répertoriées")</f>
        <v>Non répertoriées</v>
      </c>
      <c r="F479" t="str">
        <f>_xlfn.XLOOKUP(B479,Tableau13[ID_Antenne],Tableau13[Latitude],"Non répertoriées")</f>
        <v>Non répertoriées</v>
      </c>
      <c r="G479" t="str">
        <f>_xlfn.XLOOKUP(B479,Tableau13[ID_Antenne],Tableau13[Longitude],"Non répertoriées")</f>
        <v>Non répertoriées</v>
      </c>
      <c r="H479" t="s">
        <v>5</v>
      </c>
    </row>
    <row r="480" spans="1:8" x14ac:dyDescent="0.25">
      <c r="A480" s="1">
        <v>45205.527083333327</v>
      </c>
      <c r="B480" t="s">
        <v>384</v>
      </c>
      <c r="C480" s="29" t="str">
        <f>_xlfn.XLOOKUP(B480,Tableau13[ID_Antenne],Tableau13[Province_RDC],"Non répertoriées")</f>
        <v>Nord-Kivu</v>
      </c>
      <c r="D480">
        <v>40</v>
      </c>
      <c r="E480" s="31" t="str">
        <f>_xlfn.XLOOKUP(B480,Tableau13[ID_Antenne],Tableau13[Technologie],"Non répertoriées")</f>
        <v>5G</v>
      </c>
      <c r="F480" s="3">
        <f>_xlfn.XLOOKUP(B480,Tableau13[ID_Antenne],Tableau13[Latitude],"Non répertoriées")</f>
        <v>-5.42171</v>
      </c>
      <c r="G480" s="32">
        <f>_xlfn.XLOOKUP(B480,Tableau13[ID_Antenne],Tableau13[Longitude],"Non répertoriées")</f>
        <v>24.202960999999998</v>
      </c>
      <c r="H480" t="s">
        <v>10</v>
      </c>
    </row>
    <row r="481" spans="1:8" x14ac:dyDescent="0.25">
      <c r="A481" s="1">
        <v>45223.400694444441</v>
      </c>
      <c r="B481" t="s">
        <v>312</v>
      </c>
      <c r="C481" s="29" t="str">
        <f>_xlfn.XLOOKUP(B481,Tableau13[ID_Antenne],Tableau13[Province_RDC],"Non répertoriées")</f>
        <v>Mongala</v>
      </c>
      <c r="D481">
        <v>41</v>
      </c>
      <c r="E481" s="31" t="str">
        <f>_xlfn.XLOOKUP(B481,Tableau13[ID_Antenne],Tableau13[Technologie],"Non répertoriées")</f>
        <v>3G</v>
      </c>
      <c r="F481" s="3">
        <f>_xlfn.XLOOKUP(B481,Tableau13[ID_Antenne],Tableau13[Latitude],"Non répertoriées")</f>
        <v>-1.231033</v>
      </c>
      <c r="G481" s="32">
        <f>_xlfn.XLOOKUP(B481,Tableau13[ID_Antenne],Tableau13[Longitude],"Non répertoriées")</f>
        <v>28.851388</v>
      </c>
      <c r="H481" t="s">
        <v>10</v>
      </c>
    </row>
    <row r="482" spans="1:8" x14ac:dyDescent="0.25">
      <c r="A482" s="1">
        <v>45210.703472222223</v>
      </c>
      <c r="B482" t="s">
        <v>385</v>
      </c>
      <c r="C482" s="29" t="str">
        <f>_xlfn.XLOOKUP(B482,Tableau13[ID_Antenne],Tableau13[Province_RDC],"Non répertoriées")</f>
        <v>Equateur</v>
      </c>
      <c r="D482">
        <v>20</v>
      </c>
      <c r="E482" s="31" t="str">
        <f>_xlfn.XLOOKUP(B482,Tableau13[ID_Antenne],Tableau13[Technologie],"Non répertoriées")</f>
        <v>5G</v>
      </c>
      <c r="F482" s="3">
        <f>_xlfn.XLOOKUP(B482,Tableau13[ID_Antenne],Tableau13[Latitude],"Non répertoriées")</f>
        <v>-0.79459900000000006</v>
      </c>
      <c r="G482" s="32">
        <f>_xlfn.XLOOKUP(B482,Tableau13[ID_Antenne],Tableau13[Longitude],"Non répertoriées")</f>
        <v>26.775570999999999</v>
      </c>
      <c r="H482" t="s">
        <v>5</v>
      </c>
    </row>
    <row r="483" spans="1:8" x14ac:dyDescent="0.25">
      <c r="A483" s="1">
        <v>45216.729861111111</v>
      </c>
      <c r="B483" t="s">
        <v>185</v>
      </c>
      <c r="C483" s="29" t="str">
        <f>_xlfn.XLOOKUP(B483,Tableau13[ID_Antenne],Tableau13[Province_RDC],"Non répertoriées")</f>
        <v>Lualaba</v>
      </c>
      <c r="D483">
        <v>78</v>
      </c>
      <c r="E483" s="31" t="str">
        <f>_xlfn.XLOOKUP(B483,Tableau13[ID_Antenne],Tableau13[Technologie],"Non répertoriées")</f>
        <v>3G</v>
      </c>
      <c r="F483" s="3">
        <f>_xlfn.XLOOKUP(B483,Tableau13[ID_Antenne],Tableau13[Latitude],"Non répertoriées")</f>
        <v>-9.5243310000000001</v>
      </c>
      <c r="G483" s="32">
        <f>_xlfn.XLOOKUP(B483,Tableau13[ID_Antenne],Tableau13[Longitude],"Non répertoriées")</f>
        <v>30.541212000000002</v>
      </c>
      <c r="H483" t="s">
        <v>8</v>
      </c>
    </row>
    <row r="484" spans="1:8" x14ac:dyDescent="0.25">
      <c r="A484" s="1">
        <v>45222.763194444437</v>
      </c>
      <c r="B484" t="s">
        <v>171</v>
      </c>
      <c r="C484" s="29" t="str">
        <f>_xlfn.XLOOKUP(B484,Tableau13[ID_Antenne],Tableau13[Province_RDC],"Non répertoriées")</f>
        <v>Bas-Uele</v>
      </c>
      <c r="D484">
        <v>91</v>
      </c>
      <c r="E484" s="31" t="str">
        <f>_xlfn.XLOOKUP(B484,Tableau13[ID_Antenne],Tableau13[Technologie],"Non répertoriées")</f>
        <v>5G</v>
      </c>
      <c r="F484" s="3">
        <f>_xlfn.XLOOKUP(B484,Tableau13[ID_Antenne],Tableau13[Latitude],"Non répertoriées")</f>
        <v>-3.6945459999999999</v>
      </c>
      <c r="G484" s="32">
        <f>_xlfn.XLOOKUP(B484,Tableau13[ID_Antenne],Tableau13[Longitude],"Non répertoriées")</f>
        <v>16.809108999999999</v>
      </c>
      <c r="H484" t="s">
        <v>10</v>
      </c>
    </row>
    <row r="485" spans="1:8" x14ac:dyDescent="0.25">
      <c r="A485" s="1">
        <v>45215.015972222223</v>
      </c>
      <c r="B485" t="s">
        <v>386</v>
      </c>
      <c r="C485" s="29" t="str">
        <f>_xlfn.XLOOKUP(B485,Tableau13[ID_Antenne],Tableau13[Province_RDC],"Non répertoriées")</f>
        <v>Kasai-Central</v>
      </c>
      <c r="D485">
        <v>74</v>
      </c>
      <c r="E485" s="31" t="str">
        <f>_xlfn.XLOOKUP(B485,Tableau13[ID_Antenne],Tableau13[Technologie],"Non répertoriées")</f>
        <v>4G</v>
      </c>
      <c r="F485" s="3">
        <f>_xlfn.XLOOKUP(B485,Tableau13[ID_Antenne],Tableau13[Latitude],"Non répertoriées")</f>
        <v>-5.8352820000000003</v>
      </c>
      <c r="G485" s="32">
        <f>_xlfn.XLOOKUP(B485,Tableau13[ID_Antenne],Tableau13[Longitude],"Non répertoriées")</f>
        <v>26.603978000000001</v>
      </c>
      <c r="H485" t="s">
        <v>5</v>
      </c>
    </row>
    <row r="486" spans="1:8" x14ac:dyDescent="0.25">
      <c r="A486" s="1">
        <v>45210.879861111112</v>
      </c>
      <c r="B486" t="s">
        <v>387</v>
      </c>
      <c r="C486" s="29" t="str">
        <f>_xlfn.XLOOKUP(B486,Tableau13[ID_Antenne],Tableau13[Province_RDC],"Non répertoriées")</f>
        <v>Lomami</v>
      </c>
      <c r="D486">
        <v>53</v>
      </c>
      <c r="E486" s="31" t="str">
        <f>_xlfn.XLOOKUP(B486,Tableau13[ID_Antenne],Tableau13[Technologie],"Non répertoriées")</f>
        <v>4G</v>
      </c>
      <c r="F486" s="3">
        <f>_xlfn.XLOOKUP(B486,Tableau13[ID_Antenne],Tableau13[Latitude],"Non répertoriées")</f>
        <v>-7.8770429999999996</v>
      </c>
      <c r="G486" s="32">
        <f>_xlfn.XLOOKUP(B486,Tableau13[ID_Antenne],Tableau13[Longitude],"Non répertoriées")</f>
        <v>16.357762999999998</v>
      </c>
      <c r="H486" t="s">
        <v>5</v>
      </c>
    </row>
    <row r="487" spans="1:8" x14ac:dyDescent="0.25">
      <c r="A487" s="1">
        <v>45213.763194444437</v>
      </c>
      <c r="B487" t="s">
        <v>385</v>
      </c>
      <c r="C487" s="29" t="str">
        <f>_xlfn.XLOOKUP(B487,Tableau13[ID_Antenne],Tableau13[Province_RDC],"Non répertoriées")</f>
        <v>Equateur</v>
      </c>
      <c r="D487">
        <v>119</v>
      </c>
      <c r="E487" s="31" t="str">
        <f>_xlfn.XLOOKUP(B487,Tableau13[ID_Antenne],Tableau13[Technologie],"Non répertoriées")</f>
        <v>5G</v>
      </c>
      <c r="F487" s="3">
        <f>_xlfn.XLOOKUP(B487,Tableau13[ID_Antenne],Tableau13[Latitude],"Non répertoriées")</f>
        <v>-0.79459900000000006</v>
      </c>
      <c r="G487" s="32">
        <f>_xlfn.XLOOKUP(B487,Tableau13[ID_Antenne],Tableau13[Longitude],"Non répertoriées")</f>
        <v>26.775570999999999</v>
      </c>
      <c r="H487" t="s">
        <v>10</v>
      </c>
    </row>
    <row r="488" spans="1:8" x14ac:dyDescent="0.25">
      <c r="A488" s="1">
        <v>45225.996527777781</v>
      </c>
      <c r="B488" t="s">
        <v>210</v>
      </c>
      <c r="C488" t="str">
        <f>_xlfn.XLOOKUP(B488,Tableau13[ID_Antenne],Tableau13[Province_RDC],"Non répertoriées")</f>
        <v>Non répertoriées</v>
      </c>
      <c r="D488">
        <v>55</v>
      </c>
      <c r="E488" t="str">
        <f>_xlfn.XLOOKUP(B488,Tableau13[ID_Antenne],Tableau13[Technologie],"Non répertoriées")</f>
        <v>Non répertoriées</v>
      </c>
      <c r="F488" t="str">
        <f>_xlfn.XLOOKUP(B488,Tableau13[ID_Antenne],Tableau13[Latitude],"Non répertoriées")</f>
        <v>Non répertoriées</v>
      </c>
      <c r="G488" t="str">
        <f>_xlfn.XLOOKUP(B488,Tableau13[ID_Antenne],Tableau13[Longitude],"Non répertoriées")</f>
        <v>Non répertoriées</v>
      </c>
      <c r="H488" t="s">
        <v>8</v>
      </c>
    </row>
    <row r="489" spans="1:8" x14ac:dyDescent="0.25">
      <c r="A489" s="1">
        <v>45222.834027777782</v>
      </c>
      <c r="B489" t="s">
        <v>67</v>
      </c>
      <c r="C489" s="29" t="str">
        <f>_xlfn.XLOOKUP(B489,Tableau13[ID_Antenne],Tableau13[Province_RDC],"Non répertoriées")</f>
        <v>Haut-Katanga</v>
      </c>
      <c r="D489">
        <v>109</v>
      </c>
      <c r="E489" s="31" t="str">
        <f>_xlfn.XLOOKUP(B489,Tableau13[ID_Antenne],Tableau13[Technologie],"Non répertoriées")</f>
        <v>5G</v>
      </c>
      <c r="F489" s="3">
        <f>_xlfn.XLOOKUP(B489,Tableau13[ID_Antenne],Tableau13[Latitude],"Non répertoriées")</f>
        <v>-2.9417719999999998</v>
      </c>
      <c r="G489" s="32">
        <f>_xlfn.XLOOKUP(B489,Tableau13[ID_Antenne],Tableau13[Longitude],"Non répertoriées")</f>
        <v>18.587305000000001</v>
      </c>
      <c r="H489" t="s">
        <v>8</v>
      </c>
    </row>
    <row r="490" spans="1:8" x14ac:dyDescent="0.25">
      <c r="A490" s="1">
        <v>45219.636111111111</v>
      </c>
      <c r="B490" t="s">
        <v>212</v>
      </c>
      <c r="C490" t="str">
        <f>_xlfn.XLOOKUP(B490,Tableau13[ID_Antenne],Tableau13[Province_RDC],"Non répertoriées")</f>
        <v>Non répertoriées</v>
      </c>
      <c r="D490">
        <v>49</v>
      </c>
      <c r="E490" t="str">
        <f>_xlfn.XLOOKUP(B490,Tableau13[ID_Antenne],Tableau13[Technologie],"Non répertoriées")</f>
        <v>Non répertoriées</v>
      </c>
      <c r="F490" t="str">
        <f>_xlfn.XLOOKUP(B490,Tableau13[ID_Antenne],Tableau13[Latitude],"Non répertoriées")</f>
        <v>Non répertoriées</v>
      </c>
      <c r="G490" t="str">
        <f>_xlfn.XLOOKUP(B490,Tableau13[ID_Antenne],Tableau13[Longitude],"Non répertoriées")</f>
        <v>Non répertoriées</v>
      </c>
      <c r="H490" t="s">
        <v>5</v>
      </c>
    </row>
    <row r="491" spans="1:8" x14ac:dyDescent="0.25">
      <c r="A491" s="1">
        <v>45230.868055555547</v>
      </c>
      <c r="B491" t="s">
        <v>388</v>
      </c>
      <c r="C491" s="29" t="str">
        <f>_xlfn.XLOOKUP(B491,Tableau13[ID_Antenne],Tableau13[Province_RDC],"Non répertoriées")</f>
        <v>Bas-Uele</v>
      </c>
      <c r="D491">
        <v>103</v>
      </c>
      <c r="E491" s="31" t="str">
        <f>_xlfn.XLOOKUP(B491,Tableau13[ID_Antenne],Tableau13[Technologie],"Non répertoriées")</f>
        <v>5G</v>
      </c>
      <c r="F491" s="3">
        <f>_xlfn.XLOOKUP(B491,Tableau13[ID_Antenne],Tableau13[Latitude],"Non répertoriées")</f>
        <v>-2.8532869999999999</v>
      </c>
      <c r="G491" s="32">
        <f>_xlfn.XLOOKUP(B491,Tableau13[ID_Antenne],Tableau13[Longitude],"Non répertoriées")</f>
        <v>22.117896000000002</v>
      </c>
      <c r="H491" t="s">
        <v>10</v>
      </c>
    </row>
    <row r="492" spans="1:8" x14ac:dyDescent="0.25">
      <c r="A492" s="1">
        <v>45224.775000000001</v>
      </c>
      <c r="B492" t="s">
        <v>389</v>
      </c>
      <c r="C492" s="29" t="str">
        <f>_xlfn.XLOOKUP(B492,Tableau13[ID_Antenne],Tableau13[Province_RDC],"Non répertoriées")</f>
        <v>Equateur</v>
      </c>
      <c r="D492">
        <v>107</v>
      </c>
      <c r="E492" s="31" t="str">
        <f>_xlfn.XLOOKUP(B492,Tableau13[ID_Antenne],Tableau13[Technologie],"Non répertoriées")</f>
        <v>5G</v>
      </c>
      <c r="F492" s="3">
        <f>_xlfn.XLOOKUP(B492,Tableau13[ID_Antenne],Tableau13[Latitude],"Non répertoriées")</f>
        <v>-5.7200150000000001</v>
      </c>
      <c r="G492" s="32">
        <f>_xlfn.XLOOKUP(B492,Tableau13[ID_Antenne],Tableau13[Longitude],"Non répertoriées")</f>
        <v>25.022109</v>
      </c>
      <c r="H492" t="s">
        <v>10</v>
      </c>
    </row>
    <row r="493" spans="1:8" x14ac:dyDescent="0.25">
      <c r="A493" s="1">
        <v>45207.960416666669</v>
      </c>
      <c r="B493" t="s">
        <v>170</v>
      </c>
      <c r="C493" s="29" t="str">
        <f>_xlfn.XLOOKUP(B493,Tableau13[ID_Antenne],Tableau13[Province_RDC],"Non répertoriées")</f>
        <v>Nord-Kivu</v>
      </c>
      <c r="D493">
        <v>23</v>
      </c>
      <c r="E493" s="31" t="str">
        <f>_xlfn.XLOOKUP(B493,Tableau13[ID_Antenne],Tableau13[Technologie],"Non répertoriées")</f>
        <v>5G</v>
      </c>
      <c r="F493" s="3">
        <f>_xlfn.XLOOKUP(B493,Tableau13[ID_Antenne],Tableau13[Latitude],"Non répertoriées")</f>
        <v>-12.336202</v>
      </c>
      <c r="G493" s="32">
        <f>_xlfn.XLOOKUP(B493,Tableau13[ID_Antenne],Tableau13[Longitude],"Non répertoriées")</f>
        <v>13.693683999999999</v>
      </c>
      <c r="H493" t="s">
        <v>10</v>
      </c>
    </row>
    <row r="494" spans="1:8" x14ac:dyDescent="0.25">
      <c r="A494" s="1">
        <v>45218.631944444453</v>
      </c>
      <c r="B494" t="s">
        <v>42</v>
      </c>
      <c r="C494" s="29" t="str">
        <f>_xlfn.XLOOKUP(B494,Tableau13[ID_Antenne],Tableau13[Province_RDC],"Non répertoriées")</f>
        <v>Kwilu</v>
      </c>
      <c r="D494">
        <v>42</v>
      </c>
      <c r="E494" s="31" t="str">
        <f>_xlfn.XLOOKUP(B494,Tableau13[ID_Antenne],Tableau13[Technologie],"Non répertoriées")</f>
        <v>4G</v>
      </c>
      <c r="F494" s="3">
        <f>_xlfn.XLOOKUP(B494,Tableau13[ID_Antenne],Tableau13[Latitude],"Non répertoriées")</f>
        <v>-0.77432100000000004</v>
      </c>
      <c r="G494" s="32">
        <f>_xlfn.XLOOKUP(B494,Tableau13[ID_Antenne],Tableau13[Longitude],"Non répertoriées")</f>
        <v>18.628658999999999</v>
      </c>
      <c r="H494" t="s">
        <v>8</v>
      </c>
    </row>
    <row r="495" spans="1:8" x14ac:dyDescent="0.25">
      <c r="A495" s="1">
        <v>45216.865277777782</v>
      </c>
      <c r="B495" t="s">
        <v>390</v>
      </c>
      <c r="C495" s="29" t="str">
        <f>_xlfn.XLOOKUP(B495,Tableau13[ID_Antenne],Tableau13[Province_RDC],"Non répertoriées")</f>
        <v>Kasai-Oriental</v>
      </c>
      <c r="D495">
        <v>10</v>
      </c>
      <c r="E495" s="31" t="str">
        <f>_xlfn.XLOOKUP(B495,Tableau13[ID_Antenne],Tableau13[Technologie],"Non répertoriées")</f>
        <v>4G</v>
      </c>
      <c r="F495" s="3">
        <f>_xlfn.XLOOKUP(B495,Tableau13[ID_Antenne],Tableau13[Latitude],"Non répertoriées")</f>
        <v>-1.648326</v>
      </c>
      <c r="G495" s="32">
        <f>_xlfn.XLOOKUP(B495,Tableau13[ID_Antenne],Tableau13[Longitude],"Non répertoriées")</f>
        <v>25.528901999999999</v>
      </c>
      <c r="H495" t="s">
        <v>8</v>
      </c>
    </row>
    <row r="496" spans="1:8" x14ac:dyDescent="0.25">
      <c r="A496" s="1">
        <v>45219.506249999999</v>
      </c>
      <c r="B496" t="s">
        <v>145</v>
      </c>
      <c r="C496" s="29" t="str">
        <f>_xlfn.XLOOKUP(B496,Tableau13[ID_Antenne],Tableau13[Province_RDC],"Non répertoriées")</f>
        <v>Tshuapa</v>
      </c>
      <c r="D496">
        <v>41</v>
      </c>
      <c r="E496" s="31" t="str">
        <f>_xlfn.XLOOKUP(B496,Tableau13[ID_Antenne],Tableau13[Technologie],"Non répertoriées")</f>
        <v>5G</v>
      </c>
      <c r="F496" s="3">
        <f>_xlfn.XLOOKUP(B496,Tableau13[ID_Antenne],Tableau13[Latitude],"Non répertoriées")</f>
        <v>-2.3677800000000002</v>
      </c>
      <c r="G496" s="32">
        <f>_xlfn.XLOOKUP(B496,Tableau13[ID_Antenne],Tableau13[Longitude],"Non répertoriées")</f>
        <v>18.790323999999998</v>
      </c>
      <c r="H496" t="s">
        <v>8</v>
      </c>
    </row>
    <row r="497" spans="1:8" x14ac:dyDescent="0.25">
      <c r="A497" s="1">
        <v>45226.885416666657</v>
      </c>
      <c r="B497" t="s">
        <v>391</v>
      </c>
      <c r="C497" t="str">
        <f>_xlfn.XLOOKUP(B497,Tableau13[ID_Antenne],Tableau13[Province_RDC],"Non répertoriées")</f>
        <v>Non répertoriées</v>
      </c>
      <c r="D497">
        <v>96</v>
      </c>
      <c r="E497" t="str">
        <f>_xlfn.XLOOKUP(B497,Tableau13[ID_Antenne],Tableau13[Technologie],"Non répertoriées")</f>
        <v>Non répertoriées</v>
      </c>
      <c r="F497" t="str">
        <f>_xlfn.XLOOKUP(B497,Tableau13[ID_Antenne],Tableau13[Latitude],"Non répertoriées")</f>
        <v>Non répertoriées</v>
      </c>
      <c r="G497" t="str">
        <f>_xlfn.XLOOKUP(B497,Tableau13[ID_Antenne],Tableau13[Longitude],"Non répertoriées")</f>
        <v>Non répertoriées</v>
      </c>
      <c r="H497" t="s">
        <v>10</v>
      </c>
    </row>
    <row r="498" spans="1:8" x14ac:dyDescent="0.25">
      <c r="A498" s="1">
        <v>45201.780555555553</v>
      </c>
      <c r="B498" t="s">
        <v>392</v>
      </c>
      <c r="C498" t="str">
        <f>_xlfn.XLOOKUP(B498,Tableau13[ID_Antenne],Tableau13[Province_RDC],"Non répertoriées")</f>
        <v>Non répertoriées</v>
      </c>
      <c r="D498">
        <v>15</v>
      </c>
      <c r="E498" t="str">
        <f>_xlfn.XLOOKUP(B498,Tableau13[ID_Antenne],Tableau13[Technologie],"Non répertoriées")</f>
        <v>Non répertoriées</v>
      </c>
      <c r="F498" t="str">
        <f>_xlfn.XLOOKUP(B498,Tableau13[ID_Antenne],Tableau13[Latitude],"Non répertoriées")</f>
        <v>Non répertoriées</v>
      </c>
      <c r="G498" t="str">
        <f>_xlfn.XLOOKUP(B498,Tableau13[ID_Antenne],Tableau13[Longitude],"Non répertoriées")</f>
        <v>Non répertoriées</v>
      </c>
      <c r="H498" t="s">
        <v>5</v>
      </c>
    </row>
    <row r="499" spans="1:8" x14ac:dyDescent="0.25">
      <c r="A499" s="1">
        <v>45203.250694444447</v>
      </c>
      <c r="B499" t="s">
        <v>133</v>
      </c>
      <c r="C499" s="29" t="str">
        <f>_xlfn.XLOOKUP(B499,Tableau13[ID_Antenne],Tableau13[Province_RDC],"Non répertoriées")</f>
        <v>Kasai-Central</v>
      </c>
      <c r="D499">
        <v>49</v>
      </c>
      <c r="E499" s="31" t="str">
        <f>_xlfn.XLOOKUP(B499,Tableau13[ID_Antenne],Tableau13[Technologie],"Non répertoriées")</f>
        <v>3G</v>
      </c>
      <c r="F499" s="3">
        <f>_xlfn.XLOOKUP(B499,Tableau13[ID_Antenne],Tableau13[Latitude],"Non répertoriées")</f>
        <v>-10.414493</v>
      </c>
      <c r="G499" s="32">
        <f>_xlfn.XLOOKUP(B499,Tableau13[ID_Antenne],Tableau13[Longitude],"Non répertoriées")</f>
        <v>12.333356999999999</v>
      </c>
      <c r="H499" t="s">
        <v>8</v>
      </c>
    </row>
    <row r="500" spans="1:8" x14ac:dyDescent="0.25">
      <c r="A500" s="1">
        <v>45214.43472222222</v>
      </c>
      <c r="B500" t="s">
        <v>44</v>
      </c>
      <c r="C500" s="29" t="str">
        <f>_xlfn.XLOOKUP(B500,Tableau13[ID_Antenne],Tableau13[Province_RDC],"Non répertoriées")</f>
        <v>Tanganyika</v>
      </c>
      <c r="D500">
        <v>61</v>
      </c>
      <c r="E500" s="31" t="str">
        <f>_xlfn.XLOOKUP(B500,Tableau13[ID_Antenne],Tableau13[Technologie],"Non répertoriées")</f>
        <v>4G</v>
      </c>
      <c r="F500" s="3">
        <f>_xlfn.XLOOKUP(B500,Tableau13[ID_Antenne],Tableau13[Latitude],"Non répertoriées")</f>
        <v>-10.776204</v>
      </c>
      <c r="G500" s="32">
        <f>_xlfn.XLOOKUP(B500,Tableau13[ID_Antenne],Tableau13[Longitude],"Non répertoriées")</f>
        <v>24.672934000000001</v>
      </c>
      <c r="H500" t="s">
        <v>10</v>
      </c>
    </row>
    <row r="501" spans="1:8" x14ac:dyDescent="0.25">
      <c r="A501" s="1">
        <v>45204.572222222218</v>
      </c>
      <c r="B501" t="s">
        <v>148</v>
      </c>
      <c r="C501" s="29" t="str">
        <f>_xlfn.XLOOKUP(B501,Tableau13[ID_Antenne],Tableau13[Province_RDC],"Non répertoriées")</f>
        <v>Kasai-Central</v>
      </c>
      <c r="D501">
        <v>88</v>
      </c>
      <c r="E501" s="31" t="str">
        <f>_xlfn.XLOOKUP(B501,Tableau13[ID_Antenne],Tableau13[Technologie],"Non répertoriées")</f>
        <v>4G</v>
      </c>
      <c r="F501" s="3">
        <f>_xlfn.XLOOKUP(B501,Tableau13[ID_Antenne],Tableau13[Latitude],"Non répertoriées")</f>
        <v>-3.111418</v>
      </c>
      <c r="G501" s="32">
        <f>_xlfn.XLOOKUP(B501,Tableau13[ID_Antenne],Tableau13[Longitude],"Non répertoriées")</f>
        <v>14.144854</v>
      </c>
      <c r="H501" t="s">
        <v>10</v>
      </c>
    </row>
    <row r="502" spans="1:8" x14ac:dyDescent="0.25">
      <c r="A502" s="1">
        <v>45206.563888888893</v>
      </c>
      <c r="B502" t="s">
        <v>393</v>
      </c>
      <c r="C502" s="29" t="str">
        <f>_xlfn.XLOOKUP(B502,Tableau13[ID_Antenne],Tableau13[Province_RDC],"Non répertoriées")</f>
        <v>Haut-Uele</v>
      </c>
      <c r="D502">
        <v>37</v>
      </c>
      <c r="E502" s="31" t="str">
        <f>_xlfn.XLOOKUP(B502,Tableau13[ID_Antenne],Tableau13[Technologie],"Non répertoriées")</f>
        <v>4G</v>
      </c>
      <c r="F502" s="3">
        <f>_xlfn.XLOOKUP(B502,Tableau13[ID_Antenne],Tableau13[Latitude],"Non répertoriées")</f>
        <v>0.20866199999999999</v>
      </c>
      <c r="G502" s="32">
        <f>_xlfn.XLOOKUP(B502,Tableau13[ID_Antenne],Tableau13[Longitude],"Non répertoriées")</f>
        <v>18.556439000000001</v>
      </c>
      <c r="H502" t="s">
        <v>5</v>
      </c>
    </row>
    <row r="503" spans="1:8" x14ac:dyDescent="0.25">
      <c r="A503" s="1">
        <v>45224.831944444442</v>
      </c>
      <c r="B503" t="s">
        <v>394</v>
      </c>
      <c r="C503" t="str">
        <f>_xlfn.XLOOKUP(B503,Tableau13[ID_Antenne],Tableau13[Province_RDC],"Non répertoriées")</f>
        <v>Non répertoriées</v>
      </c>
      <c r="D503">
        <v>100</v>
      </c>
      <c r="E503" t="str">
        <f>_xlfn.XLOOKUP(B503,Tableau13[ID_Antenne],Tableau13[Technologie],"Non répertoriées")</f>
        <v>Non répertoriées</v>
      </c>
      <c r="F503" t="str">
        <f>_xlfn.XLOOKUP(B503,Tableau13[ID_Antenne],Tableau13[Latitude],"Non répertoriées")</f>
        <v>Non répertoriées</v>
      </c>
      <c r="G503" t="str">
        <f>_xlfn.XLOOKUP(B503,Tableau13[ID_Antenne],Tableau13[Longitude],"Non répertoriées")</f>
        <v>Non répertoriées</v>
      </c>
      <c r="H503" t="s">
        <v>5</v>
      </c>
    </row>
    <row r="504" spans="1:8" x14ac:dyDescent="0.25">
      <c r="A504" s="1">
        <v>45215.990277777782</v>
      </c>
      <c r="B504" t="s">
        <v>308</v>
      </c>
      <c r="C504" s="29" t="str">
        <f>_xlfn.XLOOKUP(B504,Tableau13[ID_Antenne],Tableau13[Province_RDC],"Non répertoriées")</f>
        <v>Sankuru</v>
      </c>
      <c r="D504">
        <v>66</v>
      </c>
      <c r="E504" s="31" t="str">
        <f>_xlfn.XLOOKUP(B504,Tableau13[ID_Antenne],Tableau13[Technologie],"Non répertoriées")</f>
        <v>4G</v>
      </c>
      <c r="F504" s="3">
        <f>_xlfn.XLOOKUP(B504,Tableau13[ID_Antenne],Tableau13[Latitude],"Non répertoriées")</f>
        <v>-1.4110389999999999</v>
      </c>
      <c r="G504" s="32">
        <f>_xlfn.XLOOKUP(B504,Tableau13[ID_Antenne],Tableau13[Longitude],"Non répertoriées")</f>
        <v>21.261644</v>
      </c>
      <c r="H504" t="s">
        <v>10</v>
      </c>
    </row>
    <row r="505" spans="1:8" x14ac:dyDescent="0.25">
      <c r="A505" s="1">
        <v>45201.922222222223</v>
      </c>
      <c r="B505" t="s">
        <v>191</v>
      </c>
      <c r="C505" s="29" t="str">
        <f>_xlfn.XLOOKUP(B505,Tableau13[ID_Antenne],Tableau13[Province_RDC],"Non répertoriées")</f>
        <v>Bas-Uele</v>
      </c>
      <c r="D505">
        <v>32</v>
      </c>
      <c r="E505" s="31" t="str">
        <f>_xlfn.XLOOKUP(B505,Tableau13[ID_Antenne],Tableau13[Technologie],"Non répertoriées")</f>
        <v>3G</v>
      </c>
      <c r="F505" s="3">
        <f>_xlfn.XLOOKUP(B505,Tableau13[ID_Antenne],Tableau13[Latitude],"Non répertoriées")</f>
        <v>1.5278670000000001</v>
      </c>
      <c r="G505" s="32">
        <f>_xlfn.XLOOKUP(B505,Tableau13[ID_Antenne],Tableau13[Longitude],"Non répertoriées")</f>
        <v>13.899388999999999</v>
      </c>
      <c r="H505" t="s">
        <v>5</v>
      </c>
    </row>
    <row r="506" spans="1:8" x14ac:dyDescent="0.25">
      <c r="A506" s="1">
        <v>45216.274305555547</v>
      </c>
      <c r="B506" t="s">
        <v>389</v>
      </c>
      <c r="C506" s="29" t="str">
        <f>_xlfn.XLOOKUP(B506,Tableau13[ID_Antenne],Tableau13[Province_RDC],"Non répertoriées")</f>
        <v>Equateur</v>
      </c>
      <c r="D506">
        <v>30</v>
      </c>
      <c r="E506" s="31" t="str">
        <f>_xlfn.XLOOKUP(B506,Tableau13[ID_Antenne],Tableau13[Technologie],"Non répertoriées")</f>
        <v>5G</v>
      </c>
      <c r="F506" s="3">
        <f>_xlfn.XLOOKUP(B506,Tableau13[ID_Antenne],Tableau13[Latitude],"Non répertoriées")</f>
        <v>-5.7200150000000001</v>
      </c>
      <c r="G506" s="32">
        <f>_xlfn.XLOOKUP(B506,Tableau13[ID_Antenne],Tableau13[Longitude],"Non répertoriées")</f>
        <v>25.022109</v>
      </c>
      <c r="H506" t="s">
        <v>8</v>
      </c>
    </row>
    <row r="507" spans="1:8" x14ac:dyDescent="0.25">
      <c r="A507" s="1">
        <v>45210.895833333343</v>
      </c>
      <c r="B507" t="s">
        <v>199</v>
      </c>
      <c r="C507" s="29" t="str">
        <f>_xlfn.XLOOKUP(B507,Tableau13[ID_Antenne],Tableau13[Province_RDC],"Non répertoriées")</f>
        <v>Kasai</v>
      </c>
      <c r="D507">
        <v>110</v>
      </c>
      <c r="E507" s="31" t="str">
        <f>_xlfn.XLOOKUP(B507,Tableau13[ID_Antenne],Tableau13[Technologie],"Non répertoriées")</f>
        <v>5G</v>
      </c>
      <c r="F507" s="3">
        <f>_xlfn.XLOOKUP(B507,Tableau13[ID_Antenne],Tableau13[Latitude],"Non répertoriées")</f>
        <v>-4.351254</v>
      </c>
      <c r="G507" s="32">
        <f>_xlfn.XLOOKUP(B507,Tableau13[ID_Antenne],Tableau13[Longitude],"Non répertoriées")</f>
        <v>30.097408999999999</v>
      </c>
      <c r="H507" t="s">
        <v>10</v>
      </c>
    </row>
    <row r="508" spans="1:8" x14ac:dyDescent="0.25">
      <c r="A508" s="1">
        <v>45216.513888888891</v>
      </c>
      <c r="B508" t="s">
        <v>395</v>
      </c>
      <c r="C508" t="str">
        <f>_xlfn.XLOOKUP(B508,Tableau13[ID_Antenne],Tableau13[Province_RDC],"Non répertoriées")</f>
        <v>Non répertoriées</v>
      </c>
      <c r="D508">
        <v>73</v>
      </c>
      <c r="E508" t="str">
        <f>_xlfn.XLOOKUP(B508,Tableau13[ID_Antenne],Tableau13[Technologie],"Non répertoriées")</f>
        <v>Non répertoriées</v>
      </c>
      <c r="F508" t="str">
        <f>_xlfn.XLOOKUP(B508,Tableau13[ID_Antenne],Tableau13[Latitude],"Non répertoriées")</f>
        <v>Non répertoriées</v>
      </c>
      <c r="G508" t="str">
        <f>_xlfn.XLOOKUP(B508,Tableau13[ID_Antenne],Tableau13[Longitude],"Non répertoriées")</f>
        <v>Non répertoriées</v>
      </c>
      <c r="H508" t="s">
        <v>8</v>
      </c>
    </row>
    <row r="509" spans="1:8" x14ac:dyDescent="0.25">
      <c r="A509" s="1">
        <v>45230.228472222218</v>
      </c>
      <c r="B509" t="s">
        <v>131</v>
      </c>
      <c r="C509" s="29" t="str">
        <f>_xlfn.XLOOKUP(B509,Tableau13[ID_Antenne],Tableau13[Province_RDC],"Non répertoriées")</f>
        <v>Lomami</v>
      </c>
      <c r="D509">
        <v>39</v>
      </c>
      <c r="E509" s="31" t="str">
        <f>_xlfn.XLOOKUP(B509,Tableau13[ID_Antenne],Tableau13[Technologie],"Non répertoriées")</f>
        <v>5G</v>
      </c>
      <c r="F509" s="3">
        <f>_xlfn.XLOOKUP(B509,Tableau13[ID_Antenne],Tableau13[Latitude],"Non répertoriées")</f>
        <v>-5.7035130000000001</v>
      </c>
      <c r="G509" s="32">
        <f>_xlfn.XLOOKUP(B509,Tableau13[ID_Antenne],Tableau13[Longitude],"Non répertoriées")</f>
        <v>14.331479</v>
      </c>
      <c r="H509" t="s">
        <v>10</v>
      </c>
    </row>
    <row r="510" spans="1:8" x14ac:dyDescent="0.25">
      <c r="A510" s="1">
        <v>45229.722916666673</v>
      </c>
      <c r="B510" t="s">
        <v>149</v>
      </c>
      <c r="C510" s="29" t="str">
        <f>_xlfn.XLOOKUP(B510,Tableau13[ID_Antenne],Tableau13[Province_RDC],"Non répertoriées")</f>
        <v>Nord-Ubangi</v>
      </c>
      <c r="D510">
        <v>76</v>
      </c>
      <c r="E510" s="31" t="str">
        <f>_xlfn.XLOOKUP(B510,Tableau13[ID_Antenne],Tableau13[Technologie],"Non répertoriées")</f>
        <v>4G</v>
      </c>
      <c r="F510" s="3">
        <f>_xlfn.XLOOKUP(B510,Tableau13[ID_Antenne],Tableau13[Latitude],"Non répertoriées")</f>
        <v>-1.342476</v>
      </c>
      <c r="G510" s="32">
        <f>_xlfn.XLOOKUP(B510,Tableau13[ID_Antenne],Tableau13[Longitude],"Non répertoriées")</f>
        <v>15.986086</v>
      </c>
      <c r="H510" t="s">
        <v>8</v>
      </c>
    </row>
    <row r="511" spans="1:8" x14ac:dyDescent="0.25">
      <c r="A511" s="1">
        <v>45217.488194444442</v>
      </c>
      <c r="B511" t="s">
        <v>396</v>
      </c>
      <c r="C511" t="str">
        <f>_xlfn.XLOOKUP(B511,Tableau13[ID_Antenne],Tableau13[Province_RDC],"Non répertoriées")</f>
        <v>Non répertoriées</v>
      </c>
      <c r="D511">
        <v>94</v>
      </c>
      <c r="E511" t="str">
        <f>_xlfn.XLOOKUP(B511,Tableau13[ID_Antenne],Tableau13[Technologie],"Non répertoriées")</f>
        <v>Non répertoriées</v>
      </c>
      <c r="F511" t="str">
        <f>_xlfn.XLOOKUP(B511,Tableau13[ID_Antenne],Tableau13[Latitude],"Non répertoriées")</f>
        <v>Non répertoriées</v>
      </c>
      <c r="G511" t="str">
        <f>_xlfn.XLOOKUP(B511,Tableau13[ID_Antenne],Tableau13[Longitude],"Non répertoriées")</f>
        <v>Non répertoriées</v>
      </c>
      <c r="H511" t="s">
        <v>5</v>
      </c>
    </row>
    <row r="512" spans="1:8" x14ac:dyDescent="0.25">
      <c r="A512" s="1">
        <v>45224.988194444442</v>
      </c>
      <c r="B512" t="s">
        <v>58</v>
      </c>
      <c r="C512" t="str">
        <f>_xlfn.XLOOKUP(B512,Tableau13[ID_Antenne],Tableau13[Province_RDC],"Non répertoriées")</f>
        <v>Non répertoriées</v>
      </c>
      <c r="D512">
        <v>39</v>
      </c>
      <c r="E512" t="str">
        <f>_xlfn.XLOOKUP(B512,Tableau13[ID_Antenne],Tableau13[Technologie],"Non répertoriées")</f>
        <v>Non répertoriées</v>
      </c>
      <c r="F512" t="str">
        <f>_xlfn.XLOOKUP(B512,Tableau13[ID_Antenne],Tableau13[Latitude],"Non répertoriées")</f>
        <v>Non répertoriées</v>
      </c>
      <c r="G512" t="str">
        <f>_xlfn.XLOOKUP(B512,Tableau13[ID_Antenne],Tableau13[Longitude],"Non répertoriées")</f>
        <v>Non répertoriées</v>
      </c>
      <c r="H512" t="s">
        <v>5</v>
      </c>
    </row>
    <row r="513" spans="1:8" x14ac:dyDescent="0.25">
      <c r="A513" s="1">
        <v>45220.927777777782</v>
      </c>
      <c r="B513" t="s">
        <v>301</v>
      </c>
      <c r="C513" s="29" t="str">
        <f>_xlfn.XLOOKUP(B513,Tableau13[ID_Antenne],Tableau13[Province_RDC],"Non répertoriées")</f>
        <v>Kasai</v>
      </c>
      <c r="D513">
        <v>22</v>
      </c>
      <c r="E513" s="31" t="str">
        <f>_xlfn.XLOOKUP(B513,Tableau13[ID_Antenne],Tableau13[Technologie],"Non répertoriées")</f>
        <v>4G</v>
      </c>
      <c r="F513" s="3">
        <f>_xlfn.XLOOKUP(B513,Tableau13[ID_Antenne],Tableau13[Latitude],"Non répertoriées")</f>
        <v>1.5802860000000001</v>
      </c>
      <c r="G513" s="32">
        <f>_xlfn.XLOOKUP(B513,Tableau13[ID_Antenne],Tableau13[Longitude],"Non répertoriées")</f>
        <v>20.99053</v>
      </c>
      <c r="H513" t="s">
        <v>8</v>
      </c>
    </row>
    <row r="514" spans="1:8" x14ac:dyDescent="0.25">
      <c r="A514" s="1">
        <v>45219.633333333331</v>
      </c>
      <c r="B514" t="s">
        <v>397</v>
      </c>
      <c r="C514" t="str">
        <f>_xlfn.XLOOKUP(B514,Tableau13[ID_Antenne],Tableau13[Province_RDC],"Non répertoriées")</f>
        <v>Non répertoriées</v>
      </c>
      <c r="D514">
        <v>18</v>
      </c>
      <c r="E514" t="str">
        <f>_xlfn.XLOOKUP(B514,Tableau13[ID_Antenne],Tableau13[Technologie],"Non répertoriées")</f>
        <v>Non répertoriées</v>
      </c>
      <c r="F514" t="str">
        <f>_xlfn.XLOOKUP(B514,Tableau13[ID_Antenne],Tableau13[Latitude],"Non répertoriées")</f>
        <v>Non répertoriées</v>
      </c>
      <c r="G514" t="str">
        <f>_xlfn.XLOOKUP(B514,Tableau13[ID_Antenne],Tableau13[Longitude],"Non répertoriées")</f>
        <v>Non répertoriées</v>
      </c>
      <c r="H514" t="s">
        <v>10</v>
      </c>
    </row>
    <row r="515" spans="1:8" x14ac:dyDescent="0.25">
      <c r="A515" s="1">
        <v>45230.303472222222</v>
      </c>
      <c r="B515" t="s">
        <v>398</v>
      </c>
      <c r="C515" s="29" t="str">
        <f>_xlfn.XLOOKUP(B515,Tableau13[ID_Antenne],Tableau13[Province_RDC],"Non répertoriées")</f>
        <v>Kongo-Central</v>
      </c>
      <c r="D515">
        <v>83</v>
      </c>
      <c r="E515" s="31" t="str">
        <f>_xlfn.XLOOKUP(B515,Tableau13[ID_Antenne],Tableau13[Technologie],"Non répertoriées")</f>
        <v>5G</v>
      </c>
      <c r="F515" s="3">
        <f>_xlfn.XLOOKUP(B515,Tableau13[ID_Antenne],Tableau13[Latitude],"Non répertoriées")</f>
        <v>-9.8208710000000004</v>
      </c>
      <c r="G515" s="32">
        <f>_xlfn.XLOOKUP(B515,Tableau13[ID_Antenne],Tableau13[Longitude],"Non répertoriées")</f>
        <v>23.229807000000001</v>
      </c>
      <c r="H515" t="s">
        <v>10</v>
      </c>
    </row>
    <row r="516" spans="1:8" x14ac:dyDescent="0.25">
      <c r="A516" s="1">
        <v>45217.384722222218</v>
      </c>
      <c r="B516" t="s">
        <v>399</v>
      </c>
      <c r="C516" s="29" t="str">
        <f>_xlfn.XLOOKUP(B516,Tableau13[ID_Antenne],Tableau13[Province_RDC],"Non répertoriées")</f>
        <v>Haut-Lomami</v>
      </c>
      <c r="D516">
        <v>99</v>
      </c>
      <c r="E516" s="31" t="str">
        <f>_xlfn.XLOOKUP(B516,Tableau13[ID_Antenne],Tableau13[Technologie],"Non répertoriées")</f>
        <v>3G</v>
      </c>
      <c r="F516" s="3">
        <f>_xlfn.XLOOKUP(B516,Tableau13[ID_Antenne],Tableau13[Latitude],"Non répertoriées")</f>
        <v>-4.8157019999999999</v>
      </c>
      <c r="G516" s="32">
        <f>_xlfn.XLOOKUP(B516,Tableau13[ID_Antenne],Tableau13[Longitude],"Non répertoriées")</f>
        <v>27.679798000000002</v>
      </c>
      <c r="H516" t="s">
        <v>8</v>
      </c>
    </row>
    <row r="517" spans="1:8" x14ac:dyDescent="0.25">
      <c r="A517" s="1">
        <v>45230.40902777778</v>
      </c>
      <c r="B517" t="s">
        <v>400</v>
      </c>
      <c r="C517" s="29" t="str">
        <f>_xlfn.XLOOKUP(B517,Tableau13[ID_Antenne],Tableau13[Province_RDC],"Non répertoriées")</f>
        <v>Kwilu</v>
      </c>
      <c r="D517">
        <v>80</v>
      </c>
      <c r="E517" s="31" t="str">
        <f>_xlfn.XLOOKUP(B517,Tableau13[ID_Antenne],Tableau13[Technologie],"Non répertoriées")</f>
        <v>5G</v>
      </c>
      <c r="F517" s="3">
        <f>_xlfn.XLOOKUP(B517,Tableau13[ID_Antenne],Tableau13[Latitude],"Non répertoriées")</f>
        <v>0.62055499999999997</v>
      </c>
      <c r="G517" s="32">
        <f>_xlfn.XLOOKUP(B517,Tableau13[ID_Antenne],Tableau13[Longitude],"Non répertoriées")</f>
        <v>21.222035000000002</v>
      </c>
      <c r="H517" t="s">
        <v>8</v>
      </c>
    </row>
    <row r="518" spans="1:8" x14ac:dyDescent="0.25">
      <c r="A518" s="1">
        <v>45209.925694444442</v>
      </c>
      <c r="B518" t="s">
        <v>401</v>
      </c>
      <c r="C518" t="str">
        <f>_xlfn.XLOOKUP(B518,Tableau13[ID_Antenne],Tableau13[Province_RDC],"Non répertoriées")</f>
        <v>Non répertoriées</v>
      </c>
      <c r="D518">
        <v>35</v>
      </c>
      <c r="E518" t="str">
        <f>_xlfn.XLOOKUP(B518,Tableau13[ID_Antenne],Tableau13[Technologie],"Non répertoriées")</f>
        <v>Non répertoriées</v>
      </c>
      <c r="F518" t="str">
        <f>_xlfn.XLOOKUP(B518,Tableau13[ID_Antenne],Tableau13[Latitude],"Non répertoriées")</f>
        <v>Non répertoriées</v>
      </c>
      <c r="G518" t="str">
        <f>_xlfn.XLOOKUP(B518,Tableau13[ID_Antenne],Tableau13[Longitude],"Non répertoriées")</f>
        <v>Non répertoriées</v>
      </c>
      <c r="H518" t="s">
        <v>5</v>
      </c>
    </row>
    <row r="519" spans="1:8" x14ac:dyDescent="0.25">
      <c r="A519" s="1">
        <v>45222.938194444447</v>
      </c>
      <c r="B519" t="s">
        <v>402</v>
      </c>
      <c r="C519" t="str">
        <f>_xlfn.XLOOKUP(B519,Tableau13[ID_Antenne],Tableau13[Province_RDC],"Non répertoriées")</f>
        <v>Non répertoriées</v>
      </c>
      <c r="D519">
        <v>36</v>
      </c>
      <c r="E519" t="str">
        <f>_xlfn.XLOOKUP(B519,Tableau13[ID_Antenne],Tableau13[Technologie],"Non répertoriées")</f>
        <v>Non répertoriées</v>
      </c>
      <c r="F519" t="str">
        <f>_xlfn.XLOOKUP(B519,Tableau13[ID_Antenne],Tableau13[Latitude],"Non répertoriées")</f>
        <v>Non répertoriées</v>
      </c>
      <c r="G519" t="str">
        <f>_xlfn.XLOOKUP(B519,Tableau13[ID_Antenne],Tableau13[Longitude],"Non répertoriées")</f>
        <v>Non répertoriées</v>
      </c>
      <c r="H519" t="s">
        <v>5</v>
      </c>
    </row>
    <row r="520" spans="1:8" x14ac:dyDescent="0.25">
      <c r="A520" s="1">
        <v>45202.529166666667</v>
      </c>
      <c r="B520" t="s">
        <v>403</v>
      </c>
      <c r="C520" s="29" t="str">
        <f>_xlfn.XLOOKUP(B520,Tableau13[ID_Antenne],Tableau13[Province_RDC],"Non répertoriées")</f>
        <v>Haut-Uele</v>
      </c>
      <c r="D520">
        <v>109</v>
      </c>
      <c r="E520" s="31" t="str">
        <f>_xlfn.XLOOKUP(B520,Tableau13[ID_Antenne],Tableau13[Technologie],"Non répertoriées")</f>
        <v>5G</v>
      </c>
      <c r="F520" s="3">
        <f>_xlfn.XLOOKUP(B520,Tableau13[ID_Antenne],Tableau13[Latitude],"Non répertoriées")</f>
        <v>-7.1483749999999997</v>
      </c>
      <c r="G520" s="32">
        <f>_xlfn.XLOOKUP(B520,Tableau13[ID_Antenne],Tableau13[Longitude],"Non répertoriées")</f>
        <v>26.014271000000001</v>
      </c>
      <c r="H520" t="s">
        <v>8</v>
      </c>
    </row>
    <row r="521" spans="1:8" x14ac:dyDescent="0.25">
      <c r="A521" s="1">
        <v>45203.213888888888</v>
      </c>
      <c r="B521" t="s">
        <v>404</v>
      </c>
      <c r="C521" s="29" t="str">
        <f>_xlfn.XLOOKUP(B521,Tableau13[ID_Antenne],Tableau13[Province_RDC],"Non répertoriées")</f>
        <v>Nord-Kivu</v>
      </c>
      <c r="D521">
        <v>5</v>
      </c>
      <c r="E521" s="31" t="str">
        <f>_xlfn.XLOOKUP(B521,Tableau13[ID_Antenne],Tableau13[Technologie],"Non répertoriées")</f>
        <v>4G</v>
      </c>
      <c r="F521" s="3">
        <f>_xlfn.XLOOKUP(B521,Tableau13[ID_Antenne],Tableau13[Latitude],"Non répertoriées")</f>
        <v>-6.5332999999999997</v>
      </c>
      <c r="G521" s="32">
        <f>_xlfn.XLOOKUP(B521,Tableau13[ID_Antenne],Tableau13[Longitude],"Non répertoriées")</f>
        <v>20.098018</v>
      </c>
      <c r="H521" t="s">
        <v>5</v>
      </c>
    </row>
    <row r="522" spans="1:8" x14ac:dyDescent="0.25">
      <c r="A522" s="1">
        <v>45215.457638888889</v>
      </c>
      <c r="B522" t="s">
        <v>405</v>
      </c>
      <c r="C522" s="29" t="str">
        <f>_xlfn.XLOOKUP(B522,Tableau13[ID_Antenne],Tableau13[Province_RDC],"Non répertoriées")</f>
        <v>Tanganyika</v>
      </c>
      <c r="D522">
        <v>100</v>
      </c>
      <c r="E522" s="31" t="str">
        <f>_xlfn.XLOOKUP(B522,Tableau13[ID_Antenne],Tableau13[Technologie],"Non répertoriées")</f>
        <v>5G</v>
      </c>
      <c r="F522" s="3">
        <f>_xlfn.XLOOKUP(B522,Tableau13[ID_Antenne],Tableau13[Latitude],"Non répertoriées")</f>
        <v>-11.793894</v>
      </c>
      <c r="G522" s="32">
        <f>_xlfn.XLOOKUP(B522,Tableau13[ID_Antenne],Tableau13[Longitude],"Non répertoriées")</f>
        <v>20.433340999999999</v>
      </c>
      <c r="H522" t="s">
        <v>5</v>
      </c>
    </row>
    <row r="523" spans="1:8" x14ac:dyDescent="0.25">
      <c r="A523" s="1">
        <v>45207.011111111111</v>
      </c>
      <c r="B523" t="s">
        <v>406</v>
      </c>
      <c r="C523" s="29" t="str">
        <f>_xlfn.XLOOKUP(B523,Tableau13[ID_Antenne],Tableau13[Province_RDC],"Non répertoriées")</f>
        <v>Kasai-Central</v>
      </c>
      <c r="D523">
        <v>32</v>
      </c>
      <c r="E523" s="31" t="str">
        <f>_xlfn.XLOOKUP(B523,Tableau13[ID_Antenne],Tableau13[Technologie],"Non répertoriées")</f>
        <v>3G</v>
      </c>
      <c r="F523" s="3">
        <f>_xlfn.XLOOKUP(B523,Tableau13[ID_Antenne],Tableau13[Latitude],"Non répertoriées")</f>
        <v>1.897178</v>
      </c>
      <c r="G523" s="32">
        <f>_xlfn.XLOOKUP(B523,Tableau13[ID_Antenne],Tableau13[Longitude],"Non répertoriées")</f>
        <v>23.902604</v>
      </c>
      <c r="H523" t="s">
        <v>5</v>
      </c>
    </row>
    <row r="524" spans="1:8" x14ac:dyDescent="0.25">
      <c r="A524" s="1">
        <v>45212.311111111107</v>
      </c>
      <c r="B524" t="s">
        <v>17</v>
      </c>
      <c r="C524" s="29" t="str">
        <f>_xlfn.XLOOKUP(B524,Tableau13[ID_Antenne],Tableau13[Province_RDC],"Non répertoriées")</f>
        <v>Kwango</v>
      </c>
      <c r="D524">
        <v>79</v>
      </c>
      <c r="E524" s="31" t="str">
        <f>_xlfn.XLOOKUP(B524,Tableau13[ID_Antenne],Tableau13[Technologie],"Non répertoriées")</f>
        <v>5G</v>
      </c>
      <c r="F524" s="3">
        <f>_xlfn.XLOOKUP(B524,Tableau13[ID_Antenne],Tableau13[Latitude],"Non répertoriées")</f>
        <v>4.8319039999999998</v>
      </c>
      <c r="G524" s="32">
        <f>_xlfn.XLOOKUP(B524,Tableau13[ID_Antenne],Tableau13[Longitude],"Non répertoriées")</f>
        <v>20.733468999999999</v>
      </c>
      <c r="H524" t="s">
        <v>5</v>
      </c>
    </row>
    <row r="525" spans="1:8" x14ac:dyDescent="0.25">
      <c r="A525" s="1">
        <v>45224.347916666673</v>
      </c>
      <c r="B525" t="s">
        <v>407</v>
      </c>
      <c r="C525" s="29" t="str">
        <f>_xlfn.XLOOKUP(B525,Tableau13[ID_Antenne],Tableau13[Province_RDC],"Non répertoriées")</f>
        <v>Tshuapa</v>
      </c>
      <c r="D525">
        <v>14</v>
      </c>
      <c r="E525" s="31" t="str">
        <f>_xlfn.XLOOKUP(B525,Tableau13[ID_Antenne],Tableau13[Technologie],"Non répertoriées")</f>
        <v>5G</v>
      </c>
      <c r="F525" s="3">
        <f>_xlfn.XLOOKUP(B525,Tableau13[ID_Antenne],Tableau13[Latitude],"Non répertoriées")</f>
        <v>-7.789663</v>
      </c>
      <c r="G525" s="32">
        <f>_xlfn.XLOOKUP(B525,Tableau13[ID_Antenne],Tableau13[Longitude],"Non répertoriées")</f>
        <v>26.529098000000001</v>
      </c>
      <c r="H525" t="s">
        <v>5</v>
      </c>
    </row>
    <row r="526" spans="1:8" x14ac:dyDescent="0.25">
      <c r="A526" s="1">
        <v>45209.781944444447</v>
      </c>
      <c r="B526" t="s">
        <v>375</v>
      </c>
      <c r="C526" t="str">
        <f>_xlfn.XLOOKUP(B526,Tableau13[ID_Antenne],Tableau13[Province_RDC],"Non répertoriées")</f>
        <v>Non répertoriées</v>
      </c>
      <c r="D526">
        <v>10</v>
      </c>
      <c r="E526" t="str">
        <f>_xlfn.XLOOKUP(B526,Tableau13[ID_Antenne],Tableau13[Technologie],"Non répertoriées")</f>
        <v>Non répertoriées</v>
      </c>
      <c r="F526" t="str">
        <f>_xlfn.XLOOKUP(B526,Tableau13[ID_Antenne],Tableau13[Latitude],"Non répertoriées")</f>
        <v>Non répertoriées</v>
      </c>
      <c r="G526" t="str">
        <f>_xlfn.XLOOKUP(B526,Tableau13[ID_Antenne],Tableau13[Longitude],"Non répertoriées")</f>
        <v>Non répertoriées</v>
      </c>
      <c r="H526" t="s">
        <v>8</v>
      </c>
    </row>
    <row r="527" spans="1:8" x14ac:dyDescent="0.25">
      <c r="A527" s="1">
        <v>45218.011111111111</v>
      </c>
      <c r="B527" t="s">
        <v>408</v>
      </c>
      <c r="C527" t="str">
        <f>_xlfn.XLOOKUP(B527,Tableau13[ID_Antenne],Tableau13[Province_RDC],"Non répertoriées")</f>
        <v>Non répertoriées</v>
      </c>
      <c r="D527">
        <v>59</v>
      </c>
      <c r="E527" t="str">
        <f>_xlfn.XLOOKUP(B527,Tableau13[ID_Antenne],Tableau13[Technologie],"Non répertoriées")</f>
        <v>Non répertoriées</v>
      </c>
      <c r="F527" t="str">
        <f>_xlfn.XLOOKUP(B527,Tableau13[ID_Antenne],Tableau13[Latitude],"Non répertoriées")</f>
        <v>Non répertoriées</v>
      </c>
      <c r="G527" t="str">
        <f>_xlfn.XLOOKUP(B527,Tableau13[ID_Antenne],Tableau13[Longitude],"Non répertoriées")</f>
        <v>Non répertoriées</v>
      </c>
      <c r="H527" t="s">
        <v>5</v>
      </c>
    </row>
    <row r="528" spans="1:8" x14ac:dyDescent="0.25">
      <c r="A528" s="1">
        <v>45220.488888888889</v>
      </c>
      <c r="B528" t="s">
        <v>92</v>
      </c>
      <c r="C528" s="29" t="str">
        <f>_xlfn.XLOOKUP(B528,Tableau13[ID_Antenne],Tableau13[Province_RDC],"Non répertoriées")</f>
        <v>Sud-Ubangi</v>
      </c>
      <c r="D528">
        <v>49</v>
      </c>
      <c r="E528" s="31" t="str">
        <f>_xlfn.XLOOKUP(B528,Tableau13[ID_Antenne],Tableau13[Technologie],"Non répertoriées")</f>
        <v>5G</v>
      </c>
      <c r="F528" s="3">
        <f>_xlfn.XLOOKUP(B528,Tableau13[ID_Antenne],Tableau13[Latitude],"Non répertoriées")</f>
        <v>-9.3652239999999995</v>
      </c>
      <c r="G528" s="32">
        <f>_xlfn.XLOOKUP(B528,Tableau13[ID_Antenne],Tableau13[Longitude],"Non répertoriées")</f>
        <v>22.593423999999999</v>
      </c>
      <c r="H528" t="s">
        <v>10</v>
      </c>
    </row>
    <row r="529" spans="1:8" x14ac:dyDescent="0.25">
      <c r="A529" s="1">
        <v>45207.070833333331</v>
      </c>
      <c r="B529" t="s">
        <v>409</v>
      </c>
      <c r="C529" s="29" t="str">
        <f>_xlfn.XLOOKUP(B529,Tableau13[ID_Antenne],Tableau13[Province_RDC],"Non répertoriées")</f>
        <v>Equateur</v>
      </c>
      <c r="D529">
        <v>94</v>
      </c>
      <c r="E529" s="31" t="str">
        <f>_xlfn.XLOOKUP(B529,Tableau13[ID_Antenne],Tableau13[Technologie],"Non répertoriées")</f>
        <v>5G</v>
      </c>
      <c r="F529" s="3">
        <f>_xlfn.XLOOKUP(B529,Tableau13[ID_Antenne],Tableau13[Latitude],"Non répertoriées")</f>
        <v>-1.1284540000000001</v>
      </c>
      <c r="G529" s="32">
        <f>_xlfn.XLOOKUP(B529,Tableau13[ID_Antenne],Tableau13[Longitude],"Non répertoriées")</f>
        <v>23.000360000000001</v>
      </c>
      <c r="H529" t="s">
        <v>8</v>
      </c>
    </row>
    <row r="530" spans="1:8" x14ac:dyDescent="0.25">
      <c r="A530" s="1">
        <v>45203.59652777778</v>
      </c>
      <c r="B530" t="s">
        <v>410</v>
      </c>
      <c r="C530" s="29" t="str">
        <f>_xlfn.XLOOKUP(B530,Tableau13[ID_Antenne],Tableau13[Province_RDC],"Non répertoriées")</f>
        <v>Tshuapa</v>
      </c>
      <c r="D530">
        <v>13</v>
      </c>
      <c r="E530" s="31" t="str">
        <f>_xlfn.XLOOKUP(B530,Tableau13[ID_Antenne],Tableau13[Technologie],"Non répertoriées")</f>
        <v>4G</v>
      </c>
      <c r="F530" s="3">
        <f>_xlfn.XLOOKUP(B530,Tableau13[ID_Antenne],Tableau13[Latitude],"Non répertoriées")</f>
        <v>-1.9540519999999999</v>
      </c>
      <c r="G530" s="32">
        <f>_xlfn.XLOOKUP(B530,Tableau13[ID_Antenne],Tableau13[Longitude],"Non répertoriées")</f>
        <v>12.667945</v>
      </c>
      <c r="H530" t="s">
        <v>8</v>
      </c>
    </row>
    <row r="531" spans="1:8" x14ac:dyDescent="0.25">
      <c r="A531" s="1">
        <v>45205.529861111107</v>
      </c>
      <c r="B531" t="s">
        <v>86</v>
      </c>
      <c r="C531" s="29" t="str">
        <f>_xlfn.XLOOKUP(B531,Tableau13[ID_Antenne],Tableau13[Province_RDC],"Non répertoriées")</f>
        <v>Mongala</v>
      </c>
      <c r="D531">
        <v>74</v>
      </c>
      <c r="E531" s="31" t="str">
        <f>_xlfn.XLOOKUP(B531,Tableau13[ID_Antenne],Tableau13[Technologie],"Non répertoriées")</f>
        <v>5G</v>
      </c>
      <c r="F531" s="3">
        <f>_xlfn.XLOOKUP(B531,Tableau13[ID_Antenne],Tableau13[Latitude],"Non répertoriées")</f>
        <v>-11.514188000000001</v>
      </c>
      <c r="G531" s="32">
        <f>_xlfn.XLOOKUP(B531,Tableau13[ID_Antenne],Tableau13[Longitude],"Non répertoriées")</f>
        <v>15.971181</v>
      </c>
      <c r="H531" t="s">
        <v>8</v>
      </c>
    </row>
    <row r="532" spans="1:8" x14ac:dyDescent="0.25">
      <c r="A532" s="1">
        <v>45216.950694444437</v>
      </c>
      <c r="B532" t="s">
        <v>6</v>
      </c>
      <c r="C532" t="str">
        <f>_xlfn.XLOOKUP(B532,Tableau13[ID_Antenne],Tableau13[Province_RDC],"Non répertoriées")</f>
        <v>Non répertoriées</v>
      </c>
      <c r="D532">
        <v>12</v>
      </c>
      <c r="E532" t="str">
        <f>_xlfn.XLOOKUP(B532,Tableau13[ID_Antenne],Tableau13[Technologie],"Non répertoriées")</f>
        <v>Non répertoriées</v>
      </c>
      <c r="F532" t="str">
        <f>_xlfn.XLOOKUP(B532,Tableau13[ID_Antenne],Tableau13[Latitude],"Non répertoriées")</f>
        <v>Non répertoriées</v>
      </c>
      <c r="G532" t="str">
        <f>_xlfn.XLOOKUP(B532,Tableau13[ID_Antenne],Tableau13[Longitude],"Non répertoriées")</f>
        <v>Non répertoriées</v>
      </c>
      <c r="H532" t="s">
        <v>5</v>
      </c>
    </row>
    <row r="533" spans="1:8" x14ac:dyDescent="0.25">
      <c r="A533" s="1">
        <v>45209.921527777777</v>
      </c>
      <c r="B533" t="s">
        <v>191</v>
      </c>
      <c r="C533" s="29" t="str">
        <f>_xlfn.XLOOKUP(B533,Tableau13[ID_Antenne],Tableau13[Province_RDC],"Non répertoriées")</f>
        <v>Bas-Uele</v>
      </c>
      <c r="D533">
        <v>119</v>
      </c>
      <c r="E533" s="31" t="str">
        <f>_xlfn.XLOOKUP(B533,Tableau13[ID_Antenne],Tableau13[Technologie],"Non répertoriées")</f>
        <v>3G</v>
      </c>
      <c r="F533" s="3">
        <f>_xlfn.XLOOKUP(B533,Tableau13[ID_Antenne],Tableau13[Latitude],"Non répertoriées")</f>
        <v>1.5278670000000001</v>
      </c>
      <c r="G533" s="32">
        <f>_xlfn.XLOOKUP(B533,Tableau13[ID_Antenne],Tableau13[Longitude],"Non répertoriées")</f>
        <v>13.899388999999999</v>
      </c>
      <c r="H533" t="s">
        <v>5</v>
      </c>
    </row>
    <row r="534" spans="1:8" x14ac:dyDescent="0.25">
      <c r="A534" s="1">
        <v>45220.390972222223</v>
      </c>
      <c r="B534" t="s">
        <v>374</v>
      </c>
      <c r="C534" t="str">
        <f>_xlfn.XLOOKUP(B534,Tableau13[ID_Antenne],Tableau13[Province_RDC],"Non répertoriées")</f>
        <v>Non répertoriées</v>
      </c>
      <c r="D534">
        <v>13</v>
      </c>
      <c r="E534" t="str">
        <f>_xlfn.XLOOKUP(B534,Tableau13[ID_Antenne],Tableau13[Technologie],"Non répertoriées")</f>
        <v>Non répertoriées</v>
      </c>
      <c r="F534" t="str">
        <f>_xlfn.XLOOKUP(B534,Tableau13[ID_Antenne],Tableau13[Latitude],"Non répertoriées")</f>
        <v>Non répertoriées</v>
      </c>
      <c r="G534" t="str">
        <f>_xlfn.XLOOKUP(B534,Tableau13[ID_Antenne],Tableau13[Longitude],"Non répertoriées")</f>
        <v>Non répertoriées</v>
      </c>
      <c r="H534" t="s">
        <v>8</v>
      </c>
    </row>
    <row r="535" spans="1:8" x14ac:dyDescent="0.25">
      <c r="A535" s="1">
        <v>45219.301388888889</v>
      </c>
      <c r="B535" t="s">
        <v>23</v>
      </c>
      <c r="C535" t="str">
        <f>_xlfn.XLOOKUP(B535,Tableau13[ID_Antenne],Tableau13[Province_RDC],"Non répertoriées")</f>
        <v>Non répertoriées</v>
      </c>
      <c r="D535">
        <v>65</v>
      </c>
      <c r="E535" t="str">
        <f>_xlfn.XLOOKUP(B535,Tableau13[ID_Antenne],Tableau13[Technologie],"Non répertoriées")</f>
        <v>Non répertoriées</v>
      </c>
      <c r="F535" t="str">
        <f>_xlfn.XLOOKUP(B535,Tableau13[ID_Antenne],Tableau13[Latitude],"Non répertoriées")</f>
        <v>Non répertoriées</v>
      </c>
      <c r="G535" t="str">
        <f>_xlfn.XLOOKUP(B535,Tableau13[ID_Antenne],Tableau13[Longitude],"Non répertoriées")</f>
        <v>Non répertoriées</v>
      </c>
      <c r="H535" t="s">
        <v>5</v>
      </c>
    </row>
    <row r="536" spans="1:8" x14ac:dyDescent="0.25">
      <c r="A536" s="1">
        <v>45230.1875</v>
      </c>
      <c r="B536" t="s">
        <v>411</v>
      </c>
      <c r="C536" t="str">
        <f>_xlfn.XLOOKUP(B536,Tableau13[ID_Antenne],Tableau13[Province_RDC],"Non répertoriées")</f>
        <v>Non répertoriées</v>
      </c>
      <c r="D536">
        <v>9</v>
      </c>
      <c r="E536" t="str">
        <f>_xlfn.XLOOKUP(B536,Tableau13[ID_Antenne],Tableau13[Technologie],"Non répertoriées")</f>
        <v>Non répertoriées</v>
      </c>
      <c r="F536" t="str">
        <f>_xlfn.XLOOKUP(B536,Tableau13[ID_Antenne],Tableau13[Latitude],"Non répertoriées")</f>
        <v>Non répertoriées</v>
      </c>
      <c r="G536" t="str">
        <f>_xlfn.XLOOKUP(B536,Tableau13[ID_Antenne],Tableau13[Longitude],"Non répertoriées")</f>
        <v>Non répertoriées</v>
      </c>
      <c r="H536" t="s">
        <v>10</v>
      </c>
    </row>
    <row r="537" spans="1:8" x14ac:dyDescent="0.25">
      <c r="A537" s="1">
        <v>45204.615972222222</v>
      </c>
      <c r="B537" t="s">
        <v>412</v>
      </c>
      <c r="C537" s="29" t="str">
        <f>_xlfn.XLOOKUP(B537,Tableau13[ID_Antenne],Tableau13[Province_RDC],"Non répertoriées")</f>
        <v>Kinshasa</v>
      </c>
      <c r="D537">
        <v>41</v>
      </c>
      <c r="E537" s="31" t="str">
        <f>_xlfn.XLOOKUP(B537,Tableau13[ID_Antenne],Tableau13[Technologie],"Non répertoriées")</f>
        <v>3G</v>
      </c>
      <c r="F537" s="3">
        <f>_xlfn.XLOOKUP(B537,Tableau13[ID_Antenne],Tableau13[Latitude],"Non répertoriées")</f>
        <v>1.3006180000000001</v>
      </c>
      <c r="G537" s="32">
        <f>_xlfn.XLOOKUP(B537,Tableau13[ID_Antenne],Tableau13[Longitude],"Non répertoriées")</f>
        <v>29.060970999999999</v>
      </c>
      <c r="H537" t="s">
        <v>10</v>
      </c>
    </row>
    <row r="538" spans="1:8" x14ac:dyDescent="0.25">
      <c r="A538" s="1">
        <v>45219.476388888892</v>
      </c>
      <c r="B538" t="s">
        <v>12</v>
      </c>
      <c r="C538" s="29" t="str">
        <f>_xlfn.XLOOKUP(B538,Tableau13[ID_Antenne],Tableau13[Province_RDC],"Non répertoriées")</f>
        <v>Kongo-Central</v>
      </c>
      <c r="D538">
        <v>57</v>
      </c>
      <c r="E538" s="31" t="str">
        <f>_xlfn.XLOOKUP(B538,Tableau13[ID_Antenne],Tableau13[Technologie],"Non répertoriées")</f>
        <v>5G</v>
      </c>
      <c r="F538" s="3">
        <f>_xlfn.XLOOKUP(B538,Tableau13[ID_Antenne],Tableau13[Latitude],"Non répertoriées")</f>
        <v>-2.8211520000000001</v>
      </c>
      <c r="G538" s="32">
        <f>_xlfn.XLOOKUP(B538,Tableau13[ID_Antenne],Tableau13[Longitude],"Non répertoriées")</f>
        <v>20.651419000000001</v>
      </c>
      <c r="H538" t="s">
        <v>5</v>
      </c>
    </row>
    <row r="539" spans="1:8" x14ac:dyDescent="0.25">
      <c r="A539" s="1">
        <v>45222.748611111107</v>
      </c>
      <c r="B539" t="s">
        <v>413</v>
      </c>
      <c r="C539" s="29" t="str">
        <f>_xlfn.XLOOKUP(B539,Tableau13[ID_Antenne],Tableau13[Province_RDC],"Non répertoriées")</f>
        <v>Haut-Katanga</v>
      </c>
      <c r="D539">
        <v>28</v>
      </c>
      <c r="E539" s="31" t="str">
        <f>_xlfn.XLOOKUP(B539,Tableau13[ID_Antenne],Tableau13[Technologie],"Non répertoriées")</f>
        <v>4G</v>
      </c>
      <c r="F539" s="3">
        <f>_xlfn.XLOOKUP(B539,Tableau13[ID_Antenne],Tableau13[Latitude],"Non répertoriées")</f>
        <v>-11.468578000000001</v>
      </c>
      <c r="G539" s="32">
        <f>_xlfn.XLOOKUP(B539,Tableau13[ID_Antenne],Tableau13[Longitude],"Non répertoriées")</f>
        <v>16.914501999999999</v>
      </c>
      <c r="H539" t="s">
        <v>8</v>
      </c>
    </row>
    <row r="540" spans="1:8" x14ac:dyDescent="0.25">
      <c r="A540" s="1">
        <v>45215.743750000001</v>
      </c>
      <c r="B540" t="s">
        <v>414</v>
      </c>
      <c r="C540" t="str">
        <f>_xlfn.XLOOKUP(B540,Tableau13[ID_Antenne],Tableau13[Province_RDC],"Non répertoriées")</f>
        <v>Non répertoriées</v>
      </c>
      <c r="D540">
        <v>103</v>
      </c>
      <c r="E540" t="str">
        <f>_xlfn.XLOOKUP(B540,Tableau13[ID_Antenne],Tableau13[Technologie],"Non répertoriées")</f>
        <v>Non répertoriées</v>
      </c>
      <c r="F540" t="str">
        <f>_xlfn.XLOOKUP(B540,Tableau13[ID_Antenne],Tableau13[Latitude],"Non répertoriées")</f>
        <v>Non répertoriées</v>
      </c>
      <c r="G540" t="str">
        <f>_xlfn.XLOOKUP(B540,Tableau13[ID_Antenne],Tableau13[Longitude],"Non répertoriées")</f>
        <v>Non répertoriées</v>
      </c>
      <c r="H540" t="s">
        <v>5</v>
      </c>
    </row>
    <row r="541" spans="1:8" x14ac:dyDescent="0.25">
      <c r="A541" s="1">
        <v>45221.283333333333</v>
      </c>
      <c r="B541" t="s">
        <v>415</v>
      </c>
      <c r="C541" s="29" t="str">
        <f>_xlfn.XLOOKUP(B541,Tableau13[ID_Antenne],Tableau13[Province_RDC],"Non répertoriées")</f>
        <v>Kinshasa</v>
      </c>
      <c r="D541">
        <v>22</v>
      </c>
      <c r="E541" s="31" t="str">
        <f>_xlfn.XLOOKUP(B541,Tableau13[ID_Antenne],Tableau13[Technologie],"Non répertoriées")</f>
        <v>3G</v>
      </c>
      <c r="F541" s="3">
        <f>_xlfn.XLOOKUP(B541,Tableau13[ID_Antenne],Tableau13[Latitude],"Non répertoriées")</f>
        <v>-2.6665070000000002</v>
      </c>
      <c r="G541" s="32">
        <f>_xlfn.XLOOKUP(B541,Tableau13[ID_Antenne],Tableau13[Longitude],"Non répertoriées")</f>
        <v>18.623692999999999</v>
      </c>
      <c r="H541" t="s">
        <v>5</v>
      </c>
    </row>
    <row r="542" spans="1:8" x14ac:dyDescent="0.25">
      <c r="A542" s="1">
        <v>45207.908333333333</v>
      </c>
      <c r="B542" t="s">
        <v>416</v>
      </c>
      <c r="C542" t="str">
        <f>_xlfn.XLOOKUP(B542,Tableau13[ID_Antenne],Tableau13[Province_RDC],"Non répertoriées")</f>
        <v>Non répertoriées</v>
      </c>
      <c r="D542">
        <v>103</v>
      </c>
      <c r="E542" t="str">
        <f>_xlfn.XLOOKUP(B542,Tableau13[ID_Antenne],Tableau13[Technologie],"Non répertoriées")</f>
        <v>Non répertoriées</v>
      </c>
      <c r="F542" t="str">
        <f>_xlfn.XLOOKUP(B542,Tableau13[ID_Antenne],Tableau13[Latitude],"Non répertoriées")</f>
        <v>Non répertoriées</v>
      </c>
      <c r="G542" t="str">
        <f>_xlfn.XLOOKUP(B542,Tableau13[ID_Antenne],Tableau13[Longitude],"Non répertoriées")</f>
        <v>Non répertoriées</v>
      </c>
      <c r="H542" t="s">
        <v>5</v>
      </c>
    </row>
    <row r="543" spans="1:8" x14ac:dyDescent="0.25">
      <c r="A543" s="1">
        <v>45219.106249999997</v>
      </c>
      <c r="B543" t="s">
        <v>417</v>
      </c>
      <c r="C543" t="str">
        <f>_xlfn.XLOOKUP(B543,Tableau13[ID_Antenne],Tableau13[Province_RDC],"Non répertoriées")</f>
        <v>Non répertoriées</v>
      </c>
      <c r="D543">
        <v>87</v>
      </c>
      <c r="E543" t="str">
        <f>_xlfn.XLOOKUP(B543,Tableau13[ID_Antenne],Tableau13[Technologie],"Non répertoriées")</f>
        <v>Non répertoriées</v>
      </c>
      <c r="F543" t="str">
        <f>_xlfn.XLOOKUP(B543,Tableau13[ID_Antenne],Tableau13[Latitude],"Non répertoriées")</f>
        <v>Non répertoriées</v>
      </c>
      <c r="G543" t="str">
        <f>_xlfn.XLOOKUP(B543,Tableau13[ID_Antenne],Tableau13[Longitude],"Non répertoriées")</f>
        <v>Non répertoriées</v>
      </c>
      <c r="H543" t="s">
        <v>8</v>
      </c>
    </row>
    <row r="544" spans="1:8" x14ac:dyDescent="0.25">
      <c r="A544" s="1">
        <v>45214.697916666657</v>
      </c>
      <c r="B544" t="s">
        <v>418</v>
      </c>
      <c r="C544" s="29" t="str">
        <f>_xlfn.XLOOKUP(B544,Tableau13[ID_Antenne],Tableau13[Province_RDC],"Non répertoriées")</f>
        <v>Mai-Ndombe</v>
      </c>
      <c r="D544">
        <v>98</v>
      </c>
      <c r="E544" s="31" t="str">
        <f>_xlfn.XLOOKUP(B544,Tableau13[ID_Antenne],Tableau13[Technologie],"Non répertoriées")</f>
        <v>3G</v>
      </c>
      <c r="F544" s="3">
        <f>_xlfn.XLOOKUP(B544,Tableau13[ID_Antenne],Tableau13[Latitude],"Non répertoriées")</f>
        <v>-12.192204</v>
      </c>
      <c r="G544" s="32">
        <f>_xlfn.XLOOKUP(B544,Tableau13[ID_Antenne],Tableau13[Longitude],"Non répertoriées")</f>
        <v>28.468682000000001</v>
      </c>
      <c r="H544" t="s">
        <v>10</v>
      </c>
    </row>
    <row r="545" spans="1:8" x14ac:dyDescent="0.25">
      <c r="A545" s="1">
        <v>45211.123611111107</v>
      </c>
      <c r="B545" t="s">
        <v>119</v>
      </c>
      <c r="C545" t="str">
        <f>_xlfn.XLOOKUP(B545,Tableau13[ID_Antenne],Tableau13[Province_RDC],"Non répertoriées")</f>
        <v>Non répertoriées</v>
      </c>
      <c r="D545">
        <v>87</v>
      </c>
      <c r="E545" t="str">
        <f>_xlfn.XLOOKUP(B545,Tableau13[ID_Antenne],Tableau13[Technologie],"Non répertoriées")</f>
        <v>Non répertoriées</v>
      </c>
      <c r="F545" t="str">
        <f>_xlfn.XLOOKUP(B545,Tableau13[ID_Antenne],Tableau13[Latitude],"Non répertoriées")</f>
        <v>Non répertoriées</v>
      </c>
      <c r="G545" t="str">
        <f>_xlfn.XLOOKUP(B545,Tableau13[ID_Antenne],Tableau13[Longitude],"Non répertoriées")</f>
        <v>Non répertoriées</v>
      </c>
      <c r="H545" t="s">
        <v>5</v>
      </c>
    </row>
    <row r="546" spans="1:8" x14ac:dyDescent="0.25">
      <c r="A546" s="1">
        <v>45218.127083333333</v>
      </c>
      <c r="B546" t="s">
        <v>273</v>
      </c>
      <c r="C546" s="29" t="str">
        <f>_xlfn.XLOOKUP(B546,Tableau13[ID_Antenne],Tableau13[Province_RDC],"Non répertoriées")</f>
        <v>Sud-Kivu</v>
      </c>
      <c r="D546">
        <v>58</v>
      </c>
      <c r="E546" s="31" t="str">
        <f>_xlfn.XLOOKUP(B546,Tableau13[ID_Antenne],Tableau13[Technologie],"Non répertoriées")</f>
        <v>4G</v>
      </c>
      <c r="F546" s="3">
        <f>_xlfn.XLOOKUP(B546,Tableau13[ID_Antenne],Tableau13[Latitude],"Non répertoriées")</f>
        <v>1.2419519999999999</v>
      </c>
      <c r="G546" s="32">
        <f>_xlfn.XLOOKUP(B546,Tableau13[ID_Antenne],Tableau13[Longitude],"Non répertoriées")</f>
        <v>25.261382999999999</v>
      </c>
      <c r="H546" t="s">
        <v>8</v>
      </c>
    </row>
    <row r="547" spans="1:8" x14ac:dyDescent="0.25">
      <c r="A547" s="1">
        <v>45226.747916666667</v>
      </c>
      <c r="B547" t="s">
        <v>419</v>
      </c>
      <c r="C547" t="str">
        <f>_xlfn.XLOOKUP(B547,Tableau13[ID_Antenne],Tableau13[Province_RDC],"Non répertoriées")</f>
        <v>Non répertoriées</v>
      </c>
      <c r="D547">
        <v>52</v>
      </c>
      <c r="E547" t="str">
        <f>_xlfn.XLOOKUP(B547,Tableau13[ID_Antenne],Tableau13[Technologie],"Non répertoriées")</f>
        <v>Non répertoriées</v>
      </c>
      <c r="F547" t="str">
        <f>_xlfn.XLOOKUP(B547,Tableau13[ID_Antenne],Tableau13[Latitude],"Non répertoriées")</f>
        <v>Non répertoriées</v>
      </c>
      <c r="G547" t="str">
        <f>_xlfn.XLOOKUP(B547,Tableau13[ID_Antenne],Tableau13[Longitude],"Non répertoriées")</f>
        <v>Non répertoriées</v>
      </c>
      <c r="H547" t="s">
        <v>8</v>
      </c>
    </row>
    <row r="548" spans="1:8" x14ac:dyDescent="0.25">
      <c r="A548" s="1">
        <v>45216.275000000001</v>
      </c>
      <c r="B548" t="s">
        <v>420</v>
      </c>
      <c r="C548" s="29" t="str">
        <f>_xlfn.XLOOKUP(B548,Tableau13[ID_Antenne],Tableau13[Province_RDC],"Non répertoriées")</f>
        <v>Sud-Kivu</v>
      </c>
      <c r="D548">
        <v>119</v>
      </c>
      <c r="E548" s="31" t="str">
        <f>_xlfn.XLOOKUP(B548,Tableau13[ID_Antenne],Tableau13[Technologie],"Non répertoriées")</f>
        <v>5G</v>
      </c>
      <c r="F548" s="3">
        <f>_xlfn.XLOOKUP(B548,Tableau13[ID_Antenne],Tableau13[Latitude],"Non répertoriées")</f>
        <v>2.4414509999999998</v>
      </c>
      <c r="G548" s="32">
        <f>_xlfn.XLOOKUP(B548,Tableau13[ID_Antenne],Tableau13[Longitude],"Non répertoriées")</f>
        <v>30.167489</v>
      </c>
      <c r="H548" t="s">
        <v>10</v>
      </c>
    </row>
    <row r="549" spans="1:8" x14ac:dyDescent="0.25">
      <c r="A549" s="1">
        <v>45217.173611111109</v>
      </c>
      <c r="B549" t="s">
        <v>136</v>
      </c>
      <c r="C549" s="29" t="str">
        <f>_xlfn.XLOOKUP(B549,Tableau13[ID_Antenne],Tableau13[Province_RDC],"Non répertoriées")</f>
        <v>Kinshasa</v>
      </c>
      <c r="D549">
        <v>53</v>
      </c>
      <c r="E549" s="31" t="str">
        <f>_xlfn.XLOOKUP(B549,Tableau13[ID_Antenne],Tableau13[Technologie],"Non répertoriées")</f>
        <v>4G</v>
      </c>
      <c r="F549" s="3">
        <f>_xlfn.XLOOKUP(B549,Tableau13[ID_Antenne],Tableau13[Latitude],"Non répertoriées")</f>
        <v>-1.6097570000000001</v>
      </c>
      <c r="G549" s="32">
        <f>_xlfn.XLOOKUP(B549,Tableau13[ID_Antenne],Tableau13[Longitude],"Non répertoriées")</f>
        <v>30.661662</v>
      </c>
      <c r="H549" t="s">
        <v>8</v>
      </c>
    </row>
    <row r="550" spans="1:8" x14ac:dyDescent="0.25">
      <c r="A550" s="1">
        <v>45210.686111111107</v>
      </c>
      <c r="B550" t="s">
        <v>421</v>
      </c>
      <c r="C550" s="29" t="str">
        <f>_xlfn.XLOOKUP(B550,Tableau13[ID_Antenne],Tableau13[Province_RDC],"Non répertoriées")</f>
        <v>Nord-Ubangi</v>
      </c>
      <c r="D550">
        <v>62</v>
      </c>
      <c r="E550" s="31" t="str">
        <f>_xlfn.XLOOKUP(B550,Tableau13[ID_Antenne],Tableau13[Technologie],"Non répertoriées")</f>
        <v>3G</v>
      </c>
      <c r="F550" s="3">
        <f>_xlfn.XLOOKUP(B550,Tableau13[ID_Antenne],Tableau13[Latitude],"Non répertoriées")</f>
        <v>8.5490999999999998E-2</v>
      </c>
      <c r="G550" s="32">
        <f>_xlfn.XLOOKUP(B550,Tableau13[ID_Antenne],Tableau13[Longitude],"Non répertoriées")</f>
        <v>26.296129000000001</v>
      </c>
      <c r="H550" t="s">
        <v>8</v>
      </c>
    </row>
    <row r="551" spans="1:8" x14ac:dyDescent="0.25">
      <c r="A551" s="1">
        <v>45203.884027777778</v>
      </c>
      <c r="B551" t="s">
        <v>422</v>
      </c>
      <c r="C551" t="str">
        <f>_xlfn.XLOOKUP(B551,Tableau13[ID_Antenne],Tableau13[Province_RDC],"Non répertoriées")</f>
        <v>Non répertoriées</v>
      </c>
      <c r="D551">
        <v>116</v>
      </c>
      <c r="E551" t="str">
        <f>_xlfn.XLOOKUP(B551,Tableau13[ID_Antenne],Tableau13[Technologie],"Non répertoriées")</f>
        <v>Non répertoriées</v>
      </c>
      <c r="F551" t="str">
        <f>_xlfn.XLOOKUP(B551,Tableau13[ID_Antenne],Tableau13[Latitude],"Non répertoriées")</f>
        <v>Non répertoriées</v>
      </c>
      <c r="G551" t="str">
        <f>_xlfn.XLOOKUP(B551,Tableau13[ID_Antenne],Tableau13[Longitude],"Non répertoriées")</f>
        <v>Non répertoriées</v>
      </c>
      <c r="H551" t="s">
        <v>8</v>
      </c>
    </row>
    <row r="552" spans="1:8" x14ac:dyDescent="0.25">
      <c r="A552" s="1">
        <v>45222.771527777782</v>
      </c>
      <c r="B552" t="s">
        <v>11</v>
      </c>
      <c r="C552" t="str">
        <f>_xlfn.XLOOKUP(B552,Tableau13[ID_Antenne],Tableau13[Province_RDC],"Non répertoriées")</f>
        <v>Non répertoriées</v>
      </c>
      <c r="D552">
        <v>53</v>
      </c>
      <c r="E552" t="str">
        <f>_xlfn.XLOOKUP(B552,Tableau13[ID_Antenne],Tableau13[Technologie],"Non répertoriées")</f>
        <v>Non répertoriées</v>
      </c>
      <c r="F552" t="str">
        <f>_xlfn.XLOOKUP(B552,Tableau13[ID_Antenne],Tableau13[Latitude],"Non répertoriées")</f>
        <v>Non répertoriées</v>
      </c>
      <c r="G552" t="str">
        <f>_xlfn.XLOOKUP(B552,Tableau13[ID_Antenne],Tableau13[Longitude],"Non répertoriées")</f>
        <v>Non répertoriées</v>
      </c>
      <c r="H552" t="s">
        <v>10</v>
      </c>
    </row>
    <row r="553" spans="1:8" x14ac:dyDescent="0.25">
      <c r="A553" s="1">
        <v>45202.686111111107</v>
      </c>
      <c r="B553" t="s">
        <v>423</v>
      </c>
      <c r="C553" t="str">
        <f>_xlfn.XLOOKUP(B553,Tableau13[ID_Antenne],Tableau13[Province_RDC],"Non répertoriées")</f>
        <v>Non répertoriées</v>
      </c>
      <c r="D553">
        <v>53</v>
      </c>
      <c r="E553" t="str">
        <f>_xlfn.XLOOKUP(B553,Tableau13[ID_Antenne],Tableau13[Technologie],"Non répertoriées")</f>
        <v>Non répertoriées</v>
      </c>
      <c r="F553" t="str">
        <f>_xlfn.XLOOKUP(B553,Tableau13[ID_Antenne],Tableau13[Latitude],"Non répertoriées")</f>
        <v>Non répertoriées</v>
      </c>
      <c r="G553" t="str">
        <f>_xlfn.XLOOKUP(B553,Tableau13[ID_Antenne],Tableau13[Longitude],"Non répertoriées")</f>
        <v>Non répertoriées</v>
      </c>
      <c r="H553" t="s">
        <v>5</v>
      </c>
    </row>
    <row r="554" spans="1:8" x14ac:dyDescent="0.25">
      <c r="A554" s="1">
        <v>45225.061805555553</v>
      </c>
      <c r="B554" t="s">
        <v>424</v>
      </c>
      <c r="C554" t="str">
        <f>_xlfn.XLOOKUP(B554,Tableau13[ID_Antenne],Tableau13[Province_RDC],"Non répertoriées")</f>
        <v>Non répertoriées</v>
      </c>
      <c r="D554">
        <v>15</v>
      </c>
      <c r="E554" t="str">
        <f>_xlfn.XLOOKUP(B554,Tableau13[ID_Antenne],Tableau13[Technologie],"Non répertoriées")</f>
        <v>Non répertoriées</v>
      </c>
      <c r="F554" t="str">
        <f>_xlfn.XLOOKUP(B554,Tableau13[ID_Antenne],Tableau13[Latitude],"Non répertoriées")</f>
        <v>Non répertoriées</v>
      </c>
      <c r="G554" t="str">
        <f>_xlfn.XLOOKUP(B554,Tableau13[ID_Antenne],Tableau13[Longitude],"Non répertoriées")</f>
        <v>Non répertoriées</v>
      </c>
      <c r="H554" t="s">
        <v>10</v>
      </c>
    </row>
    <row r="555" spans="1:8" x14ac:dyDescent="0.25">
      <c r="A555" s="1">
        <v>45204.68472222222</v>
      </c>
      <c r="B555" t="s">
        <v>425</v>
      </c>
      <c r="C555" t="str">
        <f>_xlfn.XLOOKUP(B555,Tableau13[ID_Antenne],Tableau13[Province_RDC],"Non répertoriées")</f>
        <v>Non répertoriées</v>
      </c>
      <c r="D555">
        <v>92</v>
      </c>
      <c r="E555" t="str">
        <f>_xlfn.XLOOKUP(B555,Tableau13[ID_Antenne],Tableau13[Technologie],"Non répertoriées")</f>
        <v>Non répertoriées</v>
      </c>
      <c r="F555" t="str">
        <f>_xlfn.XLOOKUP(B555,Tableau13[ID_Antenne],Tableau13[Latitude],"Non répertoriées")</f>
        <v>Non répertoriées</v>
      </c>
      <c r="G555" t="str">
        <f>_xlfn.XLOOKUP(B555,Tableau13[ID_Antenne],Tableau13[Longitude],"Non répertoriées")</f>
        <v>Non répertoriées</v>
      </c>
      <c r="H555" t="s">
        <v>5</v>
      </c>
    </row>
    <row r="556" spans="1:8" x14ac:dyDescent="0.25">
      <c r="A556" s="1">
        <v>45214.752083333333</v>
      </c>
      <c r="B556" t="s">
        <v>426</v>
      </c>
      <c r="C556" t="str">
        <f>_xlfn.XLOOKUP(B556,Tableau13[ID_Antenne],Tableau13[Province_RDC],"Non répertoriées")</f>
        <v>Non répertoriées</v>
      </c>
      <c r="D556">
        <v>89</v>
      </c>
      <c r="E556" t="str">
        <f>_xlfn.XLOOKUP(B556,Tableau13[ID_Antenne],Tableau13[Technologie],"Non répertoriées")</f>
        <v>Non répertoriées</v>
      </c>
      <c r="F556" t="str">
        <f>_xlfn.XLOOKUP(B556,Tableau13[ID_Antenne],Tableau13[Latitude],"Non répertoriées")</f>
        <v>Non répertoriées</v>
      </c>
      <c r="G556" t="str">
        <f>_xlfn.XLOOKUP(B556,Tableau13[ID_Antenne],Tableau13[Longitude],"Non répertoriées")</f>
        <v>Non répertoriées</v>
      </c>
      <c r="H556" t="s">
        <v>8</v>
      </c>
    </row>
    <row r="557" spans="1:8" x14ac:dyDescent="0.25">
      <c r="A557" s="1">
        <v>45225.406944444447</v>
      </c>
      <c r="B557" t="s">
        <v>427</v>
      </c>
      <c r="C557" s="29" t="str">
        <f>_xlfn.XLOOKUP(B557,Tableau13[ID_Antenne],Tableau13[Province_RDC],"Non répertoriées")</f>
        <v>Kwango</v>
      </c>
      <c r="D557">
        <v>74</v>
      </c>
      <c r="E557" s="31" t="str">
        <f>_xlfn.XLOOKUP(B557,Tableau13[ID_Antenne],Tableau13[Technologie],"Non répertoriées")</f>
        <v>4G</v>
      </c>
      <c r="F557" s="3">
        <f>_xlfn.XLOOKUP(B557,Tableau13[ID_Antenne],Tableau13[Latitude],"Non répertoriées")</f>
        <v>-4.6957509999999996</v>
      </c>
      <c r="G557" s="32">
        <f>_xlfn.XLOOKUP(B557,Tableau13[ID_Antenne],Tableau13[Longitude],"Non répertoriées")</f>
        <v>14.233525999999999</v>
      </c>
      <c r="H557" t="s">
        <v>5</v>
      </c>
    </row>
    <row r="558" spans="1:8" x14ac:dyDescent="0.25">
      <c r="A558" s="1">
        <v>45200.511111111111</v>
      </c>
      <c r="B558" t="s">
        <v>428</v>
      </c>
      <c r="C558" s="29" t="str">
        <f>_xlfn.XLOOKUP(B558,Tableau13[ID_Antenne],Tableau13[Province_RDC],"Non répertoriées")</f>
        <v>Kwilu</v>
      </c>
      <c r="D558">
        <v>22</v>
      </c>
      <c r="E558" s="31" t="str">
        <f>_xlfn.XLOOKUP(B558,Tableau13[ID_Antenne],Tableau13[Technologie],"Non répertoriées")</f>
        <v>4G</v>
      </c>
      <c r="F558" s="3">
        <f>_xlfn.XLOOKUP(B558,Tableau13[ID_Antenne],Tableau13[Latitude],"Non répertoriées")</f>
        <v>-10.939712999999999</v>
      </c>
      <c r="G558" s="32">
        <f>_xlfn.XLOOKUP(B558,Tableau13[ID_Antenne],Tableau13[Longitude],"Non répertoriées")</f>
        <v>18.276230999999999</v>
      </c>
      <c r="H558" t="s">
        <v>10</v>
      </c>
    </row>
    <row r="559" spans="1:8" x14ac:dyDescent="0.25">
      <c r="A559" s="1">
        <v>45221.565972222219</v>
      </c>
      <c r="B559" t="s">
        <v>429</v>
      </c>
      <c r="C559" s="29" t="str">
        <f>_xlfn.XLOOKUP(B559,Tableau13[ID_Antenne],Tableau13[Province_RDC],"Non répertoriées")</f>
        <v>Tshopo</v>
      </c>
      <c r="D559">
        <v>87</v>
      </c>
      <c r="E559" s="31" t="str">
        <f>_xlfn.XLOOKUP(B559,Tableau13[ID_Antenne],Tableau13[Technologie],"Non répertoriées")</f>
        <v>5G</v>
      </c>
      <c r="F559" s="3">
        <f>_xlfn.XLOOKUP(B559,Tableau13[ID_Antenne],Tableau13[Latitude],"Non répertoriées")</f>
        <v>4.7777349999999998</v>
      </c>
      <c r="G559" s="32">
        <f>_xlfn.XLOOKUP(B559,Tableau13[ID_Antenne],Tableau13[Longitude],"Non répertoriées")</f>
        <v>16.392204</v>
      </c>
      <c r="H559" t="s">
        <v>8</v>
      </c>
    </row>
    <row r="560" spans="1:8" x14ac:dyDescent="0.25">
      <c r="A560" s="1">
        <v>45215.056944444441</v>
      </c>
      <c r="B560" t="s">
        <v>415</v>
      </c>
      <c r="C560" s="29" t="str">
        <f>_xlfn.XLOOKUP(B560,Tableau13[ID_Antenne],Tableau13[Province_RDC],"Non répertoriées")</f>
        <v>Kinshasa</v>
      </c>
      <c r="D560">
        <v>99</v>
      </c>
      <c r="E560" s="31" t="str">
        <f>_xlfn.XLOOKUP(B560,Tableau13[ID_Antenne],Tableau13[Technologie],"Non répertoriées")</f>
        <v>3G</v>
      </c>
      <c r="F560" s="3">
        <f>_xlfn.XLOOKUP(B560,Tableau13[ID_Antenne],Tableau13[Latitude],"Non répertoriées")</f>
        <v>-2.6665070000000002</v>
      </c>
      <c r="G560" s="32">
        <f>_xlfn.XLOOKUP(B560,Tableau13[ID_Antenne],Tableau13[Longitude],"Non répertoriées")</f>
        <v>18.623692999999999</v>
      </c>
      <c r="H560" t="s">
        <v>8</v>
      </c>
    </row>
    <row r="561" spans="1:8" x14ac:dyDescent="0.25">
      <c r="A561" s="1">
        <v>45230.862500000003</v>
      </c>
      <c r="B561" t="s">
        <v>73</v>
      </c>
      <c r="C561" s="29" t="str">
        <f>_xlfn.XLOOKUP(B561,Tableau13[ID_Antenne],Tableau13[Province_RDC],"Non répertoriées")</f>
        <v>Tanganyika</v>
      </c>
      <c r="D561">
        <v>67</v>
      </c>
      <c r="E561" s="31" t="str">
        <f>_xlfn.XLOOKUP(B561,Tableau13[ID_Antenne],Tableau13[Technologie],"Non répertoriées")</f>
        <v>3G</v>
      </c>
      <c r="F561" s="3">
        <f>_xlfn.XLOOKUP(B561,Tableau13[ID_Antenne],Tableau13[Latitude],"Non répertoriées")</f>
        <v>-2.099631</v>
      </c>
      <c r="G561" s="32">
        <f>_xlfn.XLOOKUP(B561,Tableau13[ID_Antenne],Tableau13[Longitude],"Non répertoriées")</f>
        <v>13.974640000000001</v>
      </c>
      <c r="H561" t="s">
        <v>5</v>
      </c>
    </row>
    <row r="562" spans="1:8" x14ac:dyDescent="0.25">
      <c r="A562" s="1">
        <v>45212.680555555547</v>
      </c>
      <c r="B562" t="s">
        <v>430</v>
      </c>
      <c r="C562" t="str">
        <f>_xlfn.XLOOKUP(B562,Tableau13[ID_Antenne],Tableau13[Province_RDC],"Non répertoriées")</f>
        <v>Non répertoriées</v>
      </c>
      <c r="D562">
        <v>63</v>
      </c>
      <c r="E562" t="str">
        <f>_xlfn.XLOOKUP(B562,Tableau13[ID_Antenne],Tableau13[Technologie],"Non répertoriées")</f>
        <v>Non répertoriées</v>
      </c>
      <c r="F562" t="str">
        <f>_xlfn.XLOOKUP(B562,Tableau13[ID_Antenne],Tableau13[Latitude],"Non répertoriées")</f>
        <v>Non répertoriées</v>
      </c>
      <c r="G562" t="str">
        <f>_xlfn.XLOOKUP(B562,Tableau13[ID_Antenne],Tableau13[Longitude],"Non répertoriées")</f>
        <v>Non répertoriées</v>
      </c>
      <c r="H562" t="s">
        <v>5</v>
      </c>
    </row>
    <row r="563" spans="1:8" x14ac:dyDescent="0.25">
      <c r="A563" s="1">
        <v>45222.55972222222</v>
      </c>
      <c r="B563" t="s">
        <v>431</v>
      </c>
      <c r="C563" t="str">
        <f>_xlfn.XLOOKUP(B563,Tableau13[ID_Antenne],Tableau13[Province_RDC],"Non répertoriées")</f>
        <v>Non répertoriées</v>
      </c>
      <c r="D563">
        <v>26</v>
      </c>
      <c r="E563" t="str">
        <f>_xlfn.XLOOKUP(B563,Tableau13[ID_Antenne],Tableau13[Technologie],"Non répertoriées")</f>
        <v>Non répertoriées</v>
      </c>
      <c r="F563" t="str">
        <f>_xlfn.XLOOKUP(B563,Tableau13[ID_Antenne],Tableau13[Latitude],"Non répertoriées")</f>
        <v>Non répertoriées</v>
      </c>
      <c r="G563" t="str">
        <f>_xlfn.XLOOKUP(B563,Tableau13[ID_Antenne],Tableau13[Longitude],"Non répertoriées")</f>
        <v>Non répertoriées</v>
      </c>
      <c r="H563" t="s">
        <v>10</v>
      </c>
    </row>
    <row r="564" spans="1:8" x14ac:dyDescent="0.25">
      <c r="A564" s="1">
        <v>45204.39166666667</v>
      </c>
      <c r="B564" t="s">
        <v>154</v>
      </c>
      <c r="C564" t="str">
        <f>_xlfn.XLOOKUP(B564,Tableau13[ID_Antenne],Tableau13[Province_RDC],"Non répertoriées")</f>
        <v>Non répertoriées</v>
      </c>
      <c r="D564">
        <v>98</v>
      </c>
      <c r="E564" t="str">
        <f>_xlfn.XLOOKUP(B564,Tableau13[ID_Antenne],Tableau13[Technologie],"Non répertoriées")</f>
        <v>Non répertoriées</v>
      </c>
      <c r="F564" t="str">
        <f>_xlfn.XLOOKUP(B564,Tableau13[ID_Antenne],Tableau13[Latitude],"Non répertoriées")</f>
        <v>Non répertoriées</v>
      </c>
      <c r="G564" t="str">
        <f>_xlfn.XLOOKUP(B564,Tableau13[ID_Antenne],Tableau13[Longitude],"Non répertoriées")</f>
        <v>Non répertoriées</v>
      </c>
      <c r="H564" t="s">
        <v>10</v>
      </c>
    </row>
    <row r="565" spans="1:8" x14ac:dyDescent="0.25">
      <c r="A565" s="1">
        <v>45205.729166666657</v>
      </c>
      <c r="B565" t="s">
        <v>432</v>
      </c>
      <c r="C565" s="29" t="str">
        <f>_xlfn.XLOOKUP(B565,Tableau13[ID_Antenne],Tableau13[Province_RDC],"Non répertoriées")</f>
        <v>Haut-Katanga</v>
      </c>
      <c r="D565">
        <v>106</v>
      </c>
      <c r="E565" s="31" t="str">
        <f>_xlfn.XLOOKUP(B565,Tableau13[ID_Antenne],Tableau13[Technologie],"Non répertoriées")</f>
        <v>4G</v>
      </c>
      <c r="F565" s="3">
        <f>_xlfn.XLOOKUP(B565,Tableau13[ID_Antenne],Tableau13[Latitude],"Non répertoriées")</f>
        <v>-4.4958720000000003</v>
      </c>
      <c r="G565" s="32">
        <f>_xlfn.XLOOKUP(B565,Tableau13[ID_Antenne],Tableau13[Longitude],"Non répertoriées")</f>
        <v>18.514112000000001</v>
      </c>
      <c r="H565" t="s">
        <v>10</v>
      </c>
    </row>
    <row r="566" spans="1:8" x14ac:dyDescent="0.25">
      <c r="A566" s="1">
        <v>45207.304861111108</v>
      </c>
      <c r="B566" t="s">
        <v>9</v>
      </c>
      <c r="C566" t="str">
        <f>_xlfn.XLOOKUP(B566,Tableau13[ID_Antenne],Tableau13[Province_RDC],"Non répertoriées")</f>
        <v>Non répertoriées</v>
      </c>
      <c r="D566">
        <v>50</v>
      </c>
      <c r="E566" t="str">
        <f>_xlfn.XLOOKUP(B566,Tableau13[ID_Antenne],Tableau13[Technologie],"Non répertoriées")</f>
        <v>Non répertoriées</v>
      </c>
      <c r="F566" t="str">
        <f>_xlfn.XLOOKUP(B566,Tableau13[ID_Antenne],Tableau13[Latitude],"Non répertoriées")</f>
        <v>Non répertoriées</v>
      </c>
      <c r="G566" t="str">
        <f>_xlfn.XLOOKUP(B566,Tableau13[ID_Antenne],Tableau13[Longitude],"Non répertoriées")</f>
        <v>Non répertoriées</v>
      </c>
      <c r="H566" t="s">
        <v>8</v>
      </c>
    </row>
    <row r="567" spans="1:8" x14ac:dyDescent="0.25">
      <c r="A567" s="1">
        <v>45227.92291666667</v>
      </c>
      <c r="B567" t="s">
        <v>127</v>
      </c>
      <c r="C567" s="29" t="str">
        <f>_xlfn.XLOOKUP(B567,Tableau13[ID_Antenne],Tableau13[Province_RDC],"Non répertoriées")</f>
        <v>Nord-Kivu</v>
      </c>
      <c r="D567">
        <v>26</v>
      </c>
      <c r="E567" s="31" t="str">
        <f>_xlfn.XLOOKUP(B567,Tableau13[ID_Antenne],Tableau13[Technologie],"Non répertoriées")</f>
        <v>4G</v>
      </c>
      <c r="F567" s="3">
        <f>_xlfn.XLOOKUP(B567,Tableau13[ID_Antenne],Tableau13[Latitude],"Non répertoriées")</f>
        <v>-10.25074</v>
      </c>
      <c r="G567" s="32">
        <f>_xlfn.XLOOKUP(B567,Tableau13[ID_Antenne],Tableau13[Longitude],"Non répertoriées")</f>
        <v>26.099086</v>
      </c>
      <c r="H567" t="s">
        <v>10</v>
      </c>
    </row>
    <row r="568" spans="1:8" x14ac:dyDescent="0.25">
      <c r="A568" s="1">
        <v>45225.623611111107</v>
      </c>
      <c r="B568" t="s">
        <v>433</v>
      </c>
      <c r="C568" s="29" t="str">
        <f>_xlfn.XLOOKUP(B568,Tableau13[ID_Antenne],Tableau13[Province_RDC],"Non répertoriées")</f>
        <v>Mai-Ndombe</v>
      </c>
      <c r="D568">
        <v>22</v>
      </c>
      <c r="E568" s="31" t="str">
        <f>_xlfn.XLOOKUP(B568,Tableau13[ID_Antenne],Tableau13[Technologie],"Non répertoriées")</f>
        <v>5G</v>
      </c>
      <c r="F568" s="3">
        <f>_xlfn.XLOOKUP(B568,Tableau13[ID_Antenne],Tableau13[Latitude],"Non répertoriées")</f>
        <v>-0.47411900000000001</v>
      </c>
      <c r="G568" s="32">
        <f>_xlfn.XLOOKUP(B568,Tableau13[ID_Antenne],Tableau13[Longitude],"Non répertoriées")</f>
        <v>27.184329000000002</v>
      </c>
      <c r="H568" t="s">
        <v>5</v>
      </c>
    </row>
    <row r="569" spans="1:8" x14ac:dyDescent="0.25">
      <c r="A569" s="1">
        <v>45201.726388888892</v>
      </c>
      <c r="B569" t="s">
        <v>434</v>
      </c>
      <c r="C569" s="29" t="str">
        <f>_xlfn.XLOOKUP(B569,Tableau13[ID_Antenne],Tableau13[Province_RDC],"Non répertoriées")</f>
        <v>Kasai-Oriental</v>
      </c>
      <c r="D569">
        <v>97</v>
      </c>
      <c r="E569" s="31" t="str">
        <f>_xlfn.XLOOKUP(B569,Tableau13[ID_Antenne],Tableau13[Technologie],"Non répertoriées")</f>
        <v>5G</v>
      </c>
      <c r="F569" s="3">
        <f>_xlfn.XLOOKUP(B569,Tableau13[ID_Antenne],Tableau13[Latitude],"Non répertoriées")</f>
        <v>-4.3639070000000002</v>
      </c>
      <c r="G569" s="32">
        <f>_xlfn.XLOOKUP(B569,Tableau13[ID_Antenne],Tableau13[Longitude],"Non répertoriées")</f>
        <v>16.283307000000001</v>
      </c>
      <c r="H569" t="s">
        <v>8</v>
      </c>
    </row>
    <row r="570" spans="1:8" x14ac:dyDescent="0.25">
      <c r="A570" s="1">
        <v>45230.565972222219</v>
      </c>
      <c r="B570" t="s">
        <v>154</v>
      </c>
      <c r="C570" t="str">
        <f>_xlfn.XLOOKUP(B570,Tableau13[ID_Antenne],Tableau13[Province_RDC],"Non répertoriées")</f>
        <v>Non répertoriées</v>
      </c>
      <c r="D570">
        <v>74</v>
      </c>
      <c r="E570" t="str">
        <f>_xlfn.XLOOKUP(B570,Tableau13[ID_Antenne],Tableau13[Technologie],"Non répertoriées")</f>
        <v>Non répertoriées</v>
      </c>
      <c r="F570" t="str">
        <f>_xlfn.XLOOKUP(B570,Tableau13[ID_Antenne],Tableau13[Latitude],"Non répertoriées")</f>
        <v>Non répertoriées</v>
      </c>
      <c r="G570" t="str">
        <f>_xlfn.XLOOKUP(B570,Tableau13[ID_Antenne],Tableau13[Longitude],"Non répertoriées")</f>
        <v>Non répertoriées</v>
      </c>
      <c r="H570" t="s">
        <v>5</v>
      </c>
    </row>
    <row r="571" spans="1:8" x14ac:dyDescent="0.25">
      <c r="A571" s="1">
        <v>45216.183333333327</v>
      </c>
      <c r="B571" t="s">
        <v>304</v>
      </c>
      <c r="C571" s="29" t="str">
        <f>_xlfn.XLOOKUP(B571,Tableau13[ID_Antenne],Tableau13[Province_RDC],"Non répertoriées")</f>
        <v>Lualaba</v>
      </c>
      <c r="D571">
        <v>67</v>
      </c>
      <c r="E571" s="31" t="str">
        <f>_xlfn.XLOOKUP(B571,Tableau13[ID_Antenne],Tableau13[Technologie],"Non répertoriées")</f>
        <v>4G</v>
      </c>
      <c r="F571" s="3">
        <f>_xlfn.XLOOKUP(B571,Tableau13[ID_Antenne],Tableau13[Latitude],"Non répertoriées")</f>
        <v>-10.967288</v>
      </c>
      <c r="G571" s="32">
        <f>_xlfn.XLOOKUP(B571,Tableau13[ID_Antenne],Tableau13[Longitude],"Non répertoriées")</f>
        <v>17.617781000000001</v>
      </c>
      <c r="H571" t="s">
        <v>8</v>
      </c>
    </row>
    <row r="572" spans="1:8" x14ac:dyDescent="0.25">
      <c r="A572" s="1">
        <v>45207.342361111107</v>
      </c>
      <c r="B572" t="s">
        <v>435</v>
      </c>
      <c r="C572" s="29" t="str">
        <f>_xlfn.XLOOKUP(B572,Tableau13[ID_Antenne],Tableau13[Province_RDC],"Non répertoriées")</f>
        <v>Bas-Uele</v>
      </c>
      <c r="D572">
        <v>28</v>
      </c>
      <c r="E572" s="31" t="str">
        <f>_xlfn.XLOOKUP(B572,Tableau13[ID_Antenne],Tableau13[Technologie],"Non répertoriées")</f>
        <v>3G</v>
      </c>
      <c r="F572" s="3">
        <f>_xlfn.XLOOKUP(B572,Tableau13[ID_Antenne],Tableau13[Latitude],"Non répertoriées")</f>
        <v>0.40267799999999998</v>
      </c>
      <c r="G572" s="32">
        <f>_xlfn.XLOOKUP(B572,Tableau13[ID_Antenne],Tableau13[Longitude],"Non répertoriées")</f>
        <v>16.000858000000001</v>
      </c>
      <c r="H572" t="s">
        <v>5</v>
      </c>
    </row>
    <row r="573" spans="1:8" x14ac:dyDescent="0.25">
      <c r="A573" s="1">
        <v>45210.836805555547</v>
      </c>
      <c r="B573" t="s">
        <v>436</v>
      </c>
      <c r="C573" s="29" t="str">
        <f>_xlfn.XLOOKUP(B573,Tableau13[ID_Antenne],Tableau13[Province_RDC],"Non répertoriées")</f>
        <v>Mongala</v>
      </c>
      <c r="D573">
        <v>118</v>
      </c>
      <c r="E573" s="31" t="str">
        <f>_xlfn.XLOOKUP(B573,Tableau13[ID_Antenne],Tableau13[Technologie],"Non répertoriées")</f>
        <v>4G</v>
      </c>
      <c r="F573" s="3">
        <f>_xlfn.XLOOKUP(B573,Tableau13[ID_Antenne],Tableau13[Latitude],"Non répertoriées")</f>
        <v>-11.407966</v>
      </c>
      <c r="G573" s="32">
        <f>_xlfn.XLOOKUP(B573,Tableau13[ID_Antenne],Tableau13[Longitude],"Non répertoriées")</f>
        <v>28.378274000000001</v>
      </c>
      <c r="H573" t="s">
        <v>5</v>
      </c>
    </row>
    <row r="574" spans="1:8" x14ac:dyDescent="0.25">
      <c r="A574" s="1">
        <v>45229.620833333327</v>
      </c>
      <c r="B574" t="s">
        <v>437</v>
      </c>
      <c r="C574" s="29" t="str">
        <f>_xlfn.XLOOKUP(B574,Tableau13[ID_Antenne],Tableau13[Province_RDC],"Non répertoriées")</f>
        <v>Haut-Uele</v>
      </c>
      <c r="D574">
        <v>74</v>
      </c>
      <c r="E574" s="31" t="str">
        <f>_xlfn.XLOOKUP(B574,Tableau13[ID_Antenne],Tableau13[Technologie],"Non répertoriées")</f>
        <v>4G</v>
      </c>
      <c r="F574" s="3">
        <f>_xlfn.XLOOKUP(B574,Tableau13[ID_Antenne],Tableau13[Latitude],"Non répertoriées")</f>
        <v>-12.488033</v>
      </c>
      <c r="G574" s="32">
        <f>_xlfn.XLOOKUP(B574,Tableau13[ID_Antenne],Tableau13[Longitude],"Non répertoriées")</f>
        <v>16.139648000000001</v>
      </c>
      <c r="H574" t="s">
        <v>10</v>
      </c>
    </row>
    <row r="575" spans="1:8" x14ac:dyDescent="0.25">
      <c r="A575" s="1">
        <v>45211.106944444437</v>
      </c>
      <c r="B575" t="s">
        <v>91</v>
      </c>
      <c r="C575" s="29" t="str">
        <f>_xlfn.XLOOKUP(B575,Tableau13[ID_Antenne],Tableau13[Province_RDC],"Non répertoriées")</f>
        <v>Sud-Kivu</v>
      </c>
      <c r="D575">
        <v>87</v>
      </c>
      <c r="E575" s="31" t="str">
        <f>_xlfn.XLOOKUP(B575,Tableau13[ID_Antenne],Tableau13[Technologie],"Non répertoriées")</f>
        <v>3G</v>
      </c>
      <c r="F575" s="3">
        <f>_xlfn.XLOOKUP(B575,Tableau13[ID_Antenne],Tableau13[Latitude],"Non répertoriées")</f>
        <v>-5.2526849999999996</v>
      </c>
      <c r="G575" s="32">
        <f>_xlfn.XLOOKUP(B575,Tableau13[ID_Antenne],Tableau13[Longitude],"Non répertoriées")</f>
        <v>12.374528</v>
      </c>
      <c r="H575" t="s">
        <v>10</v>
      </c>
    </row>
    <row r="576" spans="1:8" x14ac:dyDescent="0.25">
      <c r="A576" s="1">
        <v>45223.252083333333</v>
      </c>
      <c r="B576" t="s">
        <v>245</v>
      </c>
      <c r="C576" s="29" t="str">
        <f>_xlfn.XLOOKUP(B576,Tableau13[ID_Antenne],Tableau13[Province_RDC],"Non répertoriées")</f>
        <v>Nord-Kivu</v>
      </c>
      <c r="D576">
        <v>12</v>
      </c>
      <c r="E576" s="31" t="str">
        <f>_xlfn.XLOOKUP(B576,Tableau13[ID_Antenne],Tableau13[Technologie],"Non répertoriées")</f>
        <v>4G</v>
      </c>
      <c r="F576" s="3">
        <f>_xlfn.XLOOKUP(B576,Tableau13[ID_Antenne],Tableau13[Latitude],"Non répertoriées")</f>
        <v>-10.846306999999999</v>
      </c>
      <c r="G576" s="32">
        <f>_xlfn.XLOOKUP(B576,Tableau13[ID_Antenne],Tableau13[Longitude],"Non répertoriées")</f>
        <v>19.201827999999999</v>
      </c>
      <c r="H576" t="s">
        <v>8</v>
      </c>
    </row>
    <row r="577" spans="1:8" x14ac:dyDescent="0.25">
      <c r="A577" s="1">
        <v>45208.529861111107</v>
      </c>
      <c r="B577" t="s">
        <v>438</v>
      </c>
      <c r="C577" t="str">
        <f>_xlfn.XLOOKUP(B577,Tableau13[ID_Antenne],Tableau13[Province_RDC],"Non répertoriées")</f>
        <v>Non répertoriées</v>
      </c>
      <c r="D577">
        <v>72</v>
      </c>
      <c r="E577" t="str">
        <f>_xlfn.XLOOKUP(B577,Tableau13[ID_Antenne],Tableau13[Technologie],"Non répertoriées")</f>
        <v>Non répertoriées</v>
      </c>
      <c r="F577" t="str">
        <f>_xlfn.XLOOKUP(B577,Tableau13[ID_Antenne],Tableau13[Latitude],"Non répertoriées")</f>
        <v>Non répertoriées</v>
      </c>
      <c r="G577" t="str">
        <f>_xlfn.XLOOKUP(B577,Tableau13[ID_Antenne],Tableau13[Longitude],"Non répertoriées")</f>
        <v>Non répertoriées</v>
      </c>
      <c r="H577" t="s">
        <v>10</v>
      </c>
    </row>
    <row r="578" spans="1:8" x14ac:dyDescent="0.25">
      <c r="A578" s="1">
        <v>45219.793055555558</v>
      </c>
      <c r="B578" t="s">
        <v>225</v>
      </c>
      <c r="C578" t="str">
        <f>_xlfn.XLOOKUP(B578,Tableau13[ID_Antenne],Tableau13[Province_RDC],"Non répertoriées")</f>
        <v>Non répertoriées</v>
      </c>
      <c r="D578">
        <v>9</v>
      </c>
      <c r="E578" t="str">
        <f>_xlfn.XLOOKUP(B578,Tableau13[ID_Antenne],Tableau13[Technologie],"Non répertoriées")</f>
        <v>Non répertoriées</v>
      </c>
      <c r="F578" t="str">
        <f>_xlfn.XLOOKUP(B578,Tableau13[ID_Antenne],Tableau13[Latitude],"Non répertoriées")</f>
        <v>Non répertoriées</v>
      </c>
      <c r="G578" t="str">
        <f>_xlfn.XLOOKUP(B578,Tableau13[ID_Antenne],Tableau13[Longitude],"Non répertoriées")</f>
        <v>Non répertoriées</v>
      </c>
      <c r="H578" t="s">
        <v>8</v>
      </c>
    </row>
    <row r="579" spans="1:8" x14ac:dyDescent="0.25">
      <c r="A579" s="1">
        <v>45227.091666666667</v>
      </c>
      <c r="B579" t="s">
        <v>439</v>
      </c>
      <c r="C579" s="29" t="str">
        <f>_xlfn.XLOOKUP(B579,Tableau13[ID_Antenne],Tableau13[Province_RDC],"Non répertoriées")</f>
        <v>Kwilu</v>
      </c>
      <c r="D579">
        <v>112</v>
      </c>
      <c r="E579" s="31" t="str">
        <f>_xlfn.XLOOKUP(B579,Tableau13[ID_Antenne],Tableau13[Technologie],"Non répertoriées")</f>
        <v>3G</v>
      </c>
      <c r="F579" s="3">
        <f>_xlfn.XLOOKUP(B579,Tableau13[ID_Antenne],Tableau13[Latitude],"Non répertoriées")</f>
        <v>-10.161428000000001</v>
      </c>
      <c r="G579" s="32">
        <f>_xlfn.XLOOKUP(B579,Tableau13[ID_Antenne],Tableau13[Longitude],"Non répertoriées")</f>
        <v>19.362325999999999</v>
      </c>
      <c r="H579" t="s">
        <v>5</v>
      </c>
    </row>
    <row r="580" spans="1:8" x14ac:dyDescent="0.25">
      <c r="A580" s="1">
        <v>45225.781944444447</v>
      </c>
      <c r="B580" t="s">
        <v>440</v>
      </c>
      <c r="C580" s="29" t="str">
        <f>_xlfn.XLOOKUP(B580,Tableau13[ID_Antenne],Tableau13[Province_RDC],"Non répertoriées")</f>
        <v>Tanganyika</v>
      </c>
      <c r="D580">
        <v>113</v>
      </c>
      <c r="E580" s="31" t="str">
        <f>_xlfn.XLOOKUP(B580,Tableau13[ID_Antenne],Tableau13[Technologie],"Non répertoriées")</f>
        <v>3G</v>
      </c>
      <c r="F580" s="3">
        <f>_xlfn.XLOOKUP(B580,Tableau13[ID_Antenne],Tableau13[Latitude],"Non répertoriées")</f>
        <v>-7.9425049999999997</v>
      </c>
      <c r="G580" s="32">
        <f>_xlfn.XLOOKUP(B580,Tableau13[ID_Antenne],Tableau13[Longitude],"Non répertoriées")</f>
        <v>24.111059000000001</v>
      </c>
      <c r="H580" t="s">
        <v>8</v>
      </c>
    </row>
    <row r="581" spans="1:8" x14ac:dyDescent="0.25">
      <c r="A581" s="1">
        <v>45221.717361111107</v>
      </c>
      <c r="B581" t="s">
        <v>35</v>
      </c>
      <c r="C581" s="29" t="str">
        <f>_xlfn.XLOOKUP(B581,Tableau13[ID_Antenne],Tableau13[Province_RDC],"Non répertoriées")</f>
        <v>Tanganyika</v>
      </c>
      <c r="D581">
        <v>14</v>
      </c>
      <c r="E581" s="31" t="str">
        <f>_xlfn.XLOOKUP(B581,Tableau13[ID_Antenne],Tableau13[Technologie],"Non répertoriées")</f>
        <v>5G</v>
      </c>
      <c r="F581" s="3">
        <f>_xlfn.XLOOKUP(B581,Tableau13[ID_Antenne],Tableau13[Latitude],"Non répertoriées")</f>
        <v>-2.4662510000000002</v>
      </c>
      <c r="G581" s="32">
        <f>_xlfn.XLOOKUP(B581,Tableau13[ID_Antenne],Tableau13[Longitude],"Non répertoriées")</f>
        <v>18.007998000000001</v>
      </c>
      <c r="H581" t="s">
        <v>5</v>
      </c>
    </row>
    <row r="582" spans="1:8" x14ac:dyDescent="0.25">
      <c r="A582" s="1">
        <v>45215.288194444453</v>
      </c>
      <c r="B582" t="s">
        <v>441</v>
      </c>
      <c r="C582" s="29" t="str">
        <f>_xlfn.XLOOKUP(B582,Tableau13[ID_Antenne],Tableau13[Province_RDC],"Non répertoriées")</f>
        <v>Kongo-Central</v>
      </c>
      <c r="D582">
        <v>109</v>
      </c>
      <c r="E582" s="31" t="str">
        <f>_xlfn.XLOOKUP(B582,Tableau13[ID_Antenne],Tableau13[Technologie],"Non répertoriées")</f>
        <v>5G</v>
      </c>
      <c r="F582" s="3">
        <f>_xlfn.XLOOKUP(B582,Tableau13[ID_Antenne],Tableau13[Latitude],"Non répertoriées")</f>
        <v>-11.157245</v>
      </c>
      <c r="G582" s="32">
        <f>_xlfn.XLOOKUP(B582,Tableau13[ID_Antenne],Tableau13[Longitude],"Non répertoriées")</f>
        <v>21.262627999999999</v>
      </c>
      <c r="H582" t="s">
        <v>5</v>
      </c>
    </row>
    <row r="583" spans="1:8" x14ac:dyDescent="0.25">
      <c r="A583" s="1">
        <v>45229.429861111108</v>
      </c>
      <c r="B583" t="s">
        <v>282</v>
      </c>
      <c r="C583" t="str">
        <f>_xlfn.XLOOKUP(B583,Tableau13[ID_Antenne],Tableau13[Province_RDC],"Non répertoriées")</f>
        <v>Non répertoriées</v>
      </c>
      <c r="D583">
        <v>90</v>
      </c>
      <c r="E583" t="str">
        <f>_xlfn.XLOOKUP(B583,Tableau13[ID_Antenne],Tableau13[Technologie],"Non répertoriées")</f>
        <v>Non répertoriées</v>
      </c>
      <c r="F583" t="str">
        <f>_xlfn.XLOOKUP(B583,Tableau13[ID_Antenne],Tableau13[Latitude],"Non répertoriées")</f>
        <v>Non répertoriées</v>
      </c>
      <c r="G583" t="str">
        <f>_xlfn.XLOOKUP(B583,Tableau13[ID_Antenne],Tableau13[Longitude],"Non répertoriées")</f>
        <v>Non répertoriées</v>
      </c>
      <c r="H583" t="s">
        <v>5</v>
      </c>
    </row>
    <row r="584" spans="1:8" x14ac:dyDescent="0.25">
      <c r="A584" s="1">
        <v>45230.009027777778</v>
      </c>
      <c r="B584" t="s">
        <v>83</v>
      </c>
      <c r="C584" s="29" t="str">
        <f>_xlfn.XLOOKUP(B584,Tableau13[ID_Antenne],Tableau13[Province_RDC],"Non répertoriées")</f>
        <v>Nord-Ubangi</v>
      </c>
      <c r="D584">
        <v>11</v>
      </c>
      <c r="E584" s="31" t="str">
        <f>_xlfn.XLOOKUP(B584,Tableau13[ID_Antenne],Tableau13[Technologie],"Non répertoriées")</f>
        <v>5G</v>
      </c>
      <c r="F584" s="3">
        <f>_xlfn.XLOOKUP(B584,Tableau13[ID_Antenne],Tableau13[Latitude],"Non répertoriées")</f>
        <v>0.94539899999999999</v>
      </c>
      <c r="G584" s="32">
        <f>_xlfn.XLOOKUP(B584,Tableau13[ID_Antenne],Tableau13[Longitude],"Non répertoriées")</f>
        <v>14.401821999999999</v>
      </c>
      <c r="H584" t="s">
        <v>8</v>
      </c>
    </row>
    <row r="585" spans="1:8" x14ac:dyDescent="0.25">
      <c r="A585" s="1">
        <v>45229.282638888893</v>
      </c>
      <c r="B585" t="s">
        <v>49</v>
      </c>
      <c r="C585" t="str">
        <f>_xlfn.XLOOKUP(B585,Tableau13[ID_Antenne],Tableau13[Province_RDC],"Non répertoriées")</f>
        <v>Non répertoriées</v>
      </c>
      <c r="D585">
        <v>102</v>
      </c>
      <c r="E585" t="str">
        <f>_xlfn.XLOOKUP(B585,Tableau13[ID_Antenne],Tableau13[Technologie],"Non répertoriées")</f>
        <v>Non répertoriées</v>
      </c>
      <c r="F585" t="str">
        <f>_xlfn.XLOOKUP(B585,Tableau13[ID_Antenne],Tableau13[Latitude],"Non répertoriées")</f>
        <v>Non répertoriées</v>
      </c>
      <c r="G585" t="str">
        <f>_xlfn.XLOOKUP(B585,Tableau13[ID_Antenne],Tableau13[Longitude],"Non répertoriées")</f>
        <v>Non répertoriées</v>
      </c>
      <c r="H585" t="s">
        <v>8</v>
      </c>
    </row>
    <row r="586" spans="1:8" x14ac:dyDescent="0.25">
      <c r="A586" s="1">
        <v>45203.991666666669</v>
      </c>
      <c r="B586" t="s">
        <v>442</v>
      </c>
      <c r="C586" t="str">
        <f>_xlfn.XLOOKUP(B586,Tableau13[ID_Antenne],Tableau13[Province_RDC],"Non répertoriées")</f>
        <v>Non répertoriées</v>
      </c>
      <c r="D586">
        <v>5</v>
      </c>
      <c r="E586" t="str">
        <f>_xlfn.XLOOKUP(B586,Tableau13[ID_Antenne],Tableau13[Technologie],"Non répertoriées")</f>
        <v>Non répertoriées</v>
      </c>
      <c r="F586" t="str">
        <f>_xlfn.XLOOKUP(B586,Tableau13[ID_Antenne],Tableau13[Latitude],"Non répertoriées")</f>
        <v>Non répertoriées</v>
      </c>
      <c r="G586" t="str">
        <f>_xlfn.XLOOKUP(B586,Tableau13[ID_Antenne],Tableau13[Longitude],"Non répertoriées")</f>
        <v>Non répertoriées</v>
      </c>
      <c r="H586" t="s">
        <v>10</v>
      </c>
    </row>
    <row r="587" spans="1:8" x14ac:dyDescent="0.25">
      <c r="A587" s="1">
        <v>45215.322222222218</v>
      </c>
      <c r="B587" t="s">
        <v>443</v>
      </c>
      <c r="C587" t="str">
        <f>_xlfn.XLOOKUP(B587,Tableau13[ID_Antenne],Tableau13[Province_RDC],"Non répertoriées")</f>
        <v>Non répertoriées</v>
      </c>
      <c r="D587">
        <v>57</v>
      </c>
      <c r="E587" t="str">
        <f>_xlfn.XLOOKUP(B587,Tableau13[ID_Antenne],Tableau13[Technologie],"Non répertoriées")</f>
        <v>Non répertoriées</v>
      </c>
      <c r="F587" t="str">
        <f>_xlfn.XLOOKUP(B587,Tableau13[ID_Antenne],Tableau13[Latitude],"Non répertoriées")</f>
        <v>Non répertoriées</v>
      </c>
      <c r="G587" t="str">
        <f>_xlfn.XLOOKUP(B587,Tableau13[ID_Antenne],Tableau13[Longitude],"Non répertoriées")</f>
        <v>Non répertoriées</v>
      </c>
      <c r="H587" t="s">
        <v>10</v>
      </c>
    </row>
    <row r="588" spans="1:8" x14ac:dyDescent="0.25">
      <c r="A588" s="1">
        <v>45219.925694444442</v>
      </c>
      <c r="B588" t="s">
        <v>444</v>
      </c>
      <c r="C588" t="str">
        <f>_xlfn.XLOOKUP(B588,Tableau13[ID_Antenne],Tableau13[Province_RDC],"Non répertoriées")</f>
        <v>Non répertoriées</v>
      </c>
      <c r="D588">
        <v>22</v>
      </c>
      <c r="E588" t="str">
        <f>_xlfn.XLOOKUP(B588,Tableau13[ID_Antenne],Tableau13[Technologie],"Non répertoriées")</f>
        <v>Non répertoriées</v>
      </c>
      <c r="F588" t="str">
        <f>_xlfn.XLOOKUP(B588,Tableau13[ID_Antenne],Tableau13[Latitude],"Non répertoriées")</f>
        <v>Non répertoriées</v>
      </c>
      <c r="G588" t="str">
        <f>_xlfn.XLOOKUP(B588,Tableau13[ID_Antenne],Tableau13[Longitude],"Non répertoriées")</f>
        <v>Non répertoriées</v>
      </c>
      <c r="H588" t="s">
        <v>5</v>
      </c>
    </row>
    <row r="589" spans="1:8" x14ac:dyDescent="0.25">
      <c r="A589" s="1">
        <v>45212.315972222219</v>
      </c>
      <c r="B589" t="s">
        <v>172</v>
      </c>
      <c r="C589" t="str">
        <f>_xlfn.XLOOKUP(B589,Tableau13[ID_Antenne],Tableau13[Province_RDC],"Non répertoriées")</f>
        <v>Non répertoriées</v>
      </c>
      <c r="D589">
        <v>112</v>
      </c>
      <c r="E589" t="str">
        <f>_xlfn.XLOOKUP(B589,Tableau13[ID_Antenne],Tableau13[Technologie],"Non répertoriées")</f>
        <v>Non répertoriées</v>
      </c>
      <c r="F589" t="str">
        <f>_xlfn.XLOOKUP(B589,Tableau13[ID_Antenne],Tableau13[Latitude],"Non répertoriées")</f>
        <v>Non répertoriées</v>
      </c>
      <c r="G589" t="str">
        <f>_xlfn.XLOOKUP(B589,Tableau13[ID_Antenne],Tableau13[Longitude],"Non répertoriées")</f>
        <v>Non répertoriées</v>
      </c>
      <c r="H589" t="s">
        <v>5</v>
      </c>
    </row>
    <row r="590" spans="1:8" x14ac:dyDescent="0.25">
      <c r="A590" s="1">
        <v>45210.39166666667</v>
      </c>
      <c r="B590" t="s">
        <v>103</v>
      </c>
      <c r="C590" s="29" t="str">
        <f>_xlfn.XLOOKUP(B590,Tableau13[ID_Antenne],Tableau13[Province_RDC],"Non répertoriées")</f>
        <v>Nord-Kivu</v>
      </c>
      <c r="D590">
        <v>85</v>
      </c>
      <c r="E590" s="31" t="str">
        <f>_xlfn.XLOOKUP(B590,Tableau13[ID_Antenne],Tableau13[Technologie],"Non répertoriées")</f>
        <v>3G</v>
      </c>
      <c r="F590" s="3">
        <f>_xlfn.XLOOKUP(B590,Tableau13[ID_Antenne],Tableau13[Latitude],"Non répertoriées")</f>
        <v>1.017161</v>
      </c>
      <c r="G590" s="32">
        <f>_xlfn.XLOOKUP(B590,Tableau13[ID_Antenne],Tableau13[Longitude],"Non répertoriées")</f>
        <v>16.519689</v>
      </c>
      <c r="H590" t="s">
        <v>8</v>
      </c>
    </row>
    <row r="591" spans="1:8" x14ac:dyDescent="0.25">
      <c r="A591" s="1">
        <v>45214.736805555563</v>
      </c>
      <c r="B591" t="s">
        <v>445</v>
      </c>
      <c r="C591" s="29" t="str">
        <f>_xlfn.XLOOKUP(B591,Tableau13[ID_Antenne],Tableau13[Province_RDC],"Non répertoriées")</f>
        <v>Kwilu</v>
      </c>
      <c r="D591">
        <v>34</v>
      </c>
      <c r="E591" s="31" t="str">
        <f>_xlfn.XLOOKUP(B591,Tableau13[ID_Antenne],Tableau13[Technologie],"Non répertoriées")</f>
        <v>3G</v>
      </c>
      <c r="F591" s="3">
        <f>_xlfn.XLOOKUP(B591,Tableau13[ID_Antenne],Tableau13[Latitude],"Non répertoriées")</f>
        <v>5.3608999999999997E-2</v>
      </c>
      <c r="G591" s="32">
        <f>_xlfn.XLOOKUP(B591,Tableau13[ID_Antenne],Tableau13[Longitude],"Non répertoriées")</f>
        <v>28.346852999999999</v>
      </c>
      <c r="H591" t="s">
        <v>10</v>
      </c>
    </row>
    <row r="592" spans="1:8" x14ac:dyDescent="0.25">
      <c r="A592" s="1">
        <v>45211.386111111111</v>
      </c>
      <c r="B592" t="s">
        <v>195</v>
      </c>
      <c r="C592" t="str">
        <f>_xlfn.XLOOKUP(B592,Tableau13[ID_Antenne],Tableau13[Province_RDC],"Non répertoriées")</f>
        <v>Non répertoriées</v>
      </c>
      <c r="D592">
        <v>13</v>
      </c>
      <c r="E592" t="str">
        <f>_xlfn.XLOOKUP(B592,Tableau13[ID_Antenne],Tableau13[Technologie],"Non répertoriées")</f>
        <v>Non répertoriées</v>
      </c>
      <c r="F592" t="str">
        <f>_xlfn.XLOOKUP(B592,Tableau13[ID_Antenne],Tableau13[Latitude],"Non répertoriées")</f>
        <v>Non répertoriées</v>
      </c>
      <c r="G592" t="str">
        <f>_xlfn.XLOOKUP(B592,Tableau13[ID_Antenne],Tableau13[Longitude],"Non répertoriées")</f>
        <v>Non répertoriées</v>
      </c>
      <c r="H592" t="s">
        <v>8</v>
      </c>
    </row>
    <row r="593" spans="1:8" x14ac:dyDescent="0.25">
      <c r="A593" s="1">
        <v>45211.705555555563</v>
      </c>
      <c r="B593" t="s">
        <v>446</v>
      </c>
      <c r="C593" t="str">
        <f>_xlfn.XLOOKUP(B593,Tableau13[ID_Antenne],Tableau13[Province_RDC],"Non répertoriées")</f>
        <v>Non répertoriées</v>
      </c>
      <c r="D593">
        <v>95</v>
      </c>
      <c r="E593" t="str">
        <f>_xlfn.XLOOKUP(B593,Tableau13[ID_Antenne],Tableau13[Technologie],"Non répertoriées")</f>
        <v>Non répertoriées</v>
      </c>
      <c r="F593" t="str">
        <f>_xlfn.XLOOKUP(B593,Tableau13[ID_Antenne],Tableau13[Latitude],"Non répertoriées")</f>
        <v>Non répertoriées</v>
      </c>
      <c r="G593" t="str">
        <f>_xlfn.XLOOKUP(B593,Tableau13[ID_Antenne],Tableau13[Longitude],"Non répertoriées")</f>
        <v>Non répertoriées</v>
      </c>
      <c r="H593" t="s">
        <v>8</v>
      </c>
    </row>
    <row r="594" spans="1:8" x14ac:dyDescent="0.25">
      <c r="A594" s="1">
        <v>45215.587500000001</v>
      </c>
      <c r="B594" t="s">
        <v>447</v>
      </c>
      <c r="C594" s="29" t="str">
        <f>_xlfn.XLOOKUP(B594,Tableau13[ID_Antenne],Tableau13[Province_RDC],"Non répertoriées")</f>
        <v>Maniema</v>
      </c>
      <c r="D594">
        <v>24</v>
      </c>
      <c r="E594" s="31" t="str">
        <f>_xlfn.XLOOKUP(B594,Tableau13[ID_Antenne],Tableau13[Technologie],"Non répertoriées")</f>
        <v>5G</v>
      </c>
      <c r="F594" s="3">
        <f>_xlfn.XLOOKUP(B594,Tableau13[ID_Antenne],Tableau13[Latitude],"Non répertoriées")</f>
        <v>2.5458379999999998</v>
      </c>
      <c r="G594" s="32">
        <f>_xlfn.XLOOKUP(B594,Tableau13[ID_Antenne],Tableau13[Longitude],"Non répertoriées")</f>
        <v>13.308655</v>
      </c>
      <c r="H594" t="s">
        <v>8</v>
      </c>
    </row>
    <row r="595" spans="1:8" x14ac:dyDescent="0.25">
      <c r="A595" s="1">
        <v>45225.979166666657</v>
      </c>
      <c r="B595" t="s">
        <v>283</v>
      </c>
      <c r="C595" s="29" t="str">
        <f>_xlfn.XLOOKUP(B595,Tableau13[ID_Antenne],Tableau13[Province_RDC],"Non répertoriées")</f>
        <v>Tshuapa</v>
      </c>
      <c r="D595">
        <v>6</v>
      </c>
      <c r="E595" s="31" t="str">
        <f>_xlfn.XLOOKUP(B595,Tableau13[ID_Antenne],Tableau13[Technologie],"Non répertoriées")</f>
        <v>4G</v>
      </c>
      <c r="F595" s="3">
        <f>_xlfn.XLOOKUP(B595,Tableau13[ID_Antenne],Tableau13[Latitude],"Non répertoriées")</f>
        <v>-10.577049000000001</v>
      </c>
      <c r="G595" s="32">
        <f>_xlfn.XLOOKUP(B595,Tableau13[ID_Antenne],Tableau13[Longitude],"Non répertoriées")</f>
        <v>23.721854</v>
      </c>
      <c r="H595" t="s">
        <v>5</v>
      </c>
    </row>
    <row r="596" spans="1:8" x14ac:dyDescent="0.25">
      <c r="A596" s="1">
        <v>45224.456944444442</v>
      </c>
      <c r="B596" t="s">
        <v>29</v>
      </c>
      <c r="C596" t="str">
        <f>_xlfn.XLOOKUP(B596,Tableau13[ID_Antenne],Tableau13[Province_RDC],"Non répertoriées")</f>
        <v>Non répertoriées</v>
      </c>
      <c r="D596">
        <v>32</v>
      </c>
      <c r="E596" t="str">
        <f>_xlfn.XLOOKUP(B596,Tableau13[ID_Antenne],Tableau13[Technologie],"Non répertoriées")</f>
        <v>Non répertoriées</v>
      </c>
      <c r="F596" t="str">
        <f>_xlfn.XLOOKUP(B596,Tableau13[ID_Antenne],Tableau13[Latitude],"Non répertoriées")</f>
        <v>Non répertoriées</v>
      </c>
      <c r="G596" t="str">
        <f>_xlfn.XLOOKUP(B596,Tableau13[ID_Antenne],Tableau13[Longitude],"Non répertoriées")</f>
        <v>Non répertoriées</v>
      </c>
      <c r="H596" t="s">
        <v>5</v>
      </c>
    </row>
    <row r="597" spans="1:8" x14ac:dyDescent="0.25">
      <c r="A597" s="1">
        <v>45206.472222222219</v>
      </c>
      <c r="B597" t="s">
        <v>448</v>
      </c>
      <c r="C597" t="str">
        <f>_xlfn.XLOOKUP(B597,Tableau13[ID_Antenne],Tableau13[Province_RDC],"Non répertoriées")</f>
        <v>Non répertoriées</v>
      </c>
      <c r="D597">
        <v>69</v>
      </c>
      <c r="E597" t="str">
        <f>_xlfn.XLOOKUP(B597,Tableau13[ID_Antenne],Tableau13[Technologie],"Non répertoriées")</f>
        <v>Non répertoriées</v>
      </c>
      <c r="F597" t="str">
        <f>_xlfn.XLOOKUP(B597,Tableau13[ID_Antenne],Tableau13[Latitude],"Non répertoriées")</f>
        <v>Non répertoriées</v>
      </c>
      <c r="G597" t="str">
        <f>_xlfn.XLOOKUP(B597,Tableau13[ID_Antenne],Tableau13[Longitude],"Non répertoriées")</f>
        <v>Non répertoriées</v>
      </c>
      <c r="H597" t="s">
        <v>10</v>
      </c>
    </row>
    <row r="598" spans="1:8" x14ac:dyDescent="0.25">
      <c r="A598" s="1">
        <v>45213.066666666673</v>
      </c>
      <c r="B598" t="s">
        <v>337</v>
      </c>
      <c r="C598" s="29" t="str">
        <f>_xlfn.XLOOKUP(B598,Tableau13[ID_Antenne],Tableau13[Province_RDC],"Non répertoriées")</f>
        <v>Sud-Ubangi</v>
      </c>
      <c r="D598">
        <v>63</v>
      </c>
      <c r="E598" s="31" t="str">
        <f>_xlfn.XLOOKUP(B598,Tableau13[ID_Antenne],Tableau13[Technologie],"Non répertoriées")</f>
        <v>3G</v>
      </c>
      <c r="F598" s="3">
        <f>_xlfn.XLOOKUP(B598,Tableau13[ID_Antenne],Tableau13[Latitude],"Non répertoriées")</f>
        <v>-11.387295999999999</v>
      </c>
      <c r="G598" s="32">
        <f>_xlfn.XLOOKUP(B598,Tableau13[ID_Antenne],Tableau13[Longitude],"Non répertoriées")</f>
        <v>19.384257999999999</v>
      </c>
      <c r="H598" t="s">
        <v>5</v>
      </c>
    </row>
    <row r="599" spans="1:8" x14ac:dyDescent="0.25">
      <c r="A599" s="1">
        <v>45227.324305555558</v>
      </c>
      <c r="B599" t="s">
        <v>449</v>
      </c>
      <c r="C599" t="str">
        <f>_xlfn.XLOOKUP(B599,Tableau13[ID_Antenne],Tableau13[Province_RDC],"Non répertoriées")</f>
        <v>Non répertoriées</v>
      </c>
      <c r="D599">
        <v>52</v>
      </c>
      <c r="E599" t="str">
        <f>_xlfn.XLOOKUP(B599,Tableau13[ID_Antenne],Tableau13[Technologie],"Non répertoriées")</f>
        <v>Non répertoriées</v>
      </c>
      <c r="F599" t="str">
        <f>_xlfn.XLOOKUP(B599,Tableau13[ID_Antenne],Tableau13[Latitude],"Non répertoriées")</f>
        <v>Non répertoriées</v>
      </c>
      <c r="G599" t="str">
        <f>_xlfn.XLOOKUP(B599,Tableau13[ID_Antenne],Tableau13[Longitude],"Non répertoriées")</f>
        <v>Non répertoriées</v>
      </c>
      <c r="H599" t="s">
        <v>5</v>
      </c>
    </row>
    <row r="600" spans="1:8" x14ac:dyDescent="0.25">
      <c r="A600" s="1">
        <v>45204.011111111111</v>
      </c>
      <c r="B600" t="s">
        <v>450</v>
      </c>
      <c r="C600" s="29" t="str">
        <f>_xlfn.XLOOKUP(B600,Tableau13[ID_Antenne],Tableau13[Province_RDC],"Non répertoriées")</f>
        <v>Maniema</v>
      </c>
      <c r="D600">
        <v>12</v>
      </c>
      <c r="E600" s="31" t="str">
        <f>_xlfn.XLOOKUP(B600,Tableau13[ID_Antenne],Tableau13[Technologie],"Non répertoriées")</f>
        <v>5G</v>
      </c>
      <c r="F600" s="3">
        <f>_xlfn.XLOOKUP(B600,Tableau13[ID_Antenne],Tableau13[Latitude],"Non répertoriées")</f>
        <v>-1.6488929999999999</v>
      </c>
      <c r="G600" s="32">
        <f>_xlfn.XLOOKUP(B600,Tableau13[ID_Antenne],Tableau13[Longitude],"Non répertoriées")</f>
        <v>27.284617000000001</v>
      </c>
      <c r="H600" t="s">
        <v>8</v>
      </c>
    </row>
    <row r="601" spans="1:8" x14ac:dyDescent="0.25">
      <c r="A601" s="1">
        <v>45217.775694444441</v>
      </c>
      <c r="B601" t="s">
        <v>160</v>
      </c>
      <c r="C601" s="29" t="str">
        <f>_xlfn.XLOOKUP(B601,Tableau13[ID_Antenne],Tableau13[Province_RDC],"Non répertoriées")</f>
        <v>Maniema</v>
      </c>
      <c r="D601">
        <v>84</v>
      </c>
      <c r="E601" s="31" t="str">
        <f>_xlfn.XLOOKUP(B601,Tableau13[ID_Antenne],Tableau13[Technologie],"Non répertoriées")</f>
        <v>5G</v>
      </c>
      <c r="F601" s="3">
        <f>_xlfn.XLOOKUP(B601,Tableau13[ID_Antenne],Tableau13[Latitude],"Non répertoriées")</f>
        <v>-2.3743210000000001</v>
      </c>
      <c r="G601" s="32">
        <f>_xlfn.XLOOKUP(B601,Tableau13[ID_Antenne],Tableau13[Longitude],"Non répertoriées")</f>
        <v>22.399491000000001</v>
      </c>
      <c r="H601" t="s">
        <v>5</v>
      </c>
    </row>
    <row r="602" spans="1:8" x14ac:dyDescent="0.25">
      <c r="A602" s="1">
        <v>45223.554166666669</v>
      </c>
      <c r="B602" t="s">
        <v>451</v>
      </c>
      <c r="C602" s="29" t="str">
        <f>_xlfn.XLOOKUP(B602,Tableau13[ID_Antenne],Tableau13[Province_RDC],"Non répertoriées")</f>
        <v>Sud-Ubangi</v>
      </c>
      <c r="D602">
        <v>86</v>
      </c>
      <c r="E602" s="31" t="str">
        <f>_xlfn.XLOOKUP(B602,Tableau13[ID_Antenne],Tableau13[Technologie],"Non répertoriées")</f>
        <v>3G</v>
      </c>
      <c r="F602" s="3">
        <f>_xlfn.XLOOKUP(B602,Tableau13[ID_Antenne],Tableau13[Latitude],"Non répertoriées")</f>
        <v>-12.050063</v>
      </c>
      <c r="G602" s="32">
        <f>_xlfn.XLOOKUP(B602,Tableau13[ID_Antenne],Tableau13[Longitude],"Non répertoriées")</f>
        <v>26.636987999999999</v>
      </c>
      <c r="H602" t="s">
        <v>8</v>
      </c>
    </row>
    <row r="603" spans="1:8" x14ac:dyDescent="0.25">
      <c r="A603" s="1">
        <v>45204.26458333333</v>
      </c>
      <c r="B603" t="s">
        <v>382</v>
      </c>
      <c r="C603" s="29" t="str">
        <f>_xlfn.XLOOKUP(B603,Tableau13[ID_Antenne],Tableau13[Province_RDC],"Non répertoriées")</f>
        <v>Lualaba</v>
      </c>
      <c r="D603">
        <v>90</v>
      </c>
      <c r="E603" s="31" t="str">
        <f>_xlfn.XLOOKUP(B603,Tableau13[ID_Antenne],Tableau13[Technologie],"Non répertoriées")</f>
        <v>4G</v>
      </c>
      <c r="F603" s="3">
        <f>_xlfn.XLOOKUP(B603,Tableau13[ID_Antenne],Tableau13[Latitude],"Non répertoriées")</f>
        <v>2.0392079999999999</v>
      </c>
      <c r="G603" s="32">
        <f>_xlfn.XLOOKUP(B603,Tableau13[ID_Antenne],Tableau13[Longitude],"Non répertoriées")</f>
        <v>19.090841999999999</v>
      </c>
      <c r="H603" t="s">
        <v>10</v>
      </c>
    </row>
    <row r="604" spans="1:8" x14ac:dyDescent="0.25">
      <c r="A604" s="1">
        <v>45207.525000000001</v>
      </c>
      <c r="B604" t="s">
        <v>452</v>
      </c>
      <c r="C604" t="str">
        <f>_xlfn.XLOOKUP(B604,Tableau13[ID_Antenne],Tableau13[Province_RDC],"Non répertoriées")</f>
        <v>Non répertoriées</v>
      </c>
      <c r="D604">
        <v>83</v>
      </c>
      <c r="E604" t="str">
        <f>_xlfn.XLOOKUP(B604,Tableau13[ID_Antenne],Tableau13[Technologie],"Non répertoriées")</f>
        <v>Non répertoriées</v>
      </c>
      <c r="F604" t="str">
        <f>_xlfn.XLOOKUP(B604,Tableau13[ID_Antenne],Tableau13[Latitude],"Non répertoriées")</f>
        <v>Non répertoriées</v>
      </c>
      <c r="G604" t="str">
        <f>_xlfn.XLOOKUP(B604,Tableau13[ID_Antenne],Tableau13[Longitude],"Non répertoriées")</f>
        <v>Non répertoriées</v>
      </c>
      <c r="H604" t="s">
        <v>5</v>
      </c>
    </row>
    <row r="605" spans="1:8" x14ac:dyDescent="0.25">
      <c r="A605" s="1">
        <v>45226.313194444447</v>
      </c>
      <c r="B605" t="s">
        <v>453</v>
      </c>
      <c r="C605" s="29" t="str">
        <f>_xlfn.XLOOKUP(B605,Tableau13[ID_Antenne],Tableau13[Province_RDC],"Non répertoriées")</f>
        <v>Equateur</v>
      </c>
      <c r="D605">
        <v>66</v>
      </c>
      <c r="E605" s="31" t="str">
        <f>_xlfn.XLOOKUP(B605,Tableau13[ID_Antenne],Tableau13[Technologie],"Non répertoriées")</f>
        <v>3G</v>
      </c>
      <c r="F605" s="3">
        <f>_xlfn.XLOOKUP(B605,Tableau13[ID_Antenne],Tableau13[Latitude],"Non répertoriées")</f>
        <v>-12.839263000000001</v>
      </c>
      <c r="G605" s="32">
        <f>_xlfn.XLOOKUP(B605,Tableau13[ID_Antenne],Tableau13[Longitude],"Non répertoriées")</f>
        <v>12.355677</v>
      </c>
      <c r="H605" t="s">
        <v>10</v>
      </c>
    </row>
    <row r="606" spans="1:8" x14ac:dyDescent="0.25">
      <c r="A606" s="1">
        <v>45217.863194444442</v>
      </c>
      <c r="B606" t="s">
        <v>454</v>
      </c>
      <c r="C606" t="str">
        <f>_xlfn.XLOOKUP(B606,Tableau13[ID_Antenne],Tableau13[Province_RDC],"Non répertoriées")</f>
        <v>Non répertoriées</v>
      </c>
      <c r="D606">
        <v>89</v>
      </c>
      <c r="E606" t="str">
        <f>_xlfn.XLOOKUP(B606,Tableau13[ID_Antenne],Tableau13[Technologie],"Non répertoriées")</f>
        <v>Non répertoriées</v>
      </c>
      <c r="F606" t="str">
        <f>_xlfn.XLOOKUP(B606,Tableau13[ID_Antenne],Tableau13[Latitude],"Non répertoriées")</f>
        <v>Non répertoriées</v>
      </c>
      <c r="G606" t="str">
        <f>_xlfn.XLOOKUP(B606,Tableau13[ID_Antenne],Tableau13[Longitude],"Non répertoriées")</f>
        <v>Non répertoriées</v>
      </c>
      <c r="H606" t="s">
        <v>5</v>
      </c>
    </row>
    <row r="607" spans="1:8" x14ac:dyDescent="0.25">
      <c r="A607" s="1">
        <v>45210.366666666669</v>
      </c>
      <c r="B607" t="s">
        <v>455</v>
      </c>
      <c r="C607" s="29" t="str">
        <f>_xlfn.XLOOKUP(B607,Tableau13[ID_Antenne],Tableau13[Province_RDC],"Non répertoriées")</f>
        <v>Lualaba</v>
      </c>
      <c r="D607">
        <v>67</v>
      </c>
      <c r="E607" s="31" t="str">
        <f>_xlfn.XLOOKUP(B607,Tableau13[ID_Antenne],Tableau13[Technologie],"Non répertoriées")</f>
        <v>5G</v>
      </c>
      <c r="F607" s="3">
        <f>_xlfn.XLOOKUP(B607,Tableau13[ID_Antenne],Tableau13[Latitude],"Non répertoriées")</f>
        <v>-8.0301989999999996</v>
      </c>
      <c r="G607" s="32">
        <f>_xlfn.XLOOKUP(B607,Tableau13[ID_Antenne],Tableau13[Longitude],"Non répertoriées")</f>
        <v>24.122495000000001</v>
      </c>
      <c r="H607" t="s">
        <v>8</v>
      </c>
    </row>
    <row r="608" spans="1:8" x14ac:dyDescent="0.25">
      <c r="A608" s="1">
        <v>45226.656944444447</v>
      </c>
      <c r="B608" t="s">
        <v>251</v>
      </c>
      <c r="C608" t="str">
        <f>_xlfn.XLOOKUP(B608,Tableau13[ID_Antenne],Tableau13[Province_RDC],"Non répertoriées")</f>
        <v>Non répertoriées</v>
      </c>
      <c r="D608">
        <v>7</v>
      </c>
      <c r="E608" t="str">
        <f>_xlfn.XLOOKUP(B608,Tableau13[ID_Antenne],Tableau13[Technologie],"Non répertoriées")</f>
        <v>Non répertoriées</v>
      </c>
      <c r="F608" t="str">
        <f>_xlfn.XLOOKUP(B608,Tableau13[ID_Antenne],Tableau13[Latitude],"Non répertoriées")</f>
        <v>Non répertoriées</v>
      </c>
      <c r="G608" t="str">
        <f>_xlfn.XLOOKUP(B608,Tableau13[ID_Antenne],Tableau13[Longitude],"Non répertoriées")</f>
        <v>Non répertoriées</v>
      </c>
      <c r="H608" t="s">
        <v>5</v>
      </c>
    </row>
    <row r="609" spans="1:8" x14ac:dyDescent="0.25">
      <c r="A609" s="1">
        <v>45224.963888888888</v>
      </c>
      <c r="B609" t="s">
        <v>456</v>
      </c>
      <c r="C609" t="str">
        <f>_xlfn.XLOOKUP(B609,Tableau13[ID_Antenne],Tableau13[Province_RDC],"Non répertoriées")</f>
        <v>Non répertoriées</v>
      </c>
      <c r="D609">
        <v>83</v>
      </c>
      <c r="E609" t="str">
        <f>_xlfn.XLOOKUP(B609,Tableau13[ID_Antenne],Tableau13[Technologie],"Non répertoriées")</f>
        <v>Non répertoriées</v>
      </c>
      <c r="F609" t="str">
        <f>_xlfn.XLOOKUP(B609,Tableau13[ID_Antenne],Tableau13[Latitude],"Non répertoriées")</f>
        <v>Non répertoriées</v>
      </c>
      <c r="G609" t="str">
        <f>_xlfn.XLOOKUP(B609,Tableau13[ID_Antenne],Tableau13[Longitude],"Non répertoriées")</f>
        <v>Non répertoriées</v>
      </c>
      <c r="H609" t="s">
        <v>8</v>
      </c>
    </row>
    <row r="610" spans="1:8" x14ac:dyDescent="0.25">
      <c r="A610" s="1">
        <v>45225.948611111111</v>
      </c>
      <c r="B610" t="s">
        <v>457</v>
      </c>
      <c r="C610" s="29" t="str">
        <f>_xlfn.XLOOKUP(B610,Tableau13[ID_Antenne],Tableau13[Province_RDC],"Non répertoriées")</f>
        <v>Kwango</v>
      </c>
      <c r="D610">
        <v>30</v>
      </c>
      <c r="E610" s="31" t="str">
        <f>_xlfn.XLOOKUP(B610,Tableau13[ID_Antenne],Tableau13[Technologie],"Non répertoriées")</f>
        <v>4G</v>
      </c>
      <c r="F610" s="3">
        <f>_xlfn.XLOOKUP(B610,Tableau13[ID_Antenne],Tableau13[Latitude],"Non répertoriées")</f>
        <v>-10.653247</v>
      </c>
      <c r="G610" s="32">
        <f>_xlfn.XLOOKUP(B610,Tableau13[ID_Antenne],Tableau13[Longitude],"Non répertoriées")</f>
        <v>14.685601</v>
      </c>
      <c r="H610" t="s">
        <v>5</v>
      </c>
    </row>
    <row r="611" spans="1:8" x14ac:dyDescent="0.25">
      <c r="A611" s="1">
        <v>45202.699305555558</v>
      </c>
      <c r="B611" t="s">
        <v>458</v>
      </c>
      <c r="C611" s="29" t="str">
        <f>_xlfn.XLOOKUP(B611,Tableau13[ID_Antenne],Tableau13[Province_RDC],"Non répertoriées")</f>
        <v>Tshopo</v>
      </c>
      <c r="D611">
        <v>63</v>
      </c>
      <c r="E611" s="31" t="str">
        <f>_xlfn.XLOOKUP(B611,Tableau13[ID_Antenne],Tableau13[Technologie],"Non répertoriées")</f>
        <v>5G</v>
      </c>
      <c r="F611" s="3">
        <f>_xlfn.XLOOKUP(B611,Tableau13[ID_Antenne],Tableau13[Latitude],"Non répertoriées")</f>
        <v>1.400674</v>
      </c>
      <c r="G611" s="32">
        <f>_xlfn.XLOOKUP(B611,Tableau13[ID_Antenne],Tableau13[Longitude],"Non répertoriées")</f>
        <v>13.503126999999999</v>
      </c>
      <c r="H611" t="s">
        <v>8</v>
      </c>
    </row>
    <row r="612" spans="1:8" x14ac:dyDescent="0.25">
      <c r="A612" s="1">
        <v>45211.04583333333</v>
      </c>
      <c r="B612" t="s">
        <v>307</v>
      </c>
      <c r="C612" s="29" t="str">
        <f>_xlfn.XLOOKUP(B612,Tableau13[ID_Antenne],Tableau13[Province_RDC],"Non répertoriées")</f>
        <v>Mongala</v>
      </c>
      <c r="D612">
        <v>18</v>
      </c>
      <c r="E612" s="31" t="str">
        <f>_xlfn.XLOOKUP(B612,Tableau13[ID_Antenne],Tableau13[Technologie],"Non répertoriées")</f>
        <v>5G</v>
      </c>
      <c r="F612" s="3">
        <f>_xlfn.XLOOKUP(B612,Tableau13[ID_Antenne],Tableau13[Latitude],"Non répertoriées")</f>
        <v>-5.3762689999999997</v>
      </c>
      <c r="G612" s="32">
        <f>_xlfn.XLOOKUP(B612,Tableau13[ID_Antenne],Tableau13[Longitude],"Non répertoriées")</f>
        <v>28.189575999999999</v>
      </c>
      <c r="H612" t="s">
        <v>10</v>
      </c>
    </row>
    <row r="613" spans="1:8" x14ac:dyDescent="0.25">
      <c r="A613" s="1">
        <v>45213.328472222223</v>
      </c>
      <c r="B613" t="s">
        <v>459</v>
      </c>
      <c r="C613" t="str">
        <f>_xlfn.XLOOKUP(B613,Tableau13[ID_Antenne],Tableau13[Province_RDC],"Non répertoriées")</f>
        <v>Non répertoriées</v>
      </c>
      <c r="D613">
        <v>22</v>
      </c>
      <c r="E613" t="str">
        <f>_xlfn.XLOOKUP(B613,Tableau13[ID_Antenne],Tableau13[Technologie],"Non répertoriées")</f>
        <v>Non répertoriées</v>
      </c>
      <c r="F613" t="str">
        <f>_xlfn.XLOOKUP(B613,Tableau13[ID_Antenne],Tableau13[Latitude],"Non répertoriées")</f>
        <v>Non répertoriées</v>
      </c>
      <c r="G613" t="str">
        <f>_xlfn.XLOOKUP(B613,Tableau13[ID_Antenne],Tableau13[Longitude],"Non répertoriées")</f>
        <v>Non répertoriées</v>
      </c>
      <c r="H613" t="s">
        <v>10</v>
      </c>
    </row>
    <row r="614" spans="1:8" x14ac:dyDescent="0.25">
      <c r="A614" s="1">
        <v>45202.443055555559</v>
      </c>
      <c r="B614" t="s">
        <v>375</v>
      </c>
      <c r="C614" t="str">
        <f>_xlfn.XLOOKUP(B614,Tableau13[ID_Antenne],Tableau13[Province_RDC],"Non répertoriées")</f>
        <v>Non répertoriées</v>
      </c>
      <c r="D614">
        <v>43</v>
      </c>
      <c r="E614" t="str">
        <f>_xlfn.XLOOKUP(B614,Tableau13[ID_Antenne],Tableau13[Technologie],"Non répertoriées")</f>
        <v>Non répertoriées</v>
      </c>
      <c r="F614" t="str">
        <f>_xlfn.XLOOKUP(B614,Tableau13[ID_Antenne],Tableau13[Latitude],"Non répertoriées")</f>
        <v>Non répertoriées</v>
      </c>
      <c r="G614" t="str">
        <f>_xlfn.XLOOKUP(B614,Tableau13[ID_Antenne],Tableau13[Longitude],"Non répertoriées")</f>
        <v>Non répertoriées</v>
      </c>
      <c r="H614" t="s">
        <v>5</v>
      </c>
    </row>
    <row r="615" spans="1:8" x14ac:dyDescent="0.25">
      <c r="A615" s="1">
        <v>45224.818055555559</v>
      </c>
      <c r="B615" t="s">
        <v>222</v>
      </c>
      <c r="C615" t="str">
        <f>_xlfn.XLOOKUP(B615,Tableau13[ID_Antenne],Tableau13[Province_RDC],"Non répertoriées")</f>
        <v>Non répertoriées</v>
      </c>
      <c r="D615">
        <v>5</v>
      </c>
      <c r="E615" t="str">
        <f>_xlfn.XLOOKUP(B615,Tableau13[ID_Antenne],Tableau13[Technologie],"Non répertoriées")</f>
        <v>Non répertoriées</v>
      </c>
      <c r="F615" t="str">
        <f>_xlfn.XLOOKUP(B615,Tableau13[ID_Antenne],Tableau13[Latitude],"Non répertoriées")</f>
        <v>Non répertoriées</v>
      </c>
      <c r="G615" t="str">
        <f>_xlfn.XLOOKUP(B615,Tableau13[ID_Antenne],Tableau13[Longitude],"Non répertoriées")</f>
        <v>Non répertoriées</v>
      </c>
      <c r="H615" t="s">
        <v>10</v>
      </c>
    </row>
    <row r="616" spans="1:8" x14ac:dyDescent="0.25">
      <c r="A616" s="1">
        <v>45212.417361111111</v>
      </c>
      <c r="B616" t="s">
        <v>460</v>
      </c>
      <c r="C616" s="29" t="str">
        <f>_xlfn.XLOOKUP(B616,Tableau13[ID_Antenne],Tableau13[Province_RDC],"Non répertoriées")</f>
        <v>Maniema</v>
      </c>
      <c r="D616">
        <v>55</v>
      </c>
      <c r="E616" s="31" t="str">
        <f>_xlfn.XLOOKUP(B616,Tableau13[ID_Antenne],Tableau13[Technologie],"Non répertoriées")</f>
        <v>4G</v>
      </c>
      <c r="F616" s="3">
        <f>_xlfn.XLOOKUP(B616,Tableau13[ID_Antenne],Tableau13[Latitude],"Non répertoriées")</f>
        <v>1.938083</v>
      </c>
      <c r="G616" s="32">
        <f>_xlfn.XLOOKUP(B616,Tableau13[ID_Antenne],Tableau13[Longitude],"Non répertoriées")</f>
        <v>28.25281</v>
      </c>
      <c r="H616" t="s">
        <v>8</v>
      </c>
    </row>
    <row r="617" spans="1:8" x14ac:dyDescent="0.25">
      <c r="A617" s="1">
        <v>45220.368055555547</v>
      </c>
      <c r="B617" t="s">
        <v>461</v>
      </c>
      <c r="C617" t="str">
        <f>_xlfn.XLOOKUP(B617,Tableau13[ID_Antenne],Tableau13[Province_RDC],"Non répertoriées")</f>
        <v>Non répertoriées</v>
      </c>
      <c r="D617">
        <v>47</v>
      </c>
      <c r="E617" t="str">
        <f>_xlfn.XLOOKUP(B617,Tableau13[ID_Antenne],Tableau13[Technologie],"Non répertoriées")</f>
        <v>Non répertoriées</v>
      </c>
      <c r="F617" t="str">
        <f>_xlfn.XLOOKUP(B617,Tableau13[ID_Antenne],Tableau13[Latitude],"Non répertoriées")</f>
        <v>Non répertoriées</v>
      </c>
      <c r="G617" t="str">
        <f>_xlfn.XLOOKUP(B617,Tableau13[ID_Antenne],Tableau13[Longitude],"Non répertoriées")</f>
        <v>Non répertoriées</v>
      </c>
      <c r="H617" t="s">
        <v>10</v>
      </c>
    </row>
    <row r="618" spans="1:8" x14ac:dyDescent="0.25">
      <c r="A618" s="1">
        <v>45214.634722222218</v>
      </c>
      <c r="B618" t="s">
        <v>462</v>
      </c>
      <c r="C618" s="29" t="str">
        <f>_xlfn.XLOOKUP(B618,Tableau13[ID_Antenne],Tableau13[Province_RDC],"Non répertoriées")</f>
        <v>Equateur</v>
      </c>
      <c r="D618">
        <v>112</v>
      </c>
      <c r="E618" s="31" t="str">
        <f>_xlfn.XLOOKUP(B618,Tableau13[ID_Antenne],Tableau13[Technologie],"Non répertoriées")</f>
        <v>5G</v>
      </c>
      <c r="F618" s="3">
        <f>_xlfn.XLOOKUP(B618,Tableau13[ID_Antenne],Tableau13[Latitude],"Non répertoriées")</f>
        <v>-6.1490739999999997</v>
      </c>
      <c r="G618" s="32">
        <f>_xlfn.XLOOKUP(B618,Tableau13[ID_Antenne],Tableau13[Longitude],"Non répertoriées")</f>
        <v>23.304411000000002</v>
      </c>
      <c r="H618" t="s">
        <v>8</v>
      </c>
    </row>
    <row r="619" spans="1:8" x14ac:dyDescent="0.25">
      <c r="A619" s="1">
        <v>45211.724999999999</v>
      </c>
      <c r="B619" t="s">
        <v>308</v>
      </c>
      <c r="C619" s="29" t="str">
        <f>_xlfn.XLOOKUP(B619,Tableau13[ID_Antenne],Tableau13[Province_RDC],"Non répertoriées")</f>
        <v>Sankuru</v>
      </c>
      <c r="D619">
        <v>84</v>
      </c>
      <c r="E619" s="31" t="str">
        <f>_xlfn.XLOOKUP(B619,Tableau13[ID_Antenne],Tableau13[Technologie],"Non répertoriées")</f>
        <v>4G</v>
      </c>
      <c r="F619" s="3">
        <f>_xlfn.XLOOKUP(B619,Tableau13[ID_Antenne],Tableau13[Latitude],"Non répertoriées")</f>
        <v>-1.4110389999999999</v>
      </c>
      <c r="G619" s="32">
        <f>_xlfn.XLOOKUP(B619,Tableau13[ID_Antenne],Tableau13[Longitude],"Non répertoriées")</f>
        <v>21.261644</v>
      </c>
      <c r="H619" t="s">
        <v>10</v>
      </c>
    </row>
    <row r="620" spans="1:8" x14ac:dyDescent="0.25">
      <c r="A620" s="1">
        <v>45213.238194444442</v>
      </c>
      <c r="B620" t="s">
        <v>463</v>
      </c>
      <c r="C620" s="29" t="str">
        <f>_xlfn.XLOOKUP(B620,Tableau13[ID_Antenne],Tableau13[Province_RDC],"Non répertoriées")</f>
        <v>Nord-Ubangi</v>
      </c>
      <c r="D620">
        <v>53</v>
      </c>
      <c r="E620" s="31" t="str">
        <f>_xlfn.XLOOKUP(B620,Tableau13[ID_Antenne],Tableau13[Technologie],"Non répertoriées")</f>
        <v>4G</v>
      </c>
      <c r="F620" s="3">
        <f>_xlfn.XLOOKUP(B620,Tableau13[ID_Antenne],Tableau13[Latitude],"Non répertoriées")</f>
        <v>-8.4985189999999999</v>
      </c>
      <c r="G620" s="32">
        <f>_xlfn.XLOOKUP(B620,Tableau13[ID_Antenne],Tableau13[Longitude],"Non répertoriées")</f>
        <v>12.929456999999999</v>
      </c>
      <c r="H620" t="s">
        <v>8</v>
      </c>
    </row>
    <row r="621" spans="1:8" x14ac:dyDescent="0.25">
      <c r="A621" s="1">
        <v>45218.89166666667</v>
      </c>
      <c r="B621" t="s">
        <v>84</v>
      </c>
      <c r="C621" t="str">
        <f>_xlfn.XLOOKUP(B621,Tableau13[ID_Antenne],Tableau13[Province_RDC],"Non répertoriées")</f>
        <v>Non répertoriées</v>
      </c>
      <c r="D621">
        <v>107</v>
      </c>
      <c r="E621" t="str">
        <f>_xlfn.XLOOKUP(B621,Tableau13[ID_Antenne],Tableau13[Technologie],"Non répertoriées")</f>
        <v>Non répertoriées</v>
      </c>
      <c r="F621" t="str">
        <f>_xlfn.XLOOKUP(B621,Tableau13[ID_Antenne],Tableau13[Latitude],"Non répertoriées")</f>
        <v>Non répertoriées</v>
      </c>
      <c r="G621" t="str">
        <f>_xlfn.XLOOKUP(B621,Tableau13[ID_Antenne],Tableau13[Longitude],"Non répertoriées")</f>
        <v>Non répertoriées</v>
      </c>
      <c r="H621" t="s">
        <v>8</v>
      </c>
    </row>
    <row r="622" spans="1:8" x14ac:dyDescent="0.25">
      <c r="A622" s="1">
        <v>45202.804166666669</v>
      </c>
      <c r="B622" t="s">
        <v>464</v>
      </c>
      <c r="C622" s="29" t="str">
        <f>_xlfn.XLOOKUP(B622,Tableau13[ID_Antenne],Tableau13[Province_RDC],"Non répertoriées")</f>
        <v>Haut-Uele</v>
      </c>
      <c r="D622">
        <v>115</v>
      </c>
      <c r="E622" s="31" t="str">
        <f>_xlfn.XLOOKUP(B622,Tableau13[ID_Antenne],Tableau13[Technologie],"Non répertoriées")</f>
        <v>5G</v>
      </c>
      <c r="F622" s="3">
        <f>_xlfn.XLOOKUP(B622,Tableau13[ID_Antenne],Tableau13[Latitude],"Non répertoriées")</f>
        <v>1.2391989999999999</v>
      </c>
      <c r="G622" s="32">
        <f>_xlfn.XLOOKUP(B622,Tableau13[ID_Antenne],Tableau13[Longitude],"Non répertoriées")</f>
        <v>15.386718999999999</v>
      </c>
      <c r="H622" t="s">
        <v>8</v>
      </c>
    </row>
    <row r="623" spans="1:8" x14ac:dyDescent="0.25">
      <c r="A623" s="1">
        <v>45225.322916666657</v>
      </c>
      <c r="B623" t="s">
        <v>465</v>
      </c>
      <c r="C623" t="str">
        <f>_xlfn.XLOOKUP(B623,Tableau13[ID_Antenne],Tableau13[Province_RDC],"Non répertoriées")</f>
        <v>Non répertoriées</v>
      </c>
      <c r="D623">
        <v>47</v>
      </c>
      <c r="E623" t="str">
        <f>_xlfn.XLOOKUP(B623,Tableau13[ID_Antenne],Tableau13[Technologie],"Non répertoriées")</f>
        <v>Non répertoriées</v>
      </c>
      <c r="F623" t="str">
        <f>_xlfn.XLOOKUP(B623,Tableau13[ID_Antenne],Tableau13[Latitude],"Non répertoriées")</f>
        <v>Non répertoriées</v>
      </c>
      <c r="G623" t="str">
        <f>_xlfn.XLOOKUP(B623,Tableau13[ID_Antenne],Tableau13[Longitude],"Non répertoriées")</f>
        <v>Non répertoriées</v>
      </c>
      <c r="H623" t="s">
        <v>10</v>
      </c>
    </row>
    <row r="624" spans="1:8" x14ac:dyDescent="0.25">
      <c r="A624" s="1">
        <v>45202.095138888893</v>
      </c>
      <c r="B624" t="s">
        <v>466</v>
      </c>
      <c r="C624" t="str">
        <f>_xlfn.XLOOKUP(B624,Tableau13[ID_Antenne],Tableau13[Province_RDC],"Non répertoriées")</f>
        <v>Non répertoriées</v>
      </c>
      <c r="D624">
        <v>61</v>
      </c>
      <c r="E624" t="str">
        <f>_xlfn.XLOOKUP(B624,Tableau13[ID_Antenne],Tableau13[Technologie],"Non répertoriées")</f>
        <v>Non répertoriées</v>
      </c>
      <c r="F624" t="str">
        <f>_xlfn.XLOOKUP(B624,Tableau13[ID_Antenne],Tableau13[Latitude],"Non répertoriées")</f>
        <v>Non répertoriées</v>
      </c>
      <c r="G624" t="str">
        <f>_xlfn.XLOOKUP(B624,Tableau13[ID_Antenne],Tableau13[Longitude],"Non répertoriées")</f>
        <v>Non répertoriées</v>
      </c>
      <c r="H624" t="s">
        <v>8</v>
      </c>
    </row>
    <row r="625" spans="1:8" x14ac:dyDescent="0.25">
      <c r="A625" s="1">
        <v>45204.53125</v>
      </c>
      <c r="B625" t="s">
        <v>170</v>
      </c>
      <c r="C625" s="29" t="str">
        <f>_xlfn.XLOOKUP(B625,Tableau13[ID_Antenne],Tableau13[Province_RDC],"Non répertoriées")</f>
        <v>Nord-Kivu</v>
      </c>
      <c r="D625">
        <v>47</v>
      </c>
      <c r="E625" s="31" t="str">
        <f>_xlfn.XLOOKUP(B625,Tableau13[ID_Antenne],Tableau13[Technologie],"Non répertoriées")</f>
        <v>5G</v>
      </c>
      <c r="F625" s="3">
        <f>_xlfn.XLOOKUP(B625,Tableau13[ID_Antenne],Tableau13[Latitude],"Non répertoriées")</f>
        <v>-12.336202</v>
      </c>
      <c r="G625" s="32">
        <f>_xlfn.XLOOKUP(B625,Tableau13[ID_Antenne],Tableau13[Longitude],"Non répertoriées")</f>
        <v>13.693683999999999</v>
      </c>
      <c r="H625" t="s">
        <v>5</v>
      </c>
    </row>
    <row r="626" spans="1:8" x14ac:dyDescent="0.25">
      <c r="A626" s="1">
        <v>45225.839583333327</v>
      </c>
      <c r="B626" t="s">
        <v>467</v>
      </c>
      <c r="C626" t="str">
        <f>_xlfn.XLOOKUP(B626,Tableau13[ID_Antenne],Tableau13[Province_RDC],"Non répertoriées")</f>
        <v>Non répertoriées</v>
      </c>
      <c r="D626">
        <v>60</v>
      </c>
      <c r="E626" t="str">
        <f>_xlfn.XLOOKUP(B626,Tableau13[ID_Antenne],Tableau13[Technologie],"Non répertoriées")</f>
        <v>Non répertoriées</v>
      </c>
      <c r="F626" t="str">
        <f>_xlfn.XLOOKUP(B626,Tableau13[ID_Antenne],Tableau13[Latitude],"Non répertoriées")</f>
        <v>Non répertoriées</v>
      </c>
      <c r="G626" t="str">
        <f>_xlfn.XLOOKUP(B626,Tableau13[ID_Antenne],Tableau13[Longitude],"Non répertoriées")</f>
        <v>Non répertoriées</v>
      </c>
      <c r="H626" t="s">
        <v>10</v>
      </c>
    </row>
    <row r="627" spans="1:8" x14ac:dyDescent="0.25">
      <c r="A627" s="1">
        <v>45223.513888888891</v>
      </c>
      <c r="B627" t="s">
        <v>343</v>
      </c>
      <c r="C627" t="str">
        <f>_xlfn.XLOOKUP(B627,Tableau13[ID_Antenne],Tableau13[Province_RDC],"Non répertoriées")</f>
        <v>Non répertoriées</v>
      </c>
      <c r="D627">
        <v>109</v>
      </c>
      <c r="E627" t="str">
        <f>_xlfn.XLOOKUP(B627,Tableau13[ID_Antenne],Tableau13[Technologie],"Non répertoriées")</f>
        <v>Non répertoriées</v>
      </c>
      <c r="F627" t="str">
        <f>_xlfn.XLOOKUP(B627,Tableau13[ID_Antenne],Tableau13[Latitude],"Non répertoriées")</f>
        <v>Non répertoriées</v>
      </c>
      <c r="G627" t="str">
        <f>_xlfn.XLOOKUP(B627,Tableau13[ID_Antenne],Tableau13[Longitude],"Non répertoriées")</f>
        <v>Non répertoriées</v>
      </c>
      <c r="H627" t="s">
        <v>8</v>
      </c>
    </row>
    <row r="628" spans="1:8" x14ac:dyDescent="0.25">
      <c r="A628" s="1">
        <v>45211.128472222219</v>
      </c>
      <c r="B628" t="s">
        <v>468</v>
      </c>
      <c r="C628" s="29" t="str">
        <f>_xlfn.XLOOKUP(B628,Tableau13[ID_Antenne],Tableau13[Province_RDC],"Non répertoriées")</f>
        <v>Sud-Kivu</v>
      </c>
      <c r="D628">
        <v>110</v>
      </c>
      <c r="E628" s="31" t="str">
        <f>_xlfn.XLOOKUP(B628,Tableau13[ID_Antenne],Tableau13[Technologie],"Non répertoriées")</f>
        <v>5G</v>
      </c>
      <c r="F628" s="3">
        <f>_xlfn.XLOOKUP(B628,Tableau13[ID_Antenne],Tableau13[Latitude],"Non répertoriées")</f>
        <v>2.453036</v>
      </c>
      <c r="G628" s="32">
        <f>_xlfn.XLOOKUP(B628,Tableau13[ID_Antenne],Tableau13[Longitude],"Non répertoriées")</f>
        <v>20.555484</v>
      </c>
      <c r="H628" t="s">
        <v>8</v>
      </c>
    </row>
    <row r="629" spans="1:8" x14ac:dyDescent="0.25">
      <c r="A629" s="1">
        <v>45200.394444444442</v>
      </c>
      <c r="B629" t="s">
        <v>300</v>
      </c>
      <c r="C629" t="str">
        <f>_xlfn.XLOOKUP(B629,Tableau13[ID_Antenne],Tableau13[Province_RDC],"Non répertoriées")</f>
        <v>Non répertoriées</v>
      </c>
      <c r="D629">
        <v>115</v>
      </c>
      <c r="E629" t="str">
        <f>_xlfn.XLOOKUP(B629,Tableau13[ID_Antenne],Tableau13[Technologie],"Non répertoriées")</f>
        <v>Non répertoriées</v>
      </c>
      <c r="F629" t="str">
        <f>_xlfn.XLOOKUP(B629,Tableau13[ID_Antenne],Tableau13[Latitude],"Non répertoriées")</f>
        <v>Non répertoriées</v>
      </c>
      <c r="G629" t="str">
        <f>_xlfn.XLOOKUP(B629,Tableau13[ID_Antenne],Tableau13[Longitude],"Non répertoriées")</f>
        <v>Non répertoriées</v>
      </c>
      <c r="H629" t="s">
        <v>8</v>
      </c>
    </row>
    <row r="630" spans="1:8" x14ac:dyDescent="0.25">
      <c r="A630" s="1">
        <v>45211.337500000001</v>
      </c>
      <c r="B630" t="s">
        <v>469</v>
      </c>
      <c r="C630" s="29" t="str">
        <f>_xlfn.XLOOKUP(B630,Tableau13[ID_Antenne],Tableau13[Province_RDC],"Non répertoriées")</f>
        <v>Ituri</v>
      </c>
      <c r="D630">
        <v>88</v>
      </c>
      <c r="E630" s="31" t="str">
        <f>_xlfn.XLOOKUP(B630,Tableau13[ID_Antenne],Tableau13[Technologie],"Non répertoriées")</f>
        <v>3G</v>
      </c>
      <c r="F630" s="3">
        <f>_xlfn.XLOOKUP(B630,Tableau13[ID_Antenne],Tableau13[Latitude],"Non répertoriées")</f>
        <v>-12.364127999999999</v>
      </c>
      <c r="G630" s="32">
        <f>_xlfn.XLOOKUP(B630,Tableau13[ID_Antenne],Tableau13[Longitude],"Non répertoriées")</f>
        <v>19.576150999999999</v>
      </c>
      <c r="H630" t="s">
        <v>8</v>
      </c>
    </row>
    <row r="631" spans="1:8" x14ac:dyDescent="0.25">
      <c r="A631" s="1">
        <v>45204.09097222222</v>
      </c>
      <c r="B631" t="s">
        <v>470</v>
      </c>
      <c r="C631" t="str">
        <f>_xlfn.XLOOKUP(B631,Tableau13[ID_Antenne],Tableau13[Province_RDC],"Non répertoriées")</f>
        <v>Non répertoriées</v>
      </c>
      <c r="D631">
        <v>81</v>
      </c>
      <c r="E631" t="str">
        <f>_xlfn.XLOOKUP(B631,Tableau13[ID_Antenne],Tableau13[Technologie],"Non répertoriées")</f>
        <v>Non répertoriées</v>
      </c>
      <c r="F631" t="str">
        <f>_xlfn.XLOOKUP(B631,Tableau13[ID_Antenne],Tableau13[Latitude],"Non répertoriées")</f>
        <v>Non répertoriées</v>
      </c>
      <c r="G631" t="str">
        <f>_xlfn.XLOOKUP(B631,Tableau13[ID_Antenne],Tableau13[Longitude],"Non répertoriées")</f>
        <v>Non répertoriées</v>
      </c>
      <c r="H631" t="s">
        <v>5</v>
      </c>
    </row>
    <row r="632" spans="1:8" x14ac:dyDescent="0.25">
      <c r="A632" s="1">
        <v>45213.607638888891</v>
      </c>
      <c r="B632" t="s">
        <v>471</v>
      </c>
      <c r="C632" t="str">
        <f>_xlfn.XLOOKUP(B632,Tableau13[ID_Antenne],Tableau13[Province_RDC],"Non répertoriées")</f>
        <v>Non répertoriées</v>
      </c>
      <c r="D632">
        <v>22</v>
      </c>
      <c r="E632" t="str">
        <f>_xlfn.XLOOKUP(B632,Tableau13[ID_Antenne],Tableau13[Technologie],"Non répertoriées")</f>
        <v>Non répertoriées</v>
      </c>
      <c r="F632" t="str">
        <f>_xlfn.XLOOKUP(B632,Tableau13[ID_Antenne],Tableau13[Latitude],"Non répertoriées")</f>
        <v>Non répertoriées</v>
      </c>
      <c r="G632" t="str">
        <f>_xlfn.XLOOKUP(B632,Tableau13[ID_Antenne],Tableau13[Longitude],"Non répertoriées")</f>
        <v>Non répertoriées</v>
      </c>
      <c r="H632" t="s">
        <v>5</v>
      </c>
    </row>
    <row r="633" spans="1:8" x14ac:dyDescent="0.25">
      <c r="A633" s="1">
        <v>45217.68472222222</v>
      </c>
      <c r="B633" t="s">
        <v>200</v>
      </c>
      <c r="C633" t="str">
        <f>_xlfn.XLOOKUP(B633,Tableau13[ID_Antenne],Tableau13[Province_RDC],"Non répertoriées")</f>
        <v>Non répertoriées</v>
      </c>
      <c r="D633">
        <v>43</v>
      </c>
      <c r="E633" t="str">
        <f>_xlfn.XLOOKUP(B633,Tableau13[ID_Antenne],Tableau13[Technologie],"Non répertoriées")</f>
        <v>Non répertoriées</v>
      </c>
      <c r="F633" t="str">
        <f>_xlfn.XLOOKUP(B633,Tableau13[ID_Antenne],Tableau13[Latitude],"Non répertoriées")</f>
        <v>Non répertoriées</v>
      </c>
      <c r="G633" t="str">
        <f>_xlfn.XLOOKUP(B633,Tableau13[ID_Antenne],Tableau13[Longitude],"Non répertoriées")</f>
        <v>Non répertoriées</v>
      </c>
      <c r="H633" t="s">
        <v>5</v>
      </c>
    </row>
    <row r="634" spans="1:8" x14ac:dyDescent="0.25">
      <c r="A634" s="1">
        <v>45203.003472222219</v>
      </c>
      <c r="B634" t="s">
        <v>472</v>
      </c>
      <c r="C634" t="str">
        <f>_xlfn.XLOOKUP(B634,Tableau13[ID_Antenne],Tableau13[Province_RDC],"Non répertoriées")</f>
        <v>Non répertoriées</v>
      </c>
      <c r="D634">
        <v>46</v>
      </c>
      <c r="E634" t="str">
        <f>_xlfn.XLOOKUP(B634,Tableau13[ID_Antenne],Tableau13[Technologie],"Non répertoriées")</f>
        <v>Non répertoriées</v>
      </c>
      <c r="F634" t="str">
        <f>_xlfn.XLOOKUP(B634,Tableau13[ID_Antenne],Tableau13[Latitude],"Non répertoriées")</f>
        <v>Non répertoriées</v>
      </c>
      <c r="G634" t="str">
        <f>_xlfn.XLOOKUP(B634,Tableau13[ID_Antenne],Tableau13[Longitude],"Non répertoriées")</f>
        <v>Non répertoriées</v>
      </c>
      <c r="H634" t="s">
        <v>8</v>
      </c>
    </row>
    <row r="635" spans="1:8" x14ac:dyDescent="0.25">
      <c r="A635" s="1">
        <v>45211.711805555547</v>
      </c>
      <c r="B635" t="s">
        <v>473</v>
      </c>
      <c r="C635" t="str">
        <f>_xlfn.XLOOKUP(B635,Tableau13[ID_Antenne],Tableau13[Province_RDC],"Non répertoriées")</f>
        <v>Non répertoriées</v>
      </c>
      <c r="D635">
        <v>82</v>
      </c>
      <c r="E635" t="str">
        <f>_xlfn.XLOOKUP(B635,Tableau13[ID_Antenne],Tableau13[Technologie],"Non répertoriées")</f>
        <v>Non répertoriées</v>
      </c>
      <c r="F635" t="str">
        <f>_xlfn.XLOOKUP(B635,Tableau13[ID_Antenne],Tableau13[Latitude],"Non répertoriées")</f>
        <v>Non répertoriées</v>
      </c>
      <c r="G635" t="str">
        <f>_xlfn.XLOOKUP(B635,Tableau13[ID_Antenne],Tableau13[Longitude],"Non répertoriées")</f>
        <v>Non répertoriées</v>
      </c>
      <c r="H635" t="s">
        <v>8</v>
      </c>
    </row>
    <row r="636" spans="1:8" x14ac:dyDescent="0.25">
      <c r="A636" s="1">
        <v>45219.826388888891</v>
      </c>
      <c r="B636" t="s">
        <v>45</v>
      </c>
      <c r="C636" s="29" t="str">
        <f>_xlfn.XLOOKUP(B636,Tableau13[ID_Antenne],Tableau13[Province_RDC],"Non répertoriées")</f>
        <v>Sud-Kivu</v>
      </c>
      <c r="D636">
        <v>93</v>
      </c>
      <c r="E636" s="31" t="str">
        <f>_xlfn.XLOOKUP(B636,Tableau13[ID_Antenne],Tableau13[Technologie],"Non répertoriées")</f>
        <v>3G</v>
      </c>
      <c r="F636" s="3">
        <f>_xlfn.XLOOKUP(B636,Tableau13[ID_Antenne],Tableau13[Latitude],"Non répertoriées")</f>
        <v>4.2493650000000001</v>
      </c>
      <c r="G636" s="32">
        <f>_xlfn.XLOOKUP(B636,Tableau13[ID_Antenne],Tableau13[Longitude],"Non répertoriées")</f>
        <v>28.355039999999999</v>
      </c>
      <c r="H636" t="s">
        <v>10</v>
      </c>
    </row>
    <row r="637" spans="1:8" x14ac:dyDescent="0.25">
      <c r="A637" s="1">
        <v>45210.5</v>
      </c>
      <c r="B637" t="s">
        <v>474</v>
      </c>
      <c r="C637" t="str">
        <f>_xlfn.XLOOKUP(B637,Tableau13[ID_Antenne],Tableau13[Province_RDC],"Non répertoriées")</f>
        <v>Non répertoriées</v>
      </c>
      <c r="D637">
        <v>30</v>
      </c>
      <c r="E637" t="str">
        <f>_xlfn.XLOOKUP(B637,Tableau13[ID_Antenne],Tableau13[Technologie],"Non répertoriées")</f>
        <v>Non répertoriées</v>
      </c>
      <c r="F637" t="str">
        <f>_xlfn.XLOOKUP(B637,Tableau13[ID_Antenne],Tableau13[Latitude],"Non répertoriées")</f>
        <v>Non répertoriées</v>
      </c>
      <c r="G637" t="str">
        <f>_xlfn.XLOOKUP(B637,Tableau13[ID_Antenne],Tableau13[Longitude],"Non répertoriées")</f>
        <v>Non répertoriées</v>
      </c>
      <c r="H637" t="s">
        <v>5</v>
      </c>
    </row>
    <row r="638" spans="1:8" x14ac:dyDescent="0.25">
      <c r="A638" s="1">
        <v>45209.558333333327</v>
      </c>
      <c r="B638" t="s">
        <v>475</v>
      </c>
      <c r="C638" s="29" t="str">
        <f>_xlfn.XLOOKUP(B638,Tableau13[ID_Antenne],Tableau13[Province_RDC],"Non répertoriées")</f>
        <v>Ituri</v>
      </c>
      <c r="D638">
        <v>66</v>
      </c>
      <c r="E638" s="31" t="str">
        <f>_xlfn.XLOOKUP(B638,Tableau13[ID_Antenne],Tableau13[Technologie],"Non répertoriées")</f>
        <v>4G</v>
      </c>
      <c r="F638" s="3">
        <f>_xlfn.XLOOKUP(B638,Tableau13[ID_Antenne],Tableau13[Latitude],"Non répertoriées")</f>
        <v>-12.595355</v>
      </c>
      <c r="G638" s="32">
        <f>_xlfn.XLOOKUP(B638,Tableau13[ID_Antenne],Tableau13[Longitude],"Non répertoriées")</f>
        <v>17.897442000000002</v>
      </c>
      <c r="H638" t="s">
        <v>8</v>
      </c>
    </row>
    <row r="639" spans="1:8" x14ac:dyDescent="0.25">
      <c r="A639" s="1">
        <v>45224.115277777782</v>
      </c>
      <c r="B639" t="s">
        <v>476</v>
      </c>
      <c r="C639" s="29" t="str">
        <f>_xlfn.XLOOKUP(B639,Tableau13[ID_Antenne],Tableau13[Province_RDC],"Non répertoriées")</f>
        <v>Tshopo</v>
      </c>
      <c r="D639">
        <v>45</v>
      </c>
      <c r="E639" s="31" t="str">
        <f>_xlfn.XLOOKUP(B639,Tableau13[ID_Antenne],Tableau13[Technologie],"Non répertoriées")</f>
        <v>4G</v>
      </c>
      <c r="F639" s="3">
        <f>_xlfn.XLOOKUP(B639,Tableau13[ID_Antenne],Tableau13[Latitude],"Non répertoriées")</f>
        <v>-11.265995</v>
      </c>
      <c r="G639" s="32">
        <f>_xlfn.XLOOKUP(B639,Tableau13[ID_Antenne],Tableau13[Longitude],"Non répertoriées")</f>
        <v>28.935514999999999</v>
      </c>
      <c r="H639" t="s">
        <v>8</v>
      </c>
    </row>
    <row r="640" spans="1:8" x14ac:dyDescent="0.25">
      <c r="A640" s="1">
        <v>45228.747916666667</v>
      </c>
      <c r="B640" t="s">
        <v>455</v>
      </c>
      <c r="C640" s="29" t="str">
        <f>_xlfn.XLOOKUP(B640,Tableau13[ID_Antenne],Tableau13[Province_RDC],"Non répertoriées")</f>
        <v>Lualaba</v>
      </c>
      <c r="D640">
        <v>27</v>
      </c>
      <c r="E640" s="31" t="str">
        <f>_xlfn.XLOOKUP(B640,Tableau13[ID_Antenne],Tableau13[Technologie],"Non répertoriées")</f>
        <v>5G</v>
      </c>
      <c r="F640" s="3">
        <f>_xlfn.XLOOKUP(B640,Tableau13[ID_Antenne],Tableau13[Latitude],"Non répertoriées")</f>
        <v>-8.0301989999999996</v>
      </c>
      <c r="G640" s="32">
        <f>_xlfn.XLOOKUP(B640,Tableau13[ID_Antenne],Tableau13[Longitude],"Non répertoriées")</f>
        <v>24.122495000000001</v>
      </c>
      <c r="H640" t="s">
        <v>5</v>
      </c>
    </row>
    <row r="641" spans="1:8" x14ac:dyDescent="0.25">
      <c r="A641" s="1">
        <v>45207.772916666669</v>
      </c>
      <c r="B641" t="s">
        <v>446</v>
      </c>
      <c r="C641" t="str">
        <f>_xlfn.XLOOKUP(B641,Tableau13[ID_Antenne],Tableau13[Province_RDC],"Non répertoriées")</f>
        <v>Non répertoriées</v>
      </c>
      <c r="D641">
        <v>55</v>
      </c>
      <c r="E641" t="str">
        <f>_xlfn.XLOOKUP(B641,Tableau13[ID_Antenne],Tableau13[Technologie],"Non répertoriées")</f>
        <v>Non répertoriées</v>
      </c>
      <c r="F641" t="str">
        <f>_xlfn.XLOOKUP(B641,Tableau13[ID_Antenne],Tableau13[Latitude],"Non répertoriées")</f>
        <v>Non répertoriées</v>
      </c>
      <c r="G641" t="str">
        <f>_xlfn.XLOOKUP(B641,Tableau13[ID_Antenne],Tableau13[Longitude],"Non répertoriées")</f>
        <v>Non répertoriées</v>
      </c>
      <c r="H641" t="s">
        <v>8</v>
      </c>
    </row>
    <row r="642" spans="1:8" x14ac:dyDescent="0.25">
      <c r="A642" s="1">
        <v>45205.89166666667</v>
      </c>
      <c r="B642" t="s">
        <v>446</v>
      </c>
      <c r="C642" t="str">
        <f>_xlfn.XLOOKUP(B642,Tableau13[ID_Antenne],Tableau13[Province_RDC],"Non répertoriées")</f>
        <v>Non répertoriées</v>
      </c>
      <c r="D642">
        <v>45</v>
      </c>
      <c r="E642" t="str">
        <f>_xlfn.XLOOKUP(B642,Tableau13[ID_Antenne],Tableau13[Technologie],"Non répertoriées")</f>
        <v>Non répertoriées</v>
      </c>
      <c r="F642" t="str">
        <f>_xlfn.XLOOKUP(B642,Tableau13[ID_Antenne],Tableau13[Latitude],"Non répertoriées")</f>
        <v>Non répertoriées</v>
      </c>
      <c r="G642" t="str">
        <f>_xlfn.XLOOKUP(B642,Tableau13[ID_Antenne],Tableau13[Longitude],"Non répertoriées")</f>
        <v>Non répertoriées</v>
      </c>
      <c r="H642" t="s">
        <v>8</v>
      </c>
    </row>
    <row r="643" spans="1:8" x14ac:dyDescent="0.25">
      <c r="A643" s="1">
        <v>45205.178472222222</v>
      </c>
      <c r="B643" t="s">
        <v>477</v>
      </c>
      <c r="C643" s="29" t="str">
        <f>_xlfn.XLOOKUP(B643,Tableau13[ID_Antenne],Tableau13[Province_RDC],"Non répertoriées")</f>
        <v>Sud-Ubangi</v>
      </c>
      <c r="D643">
        <v>42</v>
      </c>
      <c r="E643" s="31" t="str">
        <f>_xlfn.XLOOKUP(B643,Tableau13[ID_Antenne],Tableau13[Technologie],"Non répertoriées")</f>
        <v>3G</v>
      </c>
      <c r="F643" s="3">
        <f>_xlfn.XLOOKUP(B643,Tableau13[ID_Antenne],Tableau13[Latitude],"Non répertoriées")</f>
        <v>3.611561</v>
      </c>
      <c r="G643" s="32">
        <f>_xlfn.XLOOKUP(B643,Tableau13[ID_Antenne],Tableau13[Longitude],"Non répertoriées")</f>
        <v>17.725974999999998</v>
      </c>
      <c r="H643" t="s">
        <v>8</v>
      </c>
    </row>
    <row r="644" spans="1:8" x14ac:dyDescent="0.25">
      <c r="A644" s="1">
        <v>45209.354861111111</v>
      </c>
      <c r="B644" t="s">
        <v>412</v>
      </c>
      <c r="C644" s="29" t="str">
        <f>_xlfn.XLOOKUP(B644,Tableau13[ID_Antenne],Tableau13[Province_RDC],"Non répertoriées")</f>
        <v>Kinshasa</v>
      </c>
      <c r="D644">
        <v>99</v>
      </c>
      <c r="E644" s="31" t="str">
        <f>_xlfn.XLOOKUP(B644,Tableau13[ID_Antenne],Tableau13[Technologie],"Non répertoriées")</f>
        <v>3G</v>
      </c>
      <c r="F644" s="3">
        <f>_xlfn.XLOOKUP(B644,Tableau13[ID_Antenne],Tableau13[Latitude],"Non répertoriées")</f>
        <v>1.3006180000000001</v>
      </c>
      <c r="G644" s="32">
        <f>_xlfn.XLOOKUP(B644,Tableau13[ID_Antenne],Tableau13[Longitude],"Non répertoriées")</f>
        <v>29.060970999999999</v>
      </c>
      <c r="H644" t="s">
        <v>8</v>
      </c>
    </row>
    <row r="645" spans="1:8" x14ac:dyDescent="0.25">
      <c r="A645" s="1">
        <v>45204.090277777781</v>
      </c>
      <c r="B645" t="s">
        <v>478</v>
      </c>
      <c r="C645" t="str">
        <f>_xlfn.XLOOKUP(B645,Tableau13[ID_Antenne],Tableau13[Province_RDC],"Non répertoriées")</f>
        <v>Non répertoriées</v>
      </c>
      <c r="D645">
        <v>93</v>
      </c>
      <c r="E645" t="str">
        <f>_xlfn.XLOOKUP(B645,Tableau13[ID_Antenne],Tableau13[Technologie],"Non répertoriées")</f>
        <v>Non répertoriées</v>
      </c>
      <c r="F645" t="str">
        <f>_xlfn.XLOOKUP(B645,Tableau13[ID_Antenne],Tableau13[Latitude],"Non répertoriées")</f>
        <v>Non répertoriées</v>
      </c>
      <c r="G645" t="str">
        <f>_xlfn.XLOOKUP(B645,Tableau13[ID_Antenne],Tableau13[Longitude],"Non répertoriées")</f>
        <v>Non répertoriées</v>
      </c>
      <c r="H645" t="s">
        <v>10</v>
      </c>
    </row>
    <row r="646" spans="1:8" x14ac:dyDescent="0.25">
      <c r="A646" s="1">
        <v>45213.351388888892</v>
      </c>
      <c r="B646" t="s">
        <v>479</v>
      </c>
      <c r="C646" s="29" t="str">
        <f>_xlfn.XLOOKUP(B646,Tableau13[ID_Antenne],Tableau13[Province_RDC],"Non répertoriées")</f>
        <v>Maniema</v>
      </c>
      <c r="D646">
        <v>86</v>
      </c>
      <c r="E646" s="31" t="str">
        <f>_xlfn.XLOOKUP(B646,Tableau13[ID_Antenne],Tableau13[Technologie],"Non répertoriées")</f>
        <v>4G</v>
      </c>
      <c r="F646" s="3">
        <f>_xlfn.XLOOKUP(B646,Tableau13[ID_Antenne],Tableau13[Latitude],"Non répertoriées")</f>
        <v>4.8228650000000002</v>
      </c>
      <c r="G646" s="32">
        <f>_xlfn.XLOOKUP(B646,Tableau13[ID_Antenne],Tableau13[Longitude],"Non répertoriées")</f>
        <v>30.555627000000001</v>
      </c>
      <c r="H646" t="s">
        <v>10</v>
      </c>
    </row>
    <row r="647" spans="1:8" x14ac:dyDescent="0.25">
      <c r="A647" s="1">
        <v>45209.659722222219</v>
      </c>
      <c r="B647" t="s">
        <v>257</v>
      </c>
      <c r="C647" s="29" t="str">
        <f>_xlfn.XLOOKUP(B647,Tableau13[ID_Antenne],Tableau13[Province_RDC],"Non répertoriées")</f>
        <v>Nord-Ubangi</v>
      </c>
      <c r="D647">
        <v>67</v>
      </c>
      <c r="E647" s="31" t="str">
        <f>_xlfn.XLOOKUP(B647,Tableau13[ID_Antenne],Tableau13[Technologie],"Non répertoriées")</f>
        <v>3G</v>
      </c>
      <c r="F647" s="3">
        <f>_xlfn.XLOOKUP(B647,Tableau13[ID_Antenne],Tableau13[Latitude],"Non répertoriées")</f>
        <v>-7.7839049999999999</v>
      </c>
      <c r="G647" s="32">
        <f>_xlfn.XLOOKUP(B647,Tableau13[ID_Antenne],Tableau13[Longitude],"Non répertoriées")</f>
        <v>14.114281999999999</v>
      </c>
      <c r="H647" t="s">
        <v>10</v>
      </c>
    </row>
    <row r="648" spans="1:8" x14ac:dyDescent="0.25">
      <c r="A648" s="1">
        <v>45202.469444444447</v>
      </c>
      <c r="B648" t="s">
        <v>480</v>
      </c>
      <c r="C648" t="str">
        <f>_xlfn.XLOOKUP(B648,Tableau13[ID_Antenne],Tableau13[Province_RDC],"Non répertoriées")</f>
        <v>Non répertoriées</v>
      </c>
      <c r="D648">
        <v>78</v>
      </c>
      <c r="E648" t="str">
        <f>_xlfn.XLOOKUP(B648,Tableau13[ID_Antenne],Tableau13[Technologie],"Non répertoriées")</f>
        <v>Non répertoriées</v>
      </c>
      <c r="F648" t="str">
        <f>_xlfn.XLOOKUP(B648,Tableau13[ID_Antenne],Tableau13[Latitude],"Non répertoriées")</f>
        <v>Non répertoriées</v>
      </c>
      <c r="G648" t="str">
        <f>_xlfn.XLOOKUP(B648,Tableau13[ID_Antenne],Tableau13[Longitude],"Non répertoriées")</f>
        <v>Non répertoriées</v>
      </c>
      <c r="H648" t="s">
        <v>5</v>
      </c>
    </row>
    <row r="649" spans="1:8" x14ac:dyDescent="0.25">
      <c r="A649" s="1">
        <v>45230.323611111111</v>
      </c>
      <c r="B649" t="s">
        <v>143</v>
      </c>
      <c r="C649" s="29" t="str">
        <f>_xlfn.XLOOKUP(B649,Tableau13[ID_Antenne],Tableau13[Province_RDC],"Non répertoriées")</f>
        <v>Haut-Uele</v>
      </c>
      <c r="D649">
        <v>105</v>
      </c>
      <c r="E649" s="31" t="str">
        <f>_xlfn.XLOOKUP(B649,Tableau13[ID_Antenne],Tableau13[Technologie],"Non répertoriées")</f>
        <v>4G</v>
      </c>
      <c r="F649" s="3">
        <f>_xlfn.XLOOKUP(B649,Tableau13[ID_Antenne],Tableau13[Latitude],"Non répertoriées")</f>
        <v>-4.4351269999999996</v>
      </c>
      <c r="G649" s="32">
        <f>_xlfn.XLOOKUP(B649,Tableau13[ID_Antenne],Tableau13[Longitude],"Non répertoriées")</f>
        <v>24.825467</v>
      </c>
      <c r="H649" t="s">
        <v>5</v>
      </c>
    </row>
    <row r="650" spans="1:8" x14ac:dyDescent="0.25">
      <c r="A650" s="1">
        <v>45220.651388888888</v>
      </c>
      <c r="B650" t="s">
        <v>172</v>
      </c>
      <c r="C650" t="str">
        <f>_xlfn.XLOOKUP(B650,Tableau13[ID_Antenne],Tableau13[Province_RDC],"Non répertoriées")</f>
        <v>Non répertoriées</v>
      </c>
      <c r="D650">
        <v>36</v>
      </c>
      <c r="E650" t="str">
        <f>_xlfn.XLOOKUP(B650,Tableau13[ID_Antenne],Tableau13[Technologie],"Non répertoriées")</f>
        <v>Non répertoriées</v>
      </c>
      <c r="F650" t="str">
        <f>_xlfn.XLOOKUP(B650,Tableau13[ID_Antenne],Tableau13[Latitude],"Non répertoriées")</f>
        <v>Non répertoriées</v>
      </c>
      <c r="G650" t="str">
        <f>_xlfn.XLOOKUP(B650,Tableau13[ID_Antenne],Tableau13[Longitude],"Non répertoriées")</f>
        <v>Non répertoriées</v>
      </c>
      <c r="H650" t="s">
        <v>5</v>
      </c>
    </row>
    <row r="651" spans="1:8" x14ac:dyDescent="0.25">
      <c r="A651" s="1">
        <v>45207.599305555559</v>
      </c>
      <c r="B651" t="s">
        <v>127</v>
      </c>
      <c r="C651" s="29" t="str">
        <f>_xlfn.XLOOKUP(B651,Tableau13[ID_Antenne],Tableau13[Province_RDC],"Non répertoriées")</f>
        <v>Nord-Kivu</v>
      </c>
      <c r="D651">
        <v>59</v>
      </c>
      <c r="E651" s="31" t="str">
        <f>_xlfn.XLOOKUP(B651,Tableau13[ID_Antenne],Tableau13[Technologie],"Non répertoriées")</f>
        <v>4G</v>
      </c>
      <c r="F651" s="3">
        <f>_xlfn.XLOOKUP(B651,Tableau13[ID_Antenne],Tableau13[Latitude],"Non répertoriées")</f>
        <v>-10.25074</v>
      </c>
      <c r="G651" s="32">
        <f>_xlfn.XLOOKUP(B651,Tableau13[ID_Antenne],Tableau13[Longitude],"Non répertoriées")</f>
        <v>26.099086</v>
      </c>
      <c r="H651" t="s">
        <v>5</v>
      </c>
    </row>
    <row r="652" spans="1:8" x14ac:dyDescent="0.25">
      <c r="A652" s="1">
        <v>45212.617361111108</v>
      </c>
      <c r="B652" t="s">
        <v>481</v>
      </c>
      <c r="C652" t="str">
        <f>_xlfn.XLOOKUP(B652,Tableau13[ID_Antenne],Tableau13[Province_RDC],"Non répertoriées")</f>
        <v>Non répertoriées</v>
      </c>
      <c r="D652">
        <v>28</v>
      </c>
      <c r="E652" t="str">
        <f>_xlfn.XLOOKUP(B652,Tableau13[ID_Antenne],Tableau13[Technologie],"Non répertoriées")</f>
        <v>Non répertoriées</v>
      </c>
      <c r="F652" t="str">
        <f>_xlfn.XLOOKUP(B652,Tableau13[ID_Antenne],Tableau13[Latitude],"Non répertoriées")</f>
        <v>Non répertoriées</v>
      </c>
      <c r="G652" t="str">
        <f>_xlfn.XLOOKUP(B652,Tableau13[ID_Antenne],Tableau13[Longitude],"Non répertoriées")</f>
        <v>Non répertoriées</v>
      </c>
      <c r="H652" t="s">
        <v>5</v>
      </c>
    </row>
    <row r="653" spans="1:8" x14ac:dyDescent="0.25">
      <c r="A653" s="1">
        <v>45221.780555555553</v>
      </c>
      <c r="B653" t="s">
        <v>407</v>
      </c>
      <c r="C653" s="29" t="str">
        <f>_xlfn.XLOOKUP(B653,Tableau13[ID_Antenne],Tableau13[Province_RDC],"Non répertoriées")</f>
        <v>Tshuapa</v>
      </c>
      <c r="D653">
        <v>67</v>
      </c>
      <c r="E653" s="31" t="str">
        <f>_xlfn.XLOOKUP(B653,Tableau13[ID_Antenne],Tableau13[Technologie],"Non répertoriées")</f>
        <v>5G</v>
      </c>
      <c r="F653" s="3">
        <f>_xlfn.XLOOKUP(B653,Tableau13[ID_Antenne],Tableau13[Latitude],"Non répertoriées")</f>
        <v>-7.789663</v>
      </c>
      <c r="G653" s="32">
        <f>_xlfn.XLOOKUP(B653,Tableau13[ID_Antenne],Tableau13[Longitude],"Non répertoriées")</f>
        <v>26.529098000000001</v>
      </c>
      <c r="H653" t="s">
        <v>5</v>
      </c>
    </row>
    <row r="654" spans="1:8" x14ac:dyDescent="0.25">
      <c r="A654" s="1">
        <v>45216.181944444441</v>
      </c>
      <c r="B654" t="s">
        <v>482</v>
      </c>
      <c r="C654" t="str">
        <f>_xlfn.XLOOKUP(B654,Tableau13[ID_Antenne],Tableau13[Province_RDC],"Non répertoriées")</f>
        <v>Non répertoriées</v>
      </c>
      <c r="D654">
        <v>86</v>
      </c>
      <c r="E654" t="str">
        <f>_xlfn.XLOOKUP(B654,Tableau13[ID_Antenne],Tableau13[Technologie],"Non répertoriées")</f>
        <v>Non répertoriées</v>
      </c>
      <c r="F654" t="str">
        <f>_xlfn.XLOOKUP(B654,Tableau13[ID_Antenne],Tableau13[Latitude],"Non répertoriées")</f>
        <v>Non répertoriées</v>
      </c>
      <c r="G654" t="str">
        <f>_xlfn.XLOOKUP(B654,Tableau13[ID_Antenne],Tableau13[Longitude],"Non répertoriées")</f>
        <v>Non répertoriées</v>
      </c>
      <c r="H654" t="s">
        <v>8</v>
      </c>
    </row>
    <row r="655" spans="1:8" x14ac:dyDescent="0.25">
      <c r="A655" s="1">
        <v>45200.629166666673</v>
      </c>
      <c r="B655" t="s">
        <v>288</v>
      </c>
      <c r="C655" t="str">
        <f>_xlfn.XLOOKUP(B655,Tableau13[ID_Antenne],Tableau13[Province_RDC],"Non répertoriées")</f>
        <v>Non répertoriées</v>
      </c>
      <c r="D655">
        <v>73</v>
      </c>
      <c r="E655" t="str">
        <f>_xlfn.XLOOKUP(B655,Tableau13[ID_Antenne],Tableau13[Technologie],"Non répertoriées")</f>
        <v>Non répertoriées</v>
      </c>
      <c r="F655" t="str">
        <f>_xlfn.XLOOKUP(B655,Tableau13[ID_Antenne],Tableau13[Latitude],"Non répertoriées")</f>
        <v>Non répertoriées</v>
      </c>
      <c r="G655" t="str">
        <f>_xlfn.XLOOKUP(B655,Tableau13[ID_Antenne],Tableau13[Longitude],"Non répertoriées")</f>
        <v>Non répertoriées</v>
      </c>
      <c r="H655" t="s">
        <v>8</v>
      </c>
    </row>
    <row r="656" spans="1:8" x14ac:dyDescent="0.25">
      <c r="A656" s="1">
        <v>45209.581944444442</v>
      </c>
      <c r="B656" t="s">
        <v>483</v>
      </c>
      <c r="C656" t="str">
        <f>_xlfn.XLOOKUP(B656,Tableau13[ID_Antenne],Tableau13[Province_RDC],"Non répertoriées")</f>
        <v>Non répertoriées</v>
      </c>
      <c r="D656">
        <v>93</v>
      </c>
      <c r="E656" t="str">
        <f>_xlfn.XLOOKUP(B656,Tableau13[ID_Antenne],Tableau13[Technologie],"Non répertoriées")</f>
        <v>Non répertoriées</v>
      </c>
      <c r="F656" t="str">
        <f>_xlfn.XLOOKUP(B656,Tableau13[ID_Antenne],Tableau13[Latitude],"Non répertoriées")</f>
        <v>Non répertoriées</v>
      </c>
      <c r="G656" t="str">
        <f>_xlfn.XLOOKUP(B656,Tableau13[ID_Antenne],Tableau13[Longitude],"Non répertoriées")</f>
        <v>Non répertoriées</v>
      </c>
      <c r="H656" t="s">
        <v>8</v>
      </c>
    </row>
    <row r="657" spans="1:8" x14ac:dyDescent="0.25">
      <c r="A657" s="1">
        <v>45230.088194444441</v>
      </c>
      <c r="B657" t="s">
        <v>377</v>
      </c>
      <c r="C657" t="str">
        <f>_xlfn.XLOOKUP(B657,Tableau13[ID_Antenne],Tableau13[Province_RDC],"Non répertoriées")</f>
        <v>Non répertoriées</v>
      </c>
      <c r="D657">
        <v>87</v>
      </c>
      <c r="E657" t="str">
        <f>_xlfn.XLOOKUP(B657,Tableau13[ID_Antenne],Tableau13[Technologie],"Non répertoriées")</f>
        <v>Non répertoriées</v>
      </c>
      <c r="F657" t="str">
        <f>_xlfn.XLOOKUP(B657,Tableau13[ID_Antenne],Tableau13[Latitude],"Non répertoriées")</f>
        <v>Non répertoriées</v>
      </c>
      <c r="G657" t="str">
        <f>_xlfn.XLOOKUP(B657,Tableau13[ID_Antenne],Tableau13[Longitude],"Non répertoriées")</f>
        <v>Non répertoriées</v>
      </c>
      <c r="H657" t="s">
        <v>10</v>
      </c>
    </row>
    <row r="658" spans="1:8" x14ac:dyDescent="0.25">
      <c r="A658" s="1">
        <v>45226.964583333327</v>
      </c>
      <c r="B658" t="s">
        <v>484</v>
      </c>
      <c r="C658" s="29" t="str">
        <f>_xlfn.XLOOKUP(B658,Tableau13[ID_Antenne],Tableau13[Province_RDC],"Non répertoriées")</f>
        <v>Lualaba</v>
      </c>
      <c r="D658">
        <v>27</v>
      </c>
      <c r="E658" s="31" t="str">
        <f>_xlfn.XLOOKUP(B658,Tableau13[ID_Antenne],Tableau13[Technologie],"Non répertoriées")</f>
        <v>3G</v>
      </c>
      <c r="F658" s="3">
        <f>_xlfn.XLOOKUP(B658,Tableau13[ID_Antenne],Tableau13[Latitude],"Non répertoriées")</f>
        <v>-11.354772000000001</v>
      </c>
      <c r="G658" s="32">
        <f>_xlfn.XLOOKUP(B658,Tableau13[ID_Antenne],Tableau13[Longitude],"Non répertoriées")</f>
        <v>21.957325999999998</v>
      </c>
      <c r="H658" t="s">
        <v>8</v>
      </c>
    </row>
    <row r="659" spans="1:8" x14ac:dyDescent="0.25">
      <c r="A659" s="1">
        <v>45211.38958333333</v>
      </c>
      <c r="B659" t="s">
        <v>485</v>
      </c>
      <c r="C659" t="str">
        <f>_xlfn.XLOOKUP(B659,Tableau13[ID_Antenne],Tableau13[Province_RDC],"Non répertoriées")</f>
        <v>Non répertoriées</v>
      </c>
      <c r="D659">
        <v>76</v>
      </c>
      <c r="E659" t="str">
        <f>_xlfn.XLOOKUP(B659,Tableau13[ID_Antenne],Tableau13[Technologie],"Non répertoriées")</f>
        <v>Non répertoriées</v>
      </c>
      <c r="F659" t="str">
        <f>_xlfn.XLOOKUP(B659,Tableau13[ID_Antenne],Tableau13[Latitude],"Non répertoriées")</f>
        <v>Non répertoriées</v>
      </c>
      <c r="G659" t="str">
        <f>_xlfn.XLOOKUP(B659,Tableau13[ID_Antenne],Tableau13[Longitude],"Non répertoriées")</f>
        <v>Non répertoriées</v>
      </c>
      <c r="H659" t="s">
        <v>8</v>
      </c>
    </row>
    <row r="660" spans="1:8" x14ac:dyDescent="0.25">
      <c r="A660" s="1">
        <v>45214.272916666669</v>
      </c>
      <c r="B660" t="s">
        <v>175</v>
      </c>
      <c r="C660" t="str">
        <f>_xlfn.XLOOKUP(B660,Tableau13[ID_Antenne],Tableau13[Province_RDC],"Non répertoriées")</f>
        <v>Non répertoriées</v>
      </c>
      <c r="D660">
        <v>26</v>
      </c>
      <c r="E660" t="str">
        <f>_xlfn.XLOOKUP(B660,Tableau13[ID_Antenne],Tableau13[Technologie],"Non répertoriées")</f>
        <v>Non répertoriées</v>
      </c>
      <c r="F660" t="str">
        <f>_xlfn.XLOOKUP(B660,Tableau13[ID_Antenne],Tableau13[Latitude],"Non répertoriées")</f>
        <v>Non répertoriées</v>
      </c>
      <c r="G660" t="str">
        <f>_xlfn.XLOOKUP(B660,Tableau13[ID_Antenne],Tableau13[Longitude],"Non répertoriées")</f>
        <v>Non répertoriées</v>
      </c>
      <c r="H660" t="s">
        <v>8</v>
      </c>
    </row>
    <row r="661" spans="1:8" x14ac:dyDescent="0.25">
      <c r="A661" s="1">
        <v>45215.479166666657</v>
      </c>
      <c r="B661" t="s">
        <v>121</v>
      </c>
      <c r="C661" t="str">
        <f>_xlfn.XLOOKUP(B661,Tableau13[ID_Antenne],Tableau13[Province_RDC],"Non répertoriées")</f>
        <v>Non répertoriées</v>
      </c>
      <c r="D661">
        <v>67</v>
      </c>
      <c r="E661" t="str">
        <f>_xlfn.XLOOKUP(B661,Tableau13[ID_Antenne],Tableau13[Technologie],"Non répertoriées")</f>
        <v>Non répertoriées</v>
      </c>
      <c r="F661" t="str">
        <f>_xlfn.XLOOKUP(B661,Tableau13[ID_Antenne],Tableau13[Latitude],"Non répertoriées")</f>
        <v>Non répertoriées</v>
      </c>
      <c r="G661" t="str">
        <f>_xlfn.XLOOKUP(B661,Tableau13[ID_Antenne],Tableau13[Longitude],"Non répertoriées")</f>
        <v>Non répertoriées</v>
      </c>
      <c r="H661" t="s">
        <v>10</v>
      </c>
    </row>
    <row r="662" spans="1:8" x14ac:dyDescent="0.25">
      <c r="A662" s="1">
        <v>45203.615277777782</v>
      </c>
      <c r="B662" t="s">
        <v>486</v>
      </c>
      <c r="C662" t="str">
        <f>_xlfn.XLOOKUP(B662,Tableau13[ID_Antenne],Tableau13[Province_RDC],"Non répertoriées")</f>
        <v>Non répertoriées</v>
      </c>
      <c r="D662">
        <v>41</v>
      </c>
      <c r="E662" t="str">
        <f>_xlfn.XLOOKUP(B662,Tableau13[ID_Antenne],Tableau13[Technologie],"Non répertoriées")</f>
        <v>Non répertoriées</v>
      </c>
      <c r="F662" t="str">
        <f>_xlfn.XLOOKUP(B662,Tableau13[ID_Antenne],Tableau13[Latitude],"Non répertoriées")</f>
        <v>Non répertoriées</v>
      </c>
      <c r="G662" t="str">
        <f>_xlfn.XLOOKUP(B662,Tableau13[ID_Antenne],Tableau13[Longitude],"Non répertoriées")</f>
        <v>Non répertoriées</v>
      </c>
      <c r="H662" t="s">
        <v>5</v>
      </c>
    </row>
    <row r="663" spans="1:8" x14ac:dyDescent="0.25">
      <c r="A663" s="1">
        <v>45222.597222222219</v>
      </c>
      <c r="B663" t="s">
        <v>196</v>
      </c>
      <c r="C663" s="29" t="str">
        <f>_xlfn.XLOOKUP(B663,Tableau13[ID_Antenne],Tableau13[Province_RDC],"Non répertoriées")</f>
        <v>Nord-Kivu</v>
      </c>
      <c r="D663">
        <v>22</v>
      </c>
      <c r="E663" s="31" t="str">
        <f>_xlfn.XLOOKUP(B663,Tableau13[ID_Antenne],Tableau13[Technologie],"Non répertoriées")</f>
        <v>3G</v>
      </c>
      <c r="F663" s="3">
        <f>_xlfn.XLOOKUP(B663,Tableau13[ID_Antenne],Tableau13[Latitude],"Non répertoriées")</f>
        <v>-1.8555980000000001</v>
      </c>
      <c r="G663" s="32">
        <f>_xlfn.XLOOKUP(B663,Tableau13[ID_Antenne],Tableau13[Longitude],"Non répertoriées")</f>
        <v>30.421918000000002</v>
      </c>
      <c r="H663" t="s">
        <v>8</v>
      </c>
    </row>
    <row r="664" spans="1:8" x14ac:dyDescent="0.25">
      <c r="A664" s="1">
        <v>45202.376388888893</v>
      </c>
      <c r="B664" t="s">
        <v>487</v>
      </c>
      <c r="C664" s="29" t="str">
        <f>_xlfn.XLOOKUP(B664,Tableau13[ID_Antenne],Tableau13[Province_RDC],"Non répertoriées")</f>
        <v>Kwilu</v>
      </c>
      <c r="D664">
        <v>28</v>
      </c>
      <c r="E664" s="31" t="str">
        <f>_xlfn.XLOOKUP(B664,Tableau13[ID_Antenne],Tableau13[Technologie],"Non répertoriées")</f>
        <v>4G</v>
      </c>
      <c r="F664" s="3">
        <f>_xlfn.XLOOKUP(B664,Tableau13[ID_Antenne],Tableau13[Latitude],"Non répertoriées")</f>
        <v>-7.402336</v>
      </c>
      <c r="G664" s="32">
        <f>_xlfn.XLOOKUP(B664,Tableau13[ID_Antenne],Tableau13[Longitude],"Non répertoriées")</f>
        <v>27.376697</v>
      </c>
      <c r="H664" t="s">
        <v>5</v>
      </c>
    </row>
    <row r="665" spans="1:8" x14ac:dyDescent="0.25">
      <c r="A665" s="1">
        <v>45225.921527777777</v>
      </c>
      <c r="B665" t="s">
        <v>425</v>
      </c>
      <c r="C665" t="str">
        <f>_xlfn.XLOOKUP(B665,Tableau13[ID_Antenne],Tableau13[Province_RDC],"Non répertoriées")</f>
        <v>Non répertoriées</v>
      </c>
      <c r="D665">
        <v>45</v>
      </c>
      <c r="E665" t="str">
        <f>_xlfn.XLOOKUP(B665,Tableau13[ID_Antenne],Tableau13[Technologie],"Non répertoriées")</f>
        <v>Non répertoriées</v>
      </c>
      <c r="F665" t="str">
        <f>_xlfn.XLOOKUP(B665,Tableau13[ID_Antenne],Tableau13[Latitude],"Non répertoriées")</f>
        <v>Non répertoriées</v>
      </c>
      <c r="G665" t="str">
        <f>_xlfn.XLOOKUP(B665,Tableau13[ID_Antenne],Tableau13[Longitude],"Non répertoriées")</f>
        <v>Non répertoriées</v>
      </c>
      <c r="H665" t="s">
        <v>5</v>
      </c>
    </row>
    <row r="666" spans="1:8" x14ac:dyDescent="0.25">
      <c r="A666" s="1">
        <v>45200.445138888892</v>
      </c>
      <c r="B666" t="s">
        <v>488</v>
      </c>
      <c r="C666" s="29" t="str">
        <f>_xlfn.XLOOKUP(B666,Tableau13[ID_Antenne],Tableau13[Province_RDC],"Non répertoriées")</f>
        <v>Haut-Katanga</v>
      </c>
      <c r="D666">
        <v>112</v>
      </c>
      <c r="E666" s="31" t="str">
        <f>_xlfn.XLOOKUP(B666,Tableau13[ID_Antenne],Tableau13[Technologie],"Non répertoriées")</f>
        <v>4G</v>
      </c>
      <c r="F666" s="3">
        <f>_xlfn.XLOOKUP(B666,Tableau13[ID_Antenne],Tableau13[Latitude],"Non répertoriées")</f>
        <v>-10.945031</v>
      </c>
      <c r="G666" s="32">
        <f>_xlfn.XLOOKUP(B666,Tableau13[ID_Antenne],Tableau13[Longitude],"Non répertoriées")</f>
        <v>27.922274000000002</v>
      </c>
      <c r="H666" t="s">
        <v>5</v>
      </c>
    </row>
    <row r="667" spans="1:8" x14ac:dyDescent="0.25">
      <c r="A667" s="1">
        <v>45203.910416666673</v>
      </c>
      <c r="B667" t="s">
        <v>460</v>
      </c>
      <c r="C667" s="29" t="str">
        <f>_xlfn.XLOOKUP(B667,Tableau13[ID_Antenne],Tableau13[Province_RDC],"Non répertoriées")</f>
        <v>Maniema</v>
      </c>
      <c r="D667">
        <v>62</v>
      </c>
      <c r="E667" s="31" t="str">
        <f>_xlfn.XLOOKUP(B667,Tableau13[ID_Antenne],Tableau13[Technologie],"Non répertoriées")</f>
        <v>4G</v>
      </c>
      <c r="F667" s="3">
        <f>_xlfn.XLOOKUP(B667,Tableau13[ID_Antenne],Tableau13[Latitude],"Non répertoriées")</f>
        <v>1.938083</v>
      </c>
      <c r="G667" s="32">
        <f>_xlfn.XLOOKUP(B667,Tableau13[ID_Antenne],Tableau13[Longitude],"Non répertoriées")</f>
        <v>28.25281</v>
      </c>
      <c r="H667" t="s">
        <v>5</v>
      </c>
    </row>
    <row r="668" spans="1:8" x14ac:dyDescent="0.25">
      <c r="A668" s="1">
        <v>45205.96875</v>
      </c>
      <c r="B668" t="s">
        <v>489</v>
      </c>
      <c r="C668" t="str">
        <f>_xlfn.XLOOKUP(B668,Tableau13[ID_Antenne],Tableau13[Province_RDC],"Non répertoriées")</f>
        <v>Non répertoriées</v>
      </c>
      <c r="D668">
        <v>84</v>
      </c>
      <c r="E668" t="str">
        <f>_xlfn.XLOOKUP(B668,Tableau13[ID_Antenne],Tableau13[Technologie],"Non répertoriées")</f>
        <v>Non répertoriées</v>
      </c>
      <c r="F668" t="str">
        <f>_xlfn.XLOOKUP(B668,Tableau13[ID_Antenne],Tableau13[Latitude],"Non répertoriées")</f>
        <v>Non répertoriées</v>
      </c>
      <c r="G668" t="str">
        <f>_xlfn.XLOOKUP(B668,Tableau13[ID_Antenne],Tableau13[Longitude],"Non répertoriées")</f>
        <v>Non répertoriées</v>
      </c>
      <c r="H668" t="s">
        <v>8</v>
      </c>
    </row>
    <row r="669" spans="1:8" x14ac:dyDescent="0.25">
      <c r="A669" s="1">
        <v>45216.232638888891</v>
      </c>
      <c r="B669" t="s">
        <v>490</v>
      </c>
      <c r="C669" s="29" t="str">
        <f>_xlfn.XLOOKUP(B669,Tableau13[ID_Antenne],Tableau13[Province_RDC],"Non répertoriées")</f>
        <v>Kasai</v>
      </c>
      <c r="D669">
        <v>11</v>
      </c>
      <c r="E669" s="31" t="str">
        <f>_xlfn.XLOOKUP(B669,Tableau13[ID_Antenne],Tableau13[Technologie],"Non répertoriées")</f>
        <v>3G</v>
      </c>
      <c r="F669" s="3">
        <f>_xlfn.XLOOKUP(B669,Tableau13[ID_Antenne],Tableau13[Latitude],"Non répertoriées")</f>
        <v>-3.8119990000000001</v>
      </c>
      <c r="G669" s="32">
        <f>_xlfn.XLOOKUP(B669,Tableau13[ID_Antenne],Tableau13[Longitude],"Non répertoriées")</f>
        <v>20.420048000000001</v>
      </c>
      <c r="H669" t="s">
        <v>10</v>
      </c>
    </row>
    <row r="670" spans="1:8" x14ac:dyDescent="0.25">
      <c r="A670" s="1">
        <v>45205.440972222219</v>
      </c>
      <c r="B670" t="s">
        <v>491</v>
      </c>
      <c r="C670" s="29" t="str">
        <f>_xlfn.XLOOKUP(B670,Tableau13[ID_Antenne],Tableau13[Province_RDC],"Non répertoriées")</f>
        <v>Sud-Kivu</v>
      </c>
      <c r="D670">
        <v>115</v>
      </c>
      <c r="E670" s="31" t="str">
        <f>_xlfn.XLOOKUP(B670,Tableau13[ID_Antenne],Tableau13[Technologie],"Non répertoriées")</f>
        <v>3G</v>
      </c>
      <c r="F670" s="3">
        <f>_xlfn.XLOOKUP(B670,Tableau13[ID_Antenne],Tableau13[Latitude],"Non répertoriées")</f>
        <v>-1.3024210000000001</v>
      </c>
      <c r="G670" s="32">
        <f>_xlfn.XLOOKUP(B670,Tableau13[ID_Antenne],Tableau13[Longitude],"Non répertoriées")</f>
        <v>13.601914000000001</v>
      </c>
      <c r="H670" t="s">
        <v>8</v>
      </c>
    </row>
    <row r="671" spans="1:8" x14ac:dyDescent="0.25">
      <c r="A671" s="1">
        <v>45213.593055555553</v>
      </c>
      <c r="B671" t="s">
        <v>417</v>
      </c>
      <c r="C671" t="str">
        <f>_xlfn.XLOOKUP(B671,Tableau13[ID_Antenne],Tableau13[Province_RDC],"Non répertoriées")</f>
        <v>Non répertoriées</v>
      </c>
      <c r="D671">
        <v>50</v>
      </c>
      <c r="E671" t="str">
        <f>_xlfn.XLOOKUP(B671,Tableau13[ID_Antenne],Tableau13[Technologie],"Non répertoriées")</f>
        <v>Non répertoriées</v>
      </c>
      <c r="F671" t="str">
        <f>_xlfn.XLOOKUP(B671,Tableau13[ID_Antenne],Tableau13[Latitude],"Non répertoriées")</f>
        <v>Non répertoriées</v>
      </c>
      <c r="G671" t="str">
        <f>_xlfn.XLOOKUP(B671,Tableau13[ID_Antenne],Tableau13[Longitude],"Non répertoriées")</f>
        <v>Non répertoriées</v>
      </c>
      <c r="H671" t="s">
        <v>10</v>
      </c>
    </row>
    <row r="672" spans="1:8" x14ac:dyDescent="0.25">
      <c r="A672" s="1">
        <v>45225.527777777781</v>
      </c>
      <c r="B672" t="s">
        <v>492</v>
      </c>
      <c r="C672" t="str">
        <f>_xlfn.XLOOKUP(B672,Tableau13[ID_Antenne],Tableau13[Province_RDC],"Non répertoriées")</f>
        <v>Non répertoriées</v>
      </c>
      <c r="D672">
        <v>6</v>
      </c>
      <c r="E672" t="str">
        <f>_xlfn.XLOOKUP(B672,Tableau13[ID_Antenne],Tableau13[Technologie],"Non répertoriées")</f>
        <v>Non répertoriées</v>
      </c>
      <c r="F672" t="str">
        <f>_xlfn.XLOOKUP(B672,Tableau13[ID_Antenne],Tableau13[Latitude],"Non répertoriées")</f>
        <v>Non répertoriées</v>
      </c>
      <c r="G672" t="str">
        <f>_xlfn.XLOOKUP(B672,Tableau13[ID_Antenne],Tableau13[Longitude],"Non répertoriées")</f>
        <v>Non répertoriées</v>
      </c>
      <c r="H672" t="s">
        <v>8</v>
      </c>
    </row>
    <row r="673" spans="1:8" x14ac:dyDescent="0.25">
      <c r="A673" s="1">
        <v>45205.236111111109</v>
      </c>
      <c r="B673" t="s">
        <v>183</v>
      </c>
      <c r="C673" t="str">
        <f>_xlfn.XLOOKUP(B673,Tableau13[ID_Antenne],Tableau13[Province_RDC],"Non répertoriées")</f>
        <v>Non répertoriées</v>
      </c>
      <c r="D673">
        <v>67</v>
      </c>
      <c r="E673" t="str">
        <f>_xlfn.XLOOKUP(B673,Tableau13[ID_Antenne],Tableau13[Technologie],"Non répertoriées")</f>
        <v>Non répertoriées</v>
      </c>
      <c r="F673" t="str">
        <f>_xlfn.XLOOKUP(B673,Tableau13[ID_Antenne],Tableau13[Latitude],"Non répertoriées")</f>
        <v>Non répertoriées</v>
      </c>
      <c r="G673" t="str">
        <f>_xlfn.XLOOKUP(B673,Tableau13[ID_Antenne],Tableau13[Longitude],"Non répertoriées")</f>
        <v>Non répertoriées</v>
      </c>
      <c r="H673" t="s">
        <v>8</v>
      </c>
    </row>
    <row r="674" spans="1:8" x14ac:dyDescent="0.25">
      <c r="A674" s="1">
        <v>45221.559027777781</v>
      </c>
      <c r="B674" t="s">
        <v>493</v>
      </c>
      <c r="C674" s="29" t="str">
        <f>_xlfn.XLOOKUP(B674,Tableau13[ID_Antenne],Tableau13[Province_RDC],"Non répertoriées")</f>
        <v>Kwango</v>
      </c>
      <c r="D674">
        <v>22</v>
      </c>
      <c r="E674" s="31" t="str">
        <f>_xlfn.XLOOKUP(B674,Tableau13[ID_Antenne],Tableau13[Technologie],"Non répertoriées")</f>
        <v>5G</v>
      </c>
      <c r="F674" s="3">
        <f>_xlfn.XLOOKUP(B674,Tableau13[ID_Antenne],Tableau13[Latitude],"Non répertoriées")</f>
        <v>0.65288900000000005</v>
      </c>
      <c r="G674" s="32">
        <f>_xlfn.XLOOKUP(B674,Tableau13[ID_Antenne],Tableau13[Longitude],"Non répertoriées")</f>
        <v>24.243953999999999</v>
      </c>
      <c r="H674" t="s">
        <v>5</v>
      </c>
    </row>
    <row r="675" spans="1:8" x14ac:dyDescent="0.25">
      <c r="A675" s="1">
        <v>45200.98541666667</v>
      </c>
      <c r="B675" t="s">
        <v>191</v>
      </c>
      <c r="C675" s="29" t="str">
        <f>_xlfn.XLOOKUP(B675,Tableau13[ID_Antenne],Tableau13[Province_RDC],"Non répertoriées")</f>
        <v>Bas-Uele</v>
      </c>
      <c r="D675">
        <v>29</v>
      </c>
      <c r="E675" s="31" t="str">
        <f>_xlfn.XLOOKUP(B675,Tableau13[ID_Antenne],Tableau13[Technologie],"Non répertoriées")</f>
        <v>3G</v>
      </c>
      <c r="F675" s="3">
        <f>_xlfn.XLOOKUP(B675,Tableau13[ID_Antenne],Tableau13[Latitude],"Non répertoriées")</f>
        <v>1.5278670000000001</v>
      </c>
      <c r="G675" s="32">
        <f>_xlfn.XLOOKUP(B675,Tableau13[ID_Antenne],Tableau13[Longitude],"Non répertoriées")</f>
        <v>13.899388999999999</v>
      </c>
      <c r="H675" t="s">
        <v>10</v>
      </c>
    </row>
    <row r="676" spans="1:8" x14ac:dyDescent="0.25">
      <c r="A676" s="1">
        <v>45228.269444444442</v>
      </c>
      <c r="B676" t="s">
        <v>93</v>
      </c>
      <c r="C676" t="str">
        <f>_xlfn.XLOOKUP(B676,Tableau13[ID_Antenne],Tableau13[Province_RDC],"Non répertoriées")</f>
        <v>Non répertoriées</v>
      </c>
      <c r="D676">
        <v>109</v>
      </c>
      <c r="E676" t="str">
        <f>_xlfn.XLOOKUP(B676,Tableau13[ID_Antenne],Tableau13[Technologie],"Non répertoriées")</f>
        <v>Non répertoriées</v>
      </c>
      <c r="F676" t="str">
        <f>_xlfn.XLOOKUP(B676,Tableau13[ID_Antenne],Tableau13[Latitude],"Non répertoriées")</f>
        <v>Non répertoriées</v>
      </c>
      <c r="G676" t="str">
        <f>_xlfn.XLOOKUP(B676,Tableau13[ID_Antenne],Tableau13[Longitude],"Non répertoriées")</f>
        <v>Non répertoriées</v>
      </c>
      <c r="H676" t="s">
        <v>8</v>
      </c>
    </row>
    <row r="677" spans="1:8" x14ac:dyDescent="0.25">
      <c r="A677" s="1">
        <v>45218.558333333327</v>
      </c>
      <c r="B677" t="s">
        <v>193</v>
      </c>
      <c r="C677" t="str">
        <f>_xlfn.XLOOKUP(B677,Tableau13[ID_Antenne],Tableau13[Province_RDC],"Non répertoriées")</f>
        <v>Non répertoriées</v>
      </c>
      <c r="D677">
        <v>54</v>
      </c>
      <c r="E677" t="str">
        <f>_xlfn.XLOOKUP(B677,Tableau13[ID_Antenne],Tableau13[Technologie],"Non répertoriées")</f>
        <v>Non répertoriées</v>
      </c>
      <c r="F677" t="str">
        <f>_xlfn.XLOOKUP(B677,Tableau13[ID_Antenne],Tableau13[Latitude],"Non répertoriées")</f>
        <v>Non répertoriées</v>
      </c>
      <c r="G677" t="str">
        <f>_xlfn.XLOOKUP(B677,Tableau13[ID_Antenne],Tableau13[Longitude],"Non répertoriées")</f>
        <v>Non répertoriées</v>
      </c>
      <c r="H677" t="s">
        <v>10</v>
      </c>
    </row>
    <row r="678" spans="1:8" x14ac:dyDescent="0.25">
      <c r="A678" s="1">
        <v>45200.925694444442</v>
      </c>
      <c r="B678" t="s">
        <v>12</v>
      </c>
      <c r="C678" s="29" t="str">
        <f>_xlfn.XLOOKUP(B678,Tableau13[ID_Antenne],Tableau13[Province_RDC],"Non répertoriées")</f>
        <v>Kongo-Central</v>
      </c>
      <c r="D678">
        <v>76</v>
      </c>
      <c r="E678" s="31" t="str">
        <f>_xlfn.XLOOKUP(B678,Tableau13[ID_Antenne],Tableau13[Technologie],"Non répertoriées")</f>
        <v>5G</v>
      </c>
      <c r="F678" s="3">
        <f>_xlfn.XLOOKUP(B678,Tableau13[ID_Antenne],Tableau13[Latitude],"Non répertoriées")</f>
        <v>-2.8211520000000001</v>
      </c>
      <c r="G678" s="32">
        <f>_xlfn.XLOOKUP(B678,Tableau13[ID_Antenne],Tableau13[Longitude],"Non répertoriées")</f>
        <v>20.651419000000001</v>
      </c>
      <c r="H678" t="s">
        <v>10</v>
      </c>
    </row>
    <row r="679" spans="1:8" x14ac:dyDescent="0.25">
      <c r="A679" s="1">
        <v>45206.366666666669</v>
      </c>
      <c r="B679" t="s">
        <v>219</v>
      </c>
      <c r="C679" t="str">
        <f>_xlfn.XLOOKUP(B679,Tableau13[ID_Antenne],Tableau13[Province_RDC],"Non répertoriées")</f>
        <v>Non répertoriées</v>
      </c>
      <c r="D679">
        <v>69</v>
      </c>
      <c r="E679" t="str">
        <f>_xlfn.XLOOKUP(B679,Tableau13[ID_Antenne],Tableau13[Technologie],"Non répertoriées")</f>
        <v>Non répertoriées</v>
      </c>
      <c r="F679" t="str">
        <f>_xlfn.XLOOKUP(B679,Tableau13[ID_Antenne],Tableau13[Latitude],"Non répertoriées")</f>
        <v>Non répertoriées</v>
      </c>
      <c r="G679" t="str">
        <f>_xlfn.XLOOKUP(B679,Tableau13[ID_Antenne],Tableau13[Longitude],"Non répertoriées")</f>
        <v>Non répertoriées</v>
      </c>
      <c r="H679" t="s">
        <v>8</v>
      </c>
    </row>
    <row r="680" spans="1:8" x14ac:dyDescent="0.25">
      <c r="A680" s="1">
        <v>45222.10833333333</v>
      </c>
      <c r="B680" t="s">
        <v>494</v>
      </c>
      <c r="C680" t="str">
        <f>_xlfn.XLOOKUP(B680,Tableau13[ID_Antenne],Tableau13[Province_RDC],"Non répertoriées")</f>
        <v>Non répertoriées</v>
      </c>
      <c r="D680">
        <v>88</v>
      </c>
      <c r="E680" t="str">
        <f>_xlfn.XLOOKUP(B680,Tableau13[ID_Antenne],Tableau13[Technologie],"Non répertoriées")</f>
        <v>Non répertoriées</v>
      </c>
      <c r="F680" t="str">
        <f>_xlfn.XLOOKUP(B680,Tableau13[ID_Antenne],Tableau13[Latitude],"Non répertoriées")</f>
        <v>Non répertoriées</v>
      </c>
      <c r="G680" t="str">
        <f>_xlfn.XLOOKUP(B680,Tableau13[ID_Antenne],Tableau13[Longitude],"Non répertoriées")</f>
        <v>Non répertoriées</v>
      </c>
      <c r="H680" t="s">
        <v>10</v>
      </c>
    </row>
    <row r="681" spans="1:8" x14ac:dyDescent="0.25">
      <c r="A681" s="1">
        <v>45203.71597222222</v>
      </c>
      <c r="B681" t="s">
        <v>495</v>
      </c>
      <c r="C681" s="29" t="str">
        <f>_xlfn.XLOOKUP(B681,Tableau13[ID_Antenne],Tableau13[Province_RDC],"Non répertoriées")</f>
        <v>Nord-Kivu</v>
      </c>
      <c r="D681">
        <v>68</v>
      </c>
      <c r="E681" s="31" t="str">
        <f>_xlfn.XLOOKUP(B681,Tableau13[ID_Antenne],Tableau13[Technologie],"Non répertoriées")</f>
        <v>5G</v>
      </c>
      <c r="F681" s="3">
        <f>_xlfn.XLOOKUP(B681,Tableau13[ID_Antenne],Tableau13[Latitude],"Non répertoriées")</f>
        <v>-7.9866700000000002</v>
      </c>
      <c r="G681" s="32">
        <f>_xlfn.XLOOKUP(B681,Tableau13[ID_Antenne],Tableau13[Longitude],"Non répertoriées")</f>
        <v>17.757847000000002</v>
      </c>
      <c r="H681" t="s">
        <v>8</v>
      </c>
    </row>
    <row r="682" spans="1:8" x14ac:dyDescent="0.25">
      <c r="A682" s="1">
        <v>45211.425000000003</v>
      </c>
      <c r="B682" t="s">
        <v>168</v>
      </c>
      <c r="C682" s="29" t="str">
        <f>_xlfn.XLOOKUP(B682,Tableau13[ID_Antenne],Tableau13[Province_RDC],"Non répertoriées")</f>
        <v>Tshopo</v>
      </c>
      <c r="D682">
        <v>57</v>
      </c>
      <c r="E682" s="31" t="str">
        <f>_xlfn.XLOOKUP(B682,Tableau13[ID_Antenne],Tableau13[Technologie],"Non répertoriées")</f>
        <v>5G</v>
      </c>
      <c r="F682" s="3">
        <f>_xlfn.XLOOKUP(B682,Tableau13[ID_Antenne],Tableau13[Latitude],"Non répertoriées")</f>
        <v>-4.5603610000000003</v>
      </c>
      <c r="G682" s="32">
        <f>_xlfn.XLOOKUP(B682,Tableau13[ID_Antenne],Tableau13[Longitude],"Non répertoriées")</f>
        <v>24.113918999999999</v>
      </c>
      <c r="H682" t="s">
        <v>8</v>
      </c>
    </row>
    <row r="683" spans="1:8" x14ac:dyDescent="0.25">
      <c r="A683" s="1">
        <v>45214.136111111111</v>
      </c>
      <c r="B683" t="s">
        <v>496</v>
      </c>
      <c r="C683" t="str">
        <f>_xlfn.XLOOKUP(B683,Tableau13[ID_Antenne],Tableau13[Province_RDC],"Non répertoriées")</f>
        <v>Non répertoriées</v>
      </c>
      <c r="D683">
        <v>92</v>
      </c>
      <c r="E683" t="str">
        <f>_xlfn.XLOOKUP(B683,Tableau13[ID_Antenne],Tableau13[Technologie],"Non répertoriées")</f>
        <v>Non répertoriées</v>
      </c>
      <c r="F683" t="str">
        <f>_xlfn.XLOOKUP(B683,Tableau13[ID_Antenne],Tableau13[Latitude],"Non répertoriées")</f>
        <v>Non répertoriées</v>
      </c>
      <c r="G683" t="str">
        <f>_xlfn.XLOOKUP(B683,Tableau13[ID_Antenne],Tableau13[Longitude],"Non répertoriées")</f>
        <v>Non répertoriées</v>
      </c>
      <c r="H683" t="s">
        <v>5</v>
      </c>
    </row>
    <row r="684" spans="1:8" x14ac:dyDescent="0.25">
      <c r="A684" s="1">
        <v>45221.647916666669</v>
      </c>
      <c r="B684" t="s">
        <v>497</v>
      </c>
      <c r="C684" s="29" t="str">
        <f>_xlfn.XLOOKUP(B684,Tableau13[ID_Antenne],Tableau13[Province_RDC],"Non répertoriées")</f>
        <v>Haut-Uele</v>
      </c>
      <c r="D684">
        <v>67</v>
      </c>
      <c r="E684" s="31" t="str">
        <f>_xlfn.XLOOKUP(B684,Tableau13[ID_Antenne],Tableau13[Technologie],"Non répertoriées")</f>
        <v>3G</v>
      </c>
      <c r="F684" s="3">
        <f>_xlfn.XLOOKUP(B684,Tableau13[ID_Antenne],Tableau13[Latitude],"Non répertoriées")</f>
        <v>-11.924048000000001</v>
      </c>
      <c r="G684" s="32">
        <f>_xlfn.XLOOKUP(B684,Tableau13[ID_Antenne],Tableau13[Longitude],"Non répertoriées")</f>
        <v>24.177174999999998</v>
      </c>
      <c r="H684" t="s">
        <v>5</v>
      </c>
    </row>
    <row r="685" spans="1:8" x14ac:dyDescent="0.25">
      <c r="A685" s="1">
        <v>45230.847222222219</v>
      </c>
      <c r="B685" t="s">
        <v>63</v>
      </c>
      <c r="C685" s="29" t="str">
        <f>_xlfn.XLOOKUP(B685,Tableau13[ID_Antenne],Tableau13[Province_RDC],"Non répertoriées")</f>
        <v>Kwilu</v>
      </c>
      <c r="D685">
        <v>58</v>
      </c>
      <c r="E685" s="31" t="str">
        <f>_xlfn.XLOOKUP(B685,Tableau13[ID_Antenne],Tableau13[Technologie],"Non répertoriées")</f>
        <v>3G</v>
      </c>
      <c r="F685" s="3">
        <f>_xlfn.XLOOKUP(B685,Tableau13[ID_Antenne],Tableau13[Latitude],"Non répertoriées")</f>
        <v>-5.9021970000000001</v>
      </c>
      <c r="G685" s="32">
        <f>_xlfn.XLOOKUP(B685,Tableau13[ID_Antenne],Tableau13[Longitude],"Non répertoriées")</f>
        <v>20.551169999999999</v>
      </c>
      <c r="H685" t="s">
        <v>10</v>
      </c>
    </row>
    <row r="686" spans="1:8" x14ac:dyDescent="0.25">
      <c r="A686" s="1">
        <v>45219.527083333327</v>
      </c>
      <c r="B686" t="s">
        <v>403</v>
      </c>
      <c r="C686" s="29" t="str">
        <f>_xlfn.XLOOKUP(B686,Tableau13[ID_Antenne],Tableau13[Province_RDC],"Non répertoriées")</f>
        <v>Haut-Uele</v>
      </c>
      <c r="D686">
        <v>95</v>
      </c>
      <c r="E686" s="31" t="str">
        <f>_xlfn.XLOOKUP(B686,Tableau13[ID_Antenne],Tableau13[Technologie],"Non répertoriées")</f>
        <v>5G</v>
      </c>
      <c r="F686" s="3">
        <f>_xlfn.XLOOKUP(B686,Tableau13[ID_Antenne],Tableau13[Latitude],"Non répertoriées")</f>
        <v>-7.1483749999999997</v>
      </c>
      <c r="G686" s="32">
        <f>_xlfn.XLOOKUP(B686,Tableau13[ID_Antenne],Tableau13[Longitude],"Non répertoriées")</f>
        <v>26.014271000000001</v>
      </c>
      <c r="H686" t="s">
        <v>5</v>
      </c>
    </row>
    <row r="687" spans="1:8" x14ac:dyDescent="0.25">
      <c r="A687" s="1">
        <v>45212.754861111112</v>
      </c>
      <c r="B687" t="s">
        <v>118</v>
      </c>
      <c r="C687" s="29" t="str">
        <f>_xlfn.XLOOKUP(B687,Tableau13[ID_Antenne],Tableau13[Province_RDC],"Non répertoriées")</f>
        <v>Kwilu</v>
      </c>
      <c r="D687">
        <v>112</v>
      </c>
      <c r="E687" s="31" t="str">
        <f>_xlfn.XLOOKUP(B687,Tableau13[ID_Antenne],Tableau13[Technologie],"Non répertoriées")</f>
        <v>4G</v>
      </c>
      <c r="F687" s="3">
        <f>_xlfn.XLOOKUP(B687,Tableau13[ID_Antenne],Tableau13[Latitude],"Non répertoriées")</f>
        <v>2.4741019999999998</v>
      </c>
      <c r="G687" s="32">
        <f>_xlfn.XLOOKUP(B687,Tableau13[ID_Antenne],Tableau13[Longitude],"Non répertoriées")</f>
        <v>29.297391000000001</v>
      </c>
      <c r="H687" t="s">
        <v>10</v>
      </c>
    </row>
    <row r="688" spans="1:8" x14ac:dyDescent="0.25">
      <c r="A688" s="1">
        <v>45211.495833333327</v>
      </c>
      <c r="B688" t="s">
        <v>119</v>
      </c>
      <c r="C688" t="str">
        <f>_xlfn.XLOOKUP(B688,Tableau13[ID_Antenne],Tableau13[Province_RDC],"Non répertoriées")</f>
        <v>Non répertoriées</v>
      </c>
      <c r="D688">
        <v>61</v>
      </c>
      <c r="E688" t="str">
        <f>_xlfn.XLOOKUP(B688,Tableau13[ID_Antenne],Tableau13[Technologie],"Non répertoriées")</f>
        <v>Non répertoriées</v>
      </c>
      <c r="F688" t="str">
        <f>_xlfn.XLOOKUP(B688,Tableau13[ID_Antenne],Tableau13[Latitude],"Non répertoriées")</f>
        <v>Non répertoriées</v>
      </c>
      <c r="G688" t="str">
        <f>_xlfn.XLOOKUP(B688,Tableau13[ID_Antenne],Tableau13[Longitude],"Non répertoriées")</f>
        <v>Non répertoriées</v>
      </c>
      <c r="H688" t="s">
        <v>8</v>
      </c>
    </row>
    <row r="689" spans="1:8" x14ac:dyDescent="0.25">
      <c r="A689" s="1">
        <v>45214.799305555563</v>
      </c>
      <c r="B689" t="s">
        <v>498</v>
      </c>
      <c r="C689" t="str">
        <f>_xlfn.XLOOKUP(B689,Tableau13[ID_Antenne],Tableau13[Province_RDC],"Non répertoriées")</f>
        <v>Non répertoriées</v>
      </c>
      <c r="D689">
        <v>67</v>
      </c>
      <c r="E689" t="str">
        <f>_xlfn.XLOOKUP(B689,Tableau13[ID_Antenne],Tableau13[Technologie],"Non répertoriées")</f>
        <v>Non répertoriées</v>
      </c>
      <c r="F689" t="str">
        <f>_xlfn.XLOOKUP(B689,Tableau13[ID_Antenne],Tableau13[Latitude],"Non répertoriées")</f>
        <v>Non répertoriées</v>
      </c>
      <c r="G689" t="str">
        <f>_xlfn.XLOOKUP(B689,Tableau13[ID_Antenne],Tableau13[Longitude],"Non répertoriées")</f>
        <v>Non répertoriées</v>
      </c>
      <c r="H689" t="s">
        <v>5</v>
      </c>
    </row>
    <row r="690" spans="1:8" x14ac:dyDescent="0.25">
      <c r="A690" s="1">
        <v>45226.90625</v>
      </c>
      <c r="B690" t="s">
        <v>315</v>
      </c>
      <c r="C690" t="str">
        <f>_xlfn.XLOOKUP(B690,Tableau13[ID_Antenne],Tableau13[Province_RDC],"Non répertoriées")</f>
        <v>Non répertoriées</v>
      </c>
      <c r="D690">
        <v>26</v>
      </c>
      <c r="E690" t="str">
        <f>_xlfn.XLOOKUP(B690,Tableau13[ID_Antenne],Tableau13[Technologie],"Non répertoriées")</f>
        <v>Non répertoriées</v>
      </c>
      <c r="F690" t="str">
        <f>_xlfn.XLOOKUP(B690,Tableau13[ID_Antenne],Tableau13[Latitude],"Non répertoriées")</f>
        <v>Non répertoriées</v>
      </c>
      <c r="G690" t="str">
        <f>_xlfn.XLOOKUP(B690,Tableau13[ID_Antenne],Tableau13[Longitude],"Non répertoriées")</f>
        <v>Non répertoriées</v>
      </c>
      <c r="H690" t="s">
        <v>8</v>
      </c>
    </row>
    <row r="691" spans="1:8" x14ac:dyDescent="0.25">
      <c r="A691" s="1">
        <v>45225.415277777778</v>
      </c>
      <c r="B691" t="s">
        <v>499</v>
      </c>
      <c r="C691" t="str">
        <f>_xlfn.XLOOKUP(B691,Tableau13[ID_Antenne],Tableau13[Province_RDC],"Non répertoriées")</f>
        <v>Non répertoriées</v>
      </c>
      <c r="D691">
        <v>15</v>
      </c>
      <c r="E691" t="str">
        <f>_xlfn.XLOOKUP(B691,Tableau13[ID_Antenne],Tableau13[Technologie],"Non répertoriées")</f>
        <v>Non répertoriées</v>
      </c>
      <c r="F691" t="str">
        <f>_xlfn.XLOOKUP(B691,Tableau13[ID_Antenne],Tableau13[Latitude],"Non répertoriées")</f>
        <v>Non répertoriées</v>
      </c>
      <c r="G691" t="str">
        <f>_xlfn.XLOOKUP(B691,Tableau13[ID_Antenne],Tableau13[Longitude],"Non répertoriées")</f>
        <v>Non répertoriées</v>
      </c>
      <c r="H691" t="s">
        <v>5</v>
      </c>
    </row>
    <row r="692" spans="1:8" x14ac:dyDescent="0.25">
      <c r="A692" s="1">
        <v>45219.753472222219</v>
      </c>
      <c r="B692" t="s">
        <v>116</v>
      </c>
      <c r="C692" t="str">
        <f>_xlfn.XLOOKUP(B692,Tableau13[ID_Antenne],Tableau13[Province_RDC],"Non répertoriées")</f>
        <v>Non répertoriées</v>
      </c>
      <c r="D692">
        <v>77</v>
      </c>
      <c r="E692" t="str">
        <f>_xlfn.XLOOKUP(B692,Tableau13[ID_Antenne],Tableau13[Technologie],"Non répertoriées")</f>
        <v>Non répertoriées</v>
      </c>
      <c r="F692" t="str">
        <f>_xlfn.XLOOKUP(B692,Tableau13[ID_Antenne],Tableau13[Latitude],"Non répertoriées")</f>
        <v>Non répertoriées</v>
      </c>
      <c r="G692" t="str">
        <f>_xlfn.XLOOKUP(B692,Tableau13[ID_Antenne],Tableau13[Longitude],"Non répertoriées")</f>
        <v>Non répertoriées</v>
      </c>
      <c r="H692" t="s">
        <v>5</v>
      </c>
    </row>
    <row r="693" spans="1:8" x14ac:dyDescent="0.25">
      <c r="A693" s="1">
        <v>45221.180555555547</v>
      </c>
      <c r="B693" t="s">
        <v>13</v>
      </c>
      <c r="C693" s="29" t="str">
        <f>_xlfn.XLOOKUP(B693,Tableau13[ID_Antenne],Tableau13[Province_RDC],"Non répertoriées")</f>
        <v>Kasai-Central</v>
      </c>
      <c r="D693">
        <v>8</v>
      </c>
      <c r="E693" s="31" t="str">
        <f>_xlfn.XLOOKUP(B693,Tableau13[ID_Antenne],Tableau13[Technologie],"Non répertoriées")</f>
        <v>5G</v>
      </c>
      <c r="F693" s="3">
        <f>_xlfn.XLOOKUP(B693,Tableau13[ID_Antenne],Tableau13[Latitude],"Non répertoriées")</f>
        <v>-1.648264</v>
      </c>
      <c r="G693" s="32">
        <f>_xlfn.XLOOKUP(B693,Tableau13[ID_Antenne],Tableau13[Longitude],"Non répertoriées")</f>
        <v>28.866143999999998</v>
      </c>
      <c r="H693" t="s">
        <v>5</v>
      </c>
    </row>
    <row r="694" spans="1:8" x14ac:dyDescent="0.25">
      <c r="A694" s="1">
        <v>45203.304861111108</v>
      </c>
      <c r="B694" t="s">
        <v>405</v>
      </c>
      <c r="C694" s="29" t="str">
        <f>_xlfn.XLOOKUP(B694,Tableau13[ID_Antenne],Tableau13[Province_RDC],"Non répertoriées")</f>
        <v>Tanganyika</v>
      </c>
      <c r="D694">
        <v>106</v>
      </c>
      <c r="E694" s="31" t="str">
        <f>_xlfn.XLOOKUP(B694,Tableau13[ID_Antenne],Tableau13[Technologie],"Non répertoriées")</f>
        <v>5G</v>
      </c>
      <c r="F694" s="3">
        <f>_xlfn.XLOOKUP(B694,Tableau13[ID_Antenne],Tableau13[Latitude],"Non répertoriées")</f>
        <v>-11.793894</v>
      </c>
      <c r="G694" s="32">
        <f>_xlfn.XLOOKUP(B694,Tableau13[ID_Antenne],Tableau13[Longitude],"Non répertoriées")</f>
        <v>20.433340999999999</v>
      </c>
      <c r="H694" t="s">
        <v>8</v>
      </c>
    </row>
    <row r="695" spans="1:8" x14ac:dyDescent="0.25">
      <c r="A695" s="1">
        <v>45203.224305555559</v>
      </c>
      <c r="B695" t="s">
        <v>114</v>
      </c>
      <c r="C695" s="29" t="str">
        <f>_xlfn.XLOOKUP(B695,Tableau13[ID_Antenne],Tableau13[Province_RDC],"Non répertoriées")</f>
        <v>Sud-Kivu</v>
      </c>
      <c r="D695">
        <v>102</v>
      </c>
      <c r="E695" s="31" t="str">
        <f>_xlfn.XLOOKUP(B695,Tableau13[ID_Antenne],Tableau13[Technologie],"Non répertoriées")</f>
        <v>3G</v>
      </c>
      <c r="F695" s="3">
        <f>_xlfn.XLOOKUP(B695,Tableau13[ID_Antenne],Tableau13[Latitude],"Non répertoriées")</f>
        <v>-9.4702129999999993</v>
      </c>
      <c r="G695" s="32">
        <f>_xlfn.XLOOKUP(B695,Tableau13[ID_Antenne],Tableau13[Longitude],"Non répertoriées")</f>
        <v>12.826158</v>
      </c>
      <c r="H695" t="s">
        <v>10</v>
      </c>
    </row>
    <row r="696" spans="1:8" x14ac:dyDescent="0.25">
      <c r="A696" s="1">
        <v>45222.188888888893</v>
      </c>
      <c r="B696" t="s">
        <v>307</v>
      </c>
      <c r="C696" s="29" t="str">
        <f>_xlfn.XLOOKUP(B696,Tableau13[ID_Antenne],Tableau13[Province_RDC],"Non répertoriées")</f>
        <v>Mongala</v>
      </c>
      <c r="D696">
        <v>33</v>
      </c>
      <c r="E696" s="31" t="str">
        <f>_xlfn.XLOOKUP(B696,Tableau13[ID_Antenne],Tableau13[Technologie],"Non répertoriées")</f>
        <v>5G</v>
      </c>
      <c r="F696" s="3">
        <f>_xlfn.XLOOKUP(B696,Tableau13[ID_Antenne],Tableau13[Latitude],"Non répertoriées")</f>
        <v>-5.3762689999999997</v>
      </c>
      <c r="G696" s="32">
        <f>_xlfn.XLOOKUP(B696,Tableau13[ID_Antenne],Tableau13[Longitude],"Non répertoriées")</f>
        <v>28.189575999999999</v>
      </c>
      <c r="H696" t="s">
        <v>5</v>
      </c>
    </row>
    <row r="697" spans="1:8" x14ac:dyDescent="0.25">
      <c r="A697" s="1">
        <v>45212.568055555559</v>
      </c>
      <c r="B697" t="s">
        <v>500</v>
      </c>
      <c r="C697" s="29" t="str">
        <f>_xlfn.XLOOKUP(B697,Tableau13[ID_Antenne],Tableau13[Province_RDC],"Non répertoriées")</f>
        <v>Kasai-Central</v>
      </c>
      <c r="D697">
        <v>42</v>
      </c>
      <c r="E697" s="31" t="str">
        <f>_xlfn.XLOOKUP(B697,Tableau13[ID_Antenne],Tableau13[Technologie],"Non répertoriées")</f>
        <v>3G</v>
      </c>
      <c r="F697" s="3">
        <f>_xlfn.XLOOKUP(B697,Tableau13[ID_Antenne],Tableau13[Latitude],"Non répertoriées")</f>
        <v>-7.3379339999999997</v>
      </c>
      <c r="G697" s="32">
        <f>_xlfn.XLOOKUP(B697,Tableau13[ID_Antenne],Tableau13[Longitude],"Non répertoriées")</f>
        <v>28.404001999999998</v>
      </c>
      <c r="H697" t="s">
        <v>8</v>
      </c>
    </row>
    <row r="698" spans="1:8" x14ac:dyDescent="0.25">
      <c r="A698" s="1">
        <v>45204.76666666667</v>
      </c>
      <c r="B698" t="s">
        <v>501</v>
      </c>
      <c r="C698" s="29" t="str">
        <f>_xlfn.XLOOKUP(B698,Tableau13[ID_Antenne],Tableau13[Province_RDC],"Non répertoriées")</f>
        <v>Kasai-Central</v>
      </c>
      <c r="D698">
        <v>9</v>
      </c>
      <c r="E698" s="31" t="str">
        <f>_xlfn.XLOOKUP(B698,Tableau13[ID_Antenne],Tableau13[Technologie],"Non répertoriées")</f>
        <v>4G</v>
      </c>
      <c r="F698" s="3">
        <f>_xlfn.XLOOKUP(B698,Tableau13[ID_Antenne],Tableau13[Latitude],"Non répertoriées")</f>
        <v>-12.560556999999999</v>
      </c>
      <c r="G698" s="32">
        <f>_xlfn.XLOOKUP(B698,Tableau13[ID_Antenne],Tableau13[Longitude],"Non répertoriées")</f>
        <v>13.204014000000001</v>
      </c>
      <c r="H698" t="s">
        <v>10</v>
      </c>
    </row>
    <row r="699" spans="1:8" x14ac:dyDescent="0.25">
      <c r="A699" s="1">
        <v>45202.868055555547</v>
      </c>
      <c r="B699" t="s">
        <v>208</v>
      </c>
      <c r="C699" t="str">
        <f>_xlfn.XLOOKUP(B699,Tableau13[ID_Antenne],Tableau13[Province_RDC],"Non répertoriées")</f>
        <v>Non répertoriées</v>
      </c>
      <c r="D699">
        <v>91</v>
      </c>
      <c r="E699" t="str">
        <f>_xlfn.XLOOKUP(B699,Tableau13[ID_Antenne],Tableau13[Technologie],"Non répertoriées")</f>
        <v>Non répertoriées</v>
      </c>
      <c r="F699" t="str">
        <f>_xlfn.XLOOKUP(B699,Tableau13[ID_Antenne],Tableau13[Latitude],"Non répertoriées")</f>
        <v>Non répertoriées</v>
      </c>
      <c r="G699" t="str">
        <f>_xlfn.XLOOKUP(B699,Tableau13[ID_Antenne],Tableau13[Longitude],"Non répertoriées")</f>
        <v>Non répertoriées</v>
      </c>
      <c r="H699" t="s">
        <v>8</v>
      </c>
    </row>
    <row r="700" spans="1:8" x14ac:dyDescent="0.25">
      <c r="A700" s="1">
        <v>45228.100694444453</v>
      </c>
      <c r="B700" t="s">
        <v>253</v>
      </c>
      <c r="C700" t="str">
        <f>_xlfn.XLOOKUP(B700,Tableau13[ID_Antenne],Tableau13[Province_RDC],"Non répertoriées")</f>
        <v>Non répertoriées</v>
      </c>
      <c r="D700">
        <v>23</v>
      </c>
      <c r="E700" t="str">
        <f>_xlfn.XLOOKUP(B700,Tableau13[ID_Antenne],Tableau13[Technologie],"Non répertoriées")</f>
        <v>Non répertoriées</v>
      </c>
      <c r="F700" t="str">
        <f>_xlfn.XLOOKUP(B700,Tableau13[ID_Antenne],Tableau13[Latitude],"Non répertoriées")</f>
        <v>Non répertoriées</v>
      </c>
      <c r="G700" t="str">
        <f>_xlfn.XLOOKUP(B700,Tableau13[ID_Antenne],Tableau13[Longitude],"Non répertoriées")</f>
        <v>Non répertoriées</v>
      </c>
      <c r="H700" t="s">
        <v>10</v>
      </c>
    </row>
    <row r="701" spans="1:8" x14ac:dyDescent="0.25">
      <c r="A701" s="1">
        <v>45216.970138888893</v>
      </c>
      <c r="B701" t="s">
        <v>323</v>
      </c>
      <c r="C701" s="29" t="str">
        <f>_xlfn.XLOOKUP(B701,Tableau13[ID_Antenne],Tableau13[Province_RDC],"Non répertoriées")</f>
        <v>Bas-Uele</v>
      </c>
      <c r="D701">
        <v>13</v>
      </c>
      <c r="E701" s="31" t="str">
        <f>_xlfn.XLOOKUP(B701,Tableau13[ID_Antenne],Tableau13[Technologie],"Non répertoriées")</f>
        <v>3G</v>
      </c>
      <c r="F701" s="3">
        <f>_xlfn.XLOOKUP(B701,Tableau13[ID_Antenne],Tableau13[Latitude],"Non répertoriées")</f>
        <v>-6.4197189999999997</v>
      </c>
      <c r="G701" s="32">
        <f>_xlfn.XLOOKUP(B701,Tableau13[ID_Antenne],Tableau13[Longitude],"Non répertoriées")</f>
        <v>22.287264</v>
      </c>
      <c r="H701" t="s">
        <v>10</v>
      </c>
    </row>
    <row r="702" spans="1:8" x14ac:dyDescent="0.25">
      <c r="A702" s="1">
        <v>45222.478472222218</v>
      </c>
      <c r="B702" t="s">
        <v>32</v>
      </c>
      <c r="C702" t="str">
        <f>_xlfn.XLOOKUP(B702,Tableau13[ID_Antenne],Tableau13[Province_RDC],"Non répertoriées")</f>
        <v>Non répertoriées</v>
      </c>
      <c r="D702">
        <v>72</v>
      </c>
      <c r="E702" t="str">
        <f>_xlfn.XLOOKUP(B702,Tableau13[ID_Antenne],Tableau13[Technologie],"Non répertoriées")</f>
        <v>Non répertoriées</v>
      </c>
      <c r="F702" t="str">
        <f>_xlfn.XLOOKUP(B702,Tableau13[ID_Antenne],Tableau13[Latitude],"Non répertoriées")</f>
        <v>Non répertoriées</v>
      </c>
      <c r="G702" t="str">
        <f>_xlfn.XLOOKUP(B702,Tableau13[ID_Antenne],Tableau13[Longitude],"Non répertoriées")</f>
        <v>Non répertoriées</v>
      </c>
      <c r="H702" t="s">
        <v>8</v>
      </c>
    </row>
    <row r="703" spans="1:8" x14ac:dyDescent="0.25">
      <c r="A703" s="1">
        <v>45230.638888888891</v>
      </c>
      <c r="B703" t="s">
        <v>502</v>
      </c>
      <c r="C703" s="29" t="str">
        <f>_xlfn.XLOOKUP(B703,Tableau13[ID_Antenne],Tableau13[Province_RDC],"Non répertoriées")</f>
        <v>Kinshasa</v>
      </c>
      <c r="D703">
        <v>77</v>
      </c>
      <c r="E703" s="31" t="str">
        <f>_xlfn.XLOOKUP(B703,Tableau13[ID_Antenne],Tableau13[Technologie],"Non répertoriées")</f>
        <v>5G</v>
      </c>
      <c r="F703" s="3">
        <f>_xlfn.XLOOKUP(B703,Tableau13[ID_Antenne],Tableau13[Latitude],"Non répertoriées")</f>
        <v>-0.57104900000000003</v>
      </c>
      <c r="G703" s="32">
        <f>_xlfn.XLOOKUP(B703,Tableau13[ID_Antenne],Tableau13[Longitude],"Non répertoriées")</f>
        <v>15.317663</v>
      </c>
      <c r="H703" t="s">
        <v>8</v>
      </c>
    </row>
    <row r="704" spans="1:8" x14ac:dyDescent="0.25">
      <c r="A704" s="1">
        <v>45218.038194444453</v>
      </c>
      <c r="B704" t="s">
        <v>81</v>
      </c>
      <c r="C704" s="29" t="str">
        <f>_xlfn.XLOOKUP(B704,Tableau13[ID_Antenne],Tableau13[Province_RDC],"Non répertoriées")</f>
        <v>Kwango</v>
      </c>
      <c r="D704">
        <v>6</v>
      </c>
      <c r="E704" s="31" t="str">
        <f>_xlfn.XLOOKUP(B704,Tableau13[ID_Antenne],Tableau13[Technologie],"Non répertoriées")</f>
        <v>3G</v>
      </c>
      <c r="F704" s="3">
        <f>_xlfn.XLOOKUP(B704,Tableau13[ID_Antenne],Tableau13[Latitude],"Non répertoriées")</f>
        <v>-9.7712979999999998</v>
      </c>
      <c r="G704" s="32">
        <f>_xlfn.XLOOKUP(B704,Tableau13[ID_Antenne],Tableau13[Longitude],"Non répertoriées")</f>
        <v>19.827895999999999</v>
      </c>
      <c r="H704" t="s">
        <v>5</v>
      </c>
    </row>
    <row r="705" spans="1:8" x14ac:dyDescent="0.25">
      <c r="A705" s="1">
        <v>45224.961805555547</v>
      </c>
      <c r="B705" t="s">
        <v>467</v>
      </c>
      <c r="C705" t="str">
        <f>_xlfn.XLOOKUP(B705,Tableau13[ID_Antenne],Tableau13[Province_RDC],"Non répertoriées")</f>
        <v>Non répertoriées</v>
      </c>
      <c r="D705">
        <v>83</v>
      </c>
      <c r="E705" t="str">
        <f>_xlfn.XLOOKUP(B705,Tableau13[ID_Antenne],Tableau13[Technologie],"Non répertoriées")</f>
        <v>Non répertoriées</v>
      </c>
      <c r="F705" t="str">
        <f>_xlfn.XLOOKUP(B705,Tableau13[ID_Antenne],Tableau13[Latitude],"Non répertoriées")</f>
        <v>Non répertoriées</v>
      </c>
      <c r="G705" t="str">
        <f>_xlfn.XLOOKUP(B705,Tableau13[ID_Antenne],Tableau13[Longitude],"Non répertoriées")</f>
        <v>Non répertoriées</v>
      </c>
      <c r="H705" t="s">
        <v>10</v>
      </c>
    </row>
    <row r="706" spans="1:8" x14ac:dyDescent="0.25">
      <c r="A706" s="1">
        <v>45223.611111111109</v>
      </c>
      <c r="B706" t="s">
        <v>455</v>
      </c>
      <c r="C706" s="29" t="str">
        <f>_xlfn.XLOOKUP(B706,Tableau13[ID_Antenne],Tableau13[Province_RDC],"Non répertoriées")</f>
        <v>Lualaba</v>
      </c>
      <c r="D706">
        <v>88</v>
      </c>
      <c r="E706" s="31" t="str">
        <f>_xlfn.XLOOKUP(B706,Tableau13[ID_Antenne],Tableau13[Technologie],"Non répertoriées")</f>
        <v>5G</v>
      </c>
      <c r="F706" s="3">
        <f>_xlfn.XLOOKUP(B706,Tableau13[ID_Antenne],Tableau13[Latitude],"Non répertoriées")</f>
        <v>-8.0301989999999996</v>
      </c>
      <c r="G706" s="32">
        <f>_xlfn.XLOOKUP(B706,Tableau13[ID_Antenne],Tableau13[Longitude],"Non répertoriées")</f>
        <v>24.122495000000001</v>
      </c>
      <c r="H706" t="s">
        <v>5</v>
      </c>
    </row>
    <row r="707" spans="1:8" x14ac:dyDescent="0.25">
      <c r="A707" s="1">
        <v>45221.931944444441</v>
      </c>
      <c r="B707" t="s">
        <v>503</v>
      </c>
      <c r="C707" t="str">
        <f>_xlfn.XLOOKUP(B707,Tableau13[ID_Antenne],Tableau13[Province_RDC],"Non répertoriées")</f>
        <v>Non répertoriées</v>
      </c>
      <c r="D707">
        <v>26</v>
      </c>
      <c r="E707" t="str">
        <f>_xlfn.XLOOKUP(B707,Tableau13[ID_Antenne],Tableau13[Technologie],"Non répertoriées")</f>
        <v>Non répertoriées</v>
      </c>
      <c r="F707" t="str">
        <f>_xlfn.XLOOKUP(B707,Tableau13[ID_Antenne],Tableau13[Latitude],"Non répertoriées")</f>
        <v>Non répertoriées</v>
      </c>
      <c r="G707" t="str">
        <f>_xlfn.XLOOKUP(B707,Tableau13[ID_Antenne],Tableau13[Longitude],"Non répertoriées")</f>
        <v>Non répertoriées</v>
      </c>
      <c r="H707" t="s">
        <v>5</v>
      </c>
    </row>
    <row r="708" spans="1:8" x14ac:dyDescent="0.25">
      <c r="A708" s="1">
        <v>45227.118055555547</v>
      </c>
      <c r="B708" t="s">
        <v>504</v>
      </c>
      <c r="C708" t="str">
        <f>_xlfn.XLOOKUP(B708,Tableau13[ID_Antenne],Tableau13[Province_RDC],"Non répertoriées")</f>
        <v>Non répertoriées</v>
      </c>
      <c r="D708">
        <v>61</v>
      </c>
      <c r="E708" t="str">
        <f>_xlfn.XLOOKUP(B708,Tableau13[ID_Antenne],Tableau13[Technologie],"Non répertoriées")</f>
        <v>Non répertoriées</v>
      </c>
      <c r="F708" t="str">
        <f>_xlfn.XLOOKUP(B708,Tableau13[ID_Antenne],Tableau13[Latitude],"Non répertoriées")</f>
        <v>Non répertoriées</v>
      </c>
      <c r="G708" t="str">
        <f>_xlfn.XLOOKUP(B708,Tableau13[ID_Antenne],Tableau13[Longitude],"Non répertoriées")</f>
        <v>Non répertoriées</v>
      </c>
      <c r="H708" t="s">
        <v>8</v>
      </c>
    </row>
    <row r="709" spans="1:8" x14ac:dyDescent="0.25">
      <c r="A709" s="1">
        <v>45217.509027777778</v>
      </c>
      <c r="B709" t="s">
        <v>11</v>
      </c>
      <c r="C709" t="str">
        <f>_xlfn.XLOOKUP(B709,Tableau13[ID_Antenne],Tableau13[Province_RDC],"Non répertoriées")</f>
        <v>Non répertoriées</v>
      </c>
      <c r="D709">
        <v>49</v>
      </c>
      <c r="E709" t="str">
        <f>_xlfn.XLOOKUP(B709,Tableau13[ID_Antenne],Tableau13[Technologie],"Non répertoriées")</f>
        <v>Non répertoriées</v>
      </c>
      <c r="F709" t="str">
        <f>_xlfn.XLOOKUP(B709,Tableau13[ID_Antenne],Tableau13[Latitude],"Non répertoriées")</f>
        <v>Non répertoriées</v>
      </c>
      <c r="G709" t="str">
        <f>_xlfn.XLOOKUP(B709,Tableau13[ID_Antenne],Tableau13[Longitude],"Non répertoriées")</f>
        <v>Non répertoriées</v>
      </c>
      <c r="H709" t="s">
        <v>5</v>
      </c>
    </row>
    <row r="710" spans="1:8" x14ac:dyDescent="0.25">
      <c r="A710" s="1">
        <v>45230.577777777777</v>
      </c>
      <c r="B710" t="s">
        <v>505</v>
      </c>
      <c r="C710" t="str">
        <f>_xlfn.XLOOKUP(B710,Tableau13[ID_Antenne],Tableau13[Province_RDC],"Non répertoriées")</f>
        <v>Non répertoriées</v>
      </c>
      <c r="D710">
        <v>97</v>
      </c>
      <c r="E710" t="str">
        <f>_xlfn.XLOOKUP(B710,Tableau13[ID_Antenne],Tableau13[Technologie],"Non répertoriées")</f>
        <v>Non répertoriées</v>
      </c>
      <c r="F710" t="str">
        <f>_xlfn.XLOOKUP(B710,Tableau13[ID_Antenne],Tableau13[Latitude],"Non répertoriées")</f>
        <v>Non répertoriées</v>
      </c>
      <c r="G710" t="str">
        <f>_xlfn.XLOOKUP(B710,Tableau13[ID_Antenne],Tableau13[Longitude],"Non répertoriées")</f>
        <v>Non répertoriées</v>
      </c>
      <c r="H710" t="s">
        <v>5</v>
      </c>
    </row>
    <row r="711" spans="1:8" x14ac:dyDescent="0.25">
      <c r="A711" s="1">
        <v>45206.636805555558</v>
      </c>
      <c r="B711" t="s">
        <v>506</v>
      </c>
      <c r="C711" s="29" t="str">
        <f>_xlfn.XLOOKUP(B711,Tableau13[ID_Antenne],Tableau13[Province_RDC],"Non répertoriées")</f>
        <v>Sud-Kivu</v>
      </c>
      <c r="D711">
        <v>32</v>
      </c>
      <c r="E711" s="31" t="str">
        <f>_xlfn.XLOOKUP(B711,Tableau13[ID_Antenne],Tableau13[Technologie],"Non répertoriées")</f>
        <v>3G</v>
      </c>
      <c r="F711" s="3">
        <f>_xlfn.XLOOKUP(B711,Tableau13[ID_Antenne],Tableau13[Latitude],"Non répertoriées")</f>
        <v>-11.514817000000001</v>
      </c>
      <c r="G711" s="32">
        <f>_xlfn.XLOOKUP(B711,Tableau13[ID_Antenne],Tableau13[Longitude],"Non répertoriées")</f>
        <v>24.891375</v>
      </c>
      <c r="H711" t="s">
        <v>10</v>
      </c>
    </row>
    <row r="712" spans="1:8" x14ac:dyDescent="0.25">
      <c r="A712" s="1">
        <v>45210.38958333333</v>
      </c>
      <c r="B712" t="s">
        <v>188</v>
      </c>
      <c r="C712" s="29" t="str">
        <f>_xlfn.XLOOKUP(B712,Tableau13[ID_Antenne],Tableau13[Province_RDC],"Non répertoriées")</f>
        <v>Maniema</v>
      </c>
      <c r="D712">
        <v>85</v>
      </c>
      <c r="E712" s="31" t="str">
        <f>_xlfn.XLOOKUP(B712,Tableau13[ID_Antenne],Tableau13[Technologie],"Non répertoriées")</f>
        <v>4G</v>
      </c>
      <c r="F712" s="3">
        <f>_xlfn.XLOOKUP(B712,Tableau13[ID_Antenne],Tableau13[Latitude],"Non répertoriées")</f>
        <v>-4.2645619999999997</v>
      </c>
      <c r="G712" s="32">
        <f>_xlfn.XLOOKUP(B712,Tableau13[ID_Antenne],Tableau13[Longitude],"Non répertoriées")</f>
        <v>18.960726000000001</v>
      </c>
      <c r="H712" t="s">
        <v>5</v>
      </c>
    </row>
    <row r="713" spans="1:8" x14ac:dyDescent="0.25">
      <c r="A713" s="1">
        <v>45217.755555555559</v>
      </c>
      <c r="B713" t="s">
        <v>507</v>
      </c>
      <c r="C713" s="29" t="str">
        <f>_xlfn.XLOOKUP(B713,Tableau13[ID_Antenne],Tableau13[Province_RDC],"Non répertoriées")</f>
        <v>Haut-Uele</v>
      </c>
      <c r="D713">
        <v>100</v>
      </c>
      <c r="E713" s="31" t="str">
        <f>_xlfn.XLOOKUP(B713,Tableau13[ID_Antenne],Tableau13[Technologie],"Non répertoriées")</f>
        <v>5G</v>
      </c>
      <c r="F713" s="3">
        <f>_xlfn.XLOOKUP(B713,Tableau13[ID_Antenne],Tableau13[Latitude],"Non répertoriées")</f>
        <v>-3.003879</v>
      </c>
      <c r="G713" s="32">
        <f>_xlfn.XLOOKUP(B713,Tableau13[ID_Antenne],Tableau13[Longitude],"Non répertoriées")</f>
        <v>23.633893</v>
      </c>
      <c r="H713" t="s">
        <v>5</v>
      </c>
    </row>
    <row r="714" spans="1:8" x14ac:dyDescent="0.25">
      <c r="A714" s="1">
        <v>45218.659722222219</v>
      </c>
      <c r="B714" t="s">
        <v>508</v>
      </c>
      <c r="C714" t="str">
        <f>_xlfn.XLOOKUP(B714,Tableau13[ID_Antenne],Tableau13[Province_RDC],"Non répertoriées")</f>
        <v>Non répertoriées</v>
      </c>
      <c r="D714">
        <v>24</v>
      </c>
      <c r="E714" t="str">
        <f>_xlfn.XLOOKUP(B714,Tableau13[ID_Antenne],Tableau13[Technologie],"Non répertoriées")</f>
        <v>Non répertoriées</v>
      </c>
      <c r="F714" t="str">
        <f>_xlfn.XLOOKUP(B714,Tableau13[ID_Antenne],Tableau13[Latitude],"Non répertoriées")</f>
        <v>Non répertoriées</v>
      </c>
      <c r="G714" t="str">
        <f>_xlfn.XLOOKUP(B714,Tableau13[ID_Antenne],Tableau13[Longitude],"Non répertoriées")</f>
        <v>Non répertoriées</v>
      </c>
      <c r="H714" t="s">
        <v>5</v>
      </c>
    </row>
    <row r="715" spans="1:8" x14ac:dyDescent="0.25">
      <c r="A715" s="1">
        <v>45210.908333333333</v>
      </c>
      <c r="B715" t="s">
        <v>421</v>
      </c>
      <c r="C715" s="29" t="str">
        <f>_xlfn.XLOOKUP(B715,Tableau13[ID_Antenne],Tableau13[Province_RDC],"Non répertoriées")</f>
        <v>Nord-Ubangi</v>
      </c>
      <c r="D715">
        <v>57</v>
      </c>
      <c r="E715" s="31" t="str">
        <f>_xlfn.XLOOKUP(B715,Tableau13[ID_Antenne],Tableau13[Technologie],"Non répertoriées")</f>
        <v>3G</v>
      </c>
      <c r="F715" s="3">
        <f>_xlfn.XLOOKUP(B715,Tableau13[ID_Antenne],Tableau13[Latitude],"Non répertoriées")</f>
        <v>8.5490999999999998E-2</v>
      </c>
      <c r="G715" s="32">
        <f>_xlfn.XLOOKUP(B715,Tableau13[ID_Antenne],Tableau13[Longitude],"Non répertoriées")</f>
        <v>26.296129000000001</v>
      </c>
      <c r="H715" t="s">
        <v>10</v>
      </c>
    </row>
    <row r="716" spans="1:8" x14ac:dyDescent="0.25">
      <c r="A716" s="1">
        <v>45201.04583333333</v>
      </c>
      <c r="B716" t="s">
        <v>228</v>
      </c>
      <c r="C716" t="str">
        <f>_xlfn.XLOOKUP(B716,Tableau13[ID_Antenne],Tableau13[Province_RDC],"Non répertoriées")</f>
        <v>Non répertoriées</v>
      </c>
      <c r="D716">
        <v>83</v>
      </c>
      <c r="E716" t="str">
        <f>_xlfn.XLOOKUP(B716,Tableau13[ID_Antenne],Tableau13[Technologie],"Non répertoriées")</f>
        <v>Non répertoriées</v>
      </c>
      <c r="F716" t="str">
        <f>_xlfn.XLOOKUP(B716,Tableau13[ID_Antenne],Tableau13[Latitude],"Non répertoriées")</f>
        <v>Non répertoriées</v>
      </c>
      <c r="G716" t="str">
        <f>_xlfn.XLOOKUP(B716,Tableau13[ID_Antenne],Tableau13[Longitude],"Non répertoriées")</f>
        <v>Non répertoriées</v>
      </c>
      <c r="H716" t="s">
        <v>8</v>
      </c>
    </row>
    <row r="717" spans="1:8" x14ac:dyDescent="0.25">
      <c r="A717" s="1">
        <v>45220.584027777782</v>
      </c>
      <c r="B717" t="s">
        <v>509</v>
      </c>
      <c r="C717" s="29" t="str">
        <f>_xlfn.XLOOKUP(B717,Tableau13[ID_Antenne],Tableau13[Province_RDC],"Non répertoriées")</f>
        <v>Nord-Ubangi</v>
      </c>
      <c r="D717">
        <v>92</v>
      </c>
      <c r="E717" s="31" t="str">
        <f>_xlfn.XLOOKUP(B717,Tableau13[ID_Antenne],Tableau13[Technologie],"Non répertoriées")</f>
        <v>4G</v>
      </c>
      <c r="F717" s="3">
        <f>_xlfn.XLOOKUP(B717,Tableau13[ID_Antenne],Tableau13[Latitude],"Non répertoriées")</f>
        <v>-11.588665000000001</v>
      </c>
      <c r="G717" s="32">
        <f>_xlfn.XLOOKUP(B717,Tableau13[ID_Antenne],Tableau13[Longitude],"Non répertoriées")</f>
        <v>15.241552</v>
      </c>
      <c r="H717" t="s">
        <v>10</v>
      </c>
    </row>
    <row r="718" spans="1:8" x14ac:dyDescent="0.25">
      <c r="A718" s="1">
        <v>45203.227777777778</v>
      </c>
      <c r="B718" t="s">
        <v>226</v>
      </c>
      <c r="C718" t="str">
        <f>_xlfn.XLOOKUP(B718,Tableau13[ID_Antenne],Tableau13[Province_RDC],"Non répertoriées")</f>
        <v>Non répertoriées</v>
      </c>
      <c r="D718">
        <v>61</v>
      </c>
      <c r="E718" t="str">
        <f>_xlfn.XLOOKUP(B718,Tableau13[ID_Antenne],Tableau13[Technologie],"Non répertoriées")</f>
        <v>Non répertoriées</v>
      </c>
      <c r="F718" t="str">
        <f>_xlfn.XLOOKUP(B718,Tableau13[ID_Antenne],Tableau13[Latitude],"Non répertoriées")</f>
        <v>Non répertoriées</v>
      </c>
      <c r="G718" t="str">
        <f>_xlfn.XLOOKUP(B718,Tableau13[ID_Antenne],Tableau13[Longitude],"Non répertoriées")</f>
        <v>Non répertoriées</v>
      </c>
      <c r="H718" t="s">
        <v>8</v>
      </c>
    </row>
    <row r="719" spans="1:8" x14ac:dyDescent="0.25">
      <c r="A719" s="1">
        <v>45214.018750000003</v>
      </c>
      <c r="B719" t="s">
        <v>149</v>
      </c>
      <c r="C719" s="29" t="str">
        <f>_xlfn.XLOOKUP(B719,Tableau13[ID_Antenne],Tableau13[Province_RDC],"Non répertoriées")</f>
        <v>Nord-Ubangi</v>
      </c>
      <c r="D719">
        <v>115</v>
      </c>
      <c r="E719" s="31" t="str">
        <f>_xlfn.XLOOKUP(B719,Tableau13[ID_Antenne],Tableau13[Technologie],"Non répertoriées")</f>
        <v>4G</v>
      </c>
      <c r="F719" s="3">
        <f>_xlfn.XLOOKUP(B719,Tableau13[ID_Antenne],Tableau13[Latitude],"Non répertoriées")</f>
        <v>-1.342476</v>
      </c>
      <c r="G719" s="32">
        <f>_xlfn.XLOOKUP(B719,Tableau13[ID_Antenne],Tableau13[Longitude],"Non répertoriées")</f>
        <v>15.986086</v>
      </c>
      <c r="H719" t="s">
        <v>8</v>
      </c>
    </row>
    <row r="720" spans="1:8" x14ac:dyDescent="0.25">
      <c r="A720" s="1">
        <v>45206.956944444442</v>
      </c>
      <c r="B720" t="s">
        <v>186</v>
      </c>
      <c r="C720" s="29" t="str">
        <f>_xlfn.XLOOKUP(B720,Tableau13[ID_Antenne],Tableau13[Province_RDC],"Non répertoriées")</f>
        <v>Mai-Ndombe</v>
      </c>
      <c r="D720">
        <v>32</v>
      </c>
      <c r="E720" s="31" t="str">
        <f>_xlfn.XLOOKUP(B720,Tableau13[ID_Antenne],Tableau13[Technologie],"Non répertoriées")</f>
        <v>4G</v>
      </c>
      <c r="F720" s="3">
        <f>_xlfn.XLOOKUP(B720,Tableau13[ID_Antenne],Tableau13[Latitude],"Non répertoriées")</f>
        <v>-9.3652280000000001</v>
      </c>
      <c r="G720" s="32">
        <f>_xlfn.XLOOKUP(B720,Tableau13[ID_Antenne],Tableau13[Longitude],"Non répertoriées")</f>
        <v>18.674116000000001</v>
      </c>
      <c r="H720" t="s">
        <v>8</v>
      </c>
    </row>
    <row r="721" spans="1:8" x14ac:dyDescent="0.25">
      <c r="A721" s="1">
        <v>45204.84652777778</v>
      </c>
      <c r="B721" t="s">
        <v>510</v>
      </c>
      <c r="C721" t="str">
        <f>_xlfn.XLOOKUP(B721,Tableau13[ID_Antenne],Tableau13[Province_RDC],"Non répertoriées")</f>
        <v>Non répertoriées</v>
      </c>
      <c r="D721">
        <v>16</v>
      </c>
      <c r="E721" t="str">
        <f>_xlfn.XLOOKUP(B721,Tableau13[ID_Antenne],Tableau13[Technologie],"Non répertoriées")</f>
        <v>Non répertoriées</v>
      </c>
      <c r="F721" t="str">
        <f>_xlfn.XLOOKUP(B721,Tableau13[ID_Antenne],Tableau13[Latitude],"Non répertoriées")</f>
        <v>Non répertoriées</v>
      </c>
      <c r="G721" t="str">
        <f>_xlfn.XLOOKUP(B721,Tableau13[ID_Antenne],Tableau13[Longitude],"Non répertoriées")</f>
        <v>Non répertoriées</v>
      </c>
      <c r="H721" t="s">
        <v>10</v>
      </c>
    </row>
    <row r="722" spans="1:8" x14ac:dyDescent="0.25">
      <c r="A722" s="1">
        <v>45205.336805555547</v>
      </c>
      <c r="B722" t="s">
        <v>511</v>
      </c>
      <c r="C722" t="str">
        <f>_xlfn.XLOOKUP(B722,Tableau13[ID_Antenne],Tableau13[Province_RDC],"Non répertoriées")</f>
        <v>Non répertoriées</v>
      </c>
      <c r="D722">
        <v>119</v>
      </c>
      <c r="E722" t="str">
        <f>_xlfn.XLOOKUP(B722,Tableau13[ID_Antenne],Tableau13[Technologie],"Non répertoriées")</f>
        <v>Non répertoriées</v>
      </c>
      <c r="F722" t="str">
        <f>_xlfn.XLOOKUP(B722,Tableau13[ID_Antenne],Tableau13[Latitude],"Non répertoriées")</f>
        <v>Non répertoriées</v>
      </c>
      <c r="G722" t="str">
        <f>_xlfn.XLOOKUP(B722,Tableau13[ID_Antenne],Tableau13[Longitude],"Non répertoriées")</f>
        <v>Non répertoriées</v>
      </c>
      <c r="H722" t="s">
        <v>10</v>
      </c>
    </row>
    <row r="723" spans="1:8" x14ac:dyDescent="0.25">
      <c r="A723" s="1">
        <v>45220.469444444447</v>
      </c>
      <c r="B723" t="s">
        <v>264</v>
      </c>
      <c r="C723" s="29" t="str">
        <f>_xlfn.XLOOKUP(B723,Tableau13[ID_Antenne],Tableau13[Province_RDC],"Non répertoriées")</f>
        <v>Sud-Kivu</v>
      </c>
      <c r="D723">
        <v>17</v>
      </c>
      <c r="E723" s="31" t="str">
        <f>_xlfn.XLOOKUP(B723,Tableau13[ID_Antenne],Tableau13[Technologie],"Non répertoriées")</f>
        <v>3G</v>
      </c>
      <c r="F723" s="3">
        <f>_xlfn.XLOOKUP(B723,Tableau13[ID_Antenne],Tableau13[Latitude],"Non répertoriées")</f>
        <v>-1.5419050000000001</v>
      </c>
      <c r="G723" s="32">
        <f>_xlfn.XLOOKUP(B723,Tableau13[ID_Antenne],Tableau13[Longitude],"Non répertoriées")</f>
        <v>14.730632999999999</v>
      </c>
      <c r="H723" t="s">
        <v>8</v>
      </c>
    </row>
    <row r="724" spans="1:8" x14ac:dyDescent="0.25">
      <c r="A724" s="1">
        <v>45202.487500000003</v>
      </c>
      <c r="B724" t="s">
        <v>512</v>
      </c>
      <c r="C724" t="str">
        <f>_xlfn.XLOOKUP(B724,Tableau13[ID_Antenne],Tableau13[Province_RDC],"Non répertoriées")</f>
        <v>Non répertoriées</v>
      </c>
      <c r="D724">
        <v>22</v>
      </c>
      <c r="E724" t="str">
        <f>_xlfn.XLOOKUP(B724,Tableau13[ID_Antenne],Tableau13[Technologie],"Non répertoriées")</f>
        <v>Non répertoriées</v>
      </c>
      <c r="F724" t="str">
        <f>_xlfn.XLOOKUP(B724,Tableau13[ID_Antenne],Tableau13[Latitude],"Non répertoriées")</f>
        <v>Non répertoriées</v>
      </c>
      <c r="G724" t="str">
        <f>_xlfn.XLOOKUP(B724,Tableau13[ID_Antenne],Tableau13[Longitude],"Non répertoriées")</f>
        <v>Non répertoriées</v>
      </c>
      <c r="H724" t="s">
        <v>10</v>
      </c>
    </row>
    <row r="725" spans="1:8" x14ac:dyDescent="0.25">
      <c r="A725" s="1">
        <v>45228.840277777781</v>
      </c>
      <c r="B725" t="s">
        <v>47</v>
      </c>
      <c r="C725" t="str">
        <f>_xlfn.XLOOKUP(B725,Tableau13[ID_Antenne],Tableau13[Province_RDC],"Non répertoriées")</f>
        <v>Non répertoriées</v>
      </c>
      <c r="D725">
        <v>101</v>
      </c>
      <c r="E725" t="str">
        <f>_xlfn.XLOOKUP(B725,Tableau13[ID_Antenne],Tableau13[Technologie],"Non répertoriées")</f>
        <v>Non répertoriées</v>
      </c>
      <c r="F725" t="str">
        <f>_xlfn.XLOOKUP(B725,Tableau13[ID_Antenne],Tableau13[Latitude],"Non répertoriées")</f>
        <v>Non répertoriées</v>
      </c>
      <c r="G725" t="str">
        <f>_xlfn.XLOOKUP(B725,Tableau13[ID_Antenne],Tableau13[Longitude],"Non répertoriées")</f>
        <v>Non répertoriées</v>
      </c>
      <c r="H725" t="s">
        <v>5</v>
      </c>
    </row>
    <row r="726" spans="1:8" x14ac:dyDescent="0.25">
      <c r="A726" s="1">
        <v>45201.527777777781</v>
      </c>
      <c r="B726" t="s">
        <v>513</v>
      </c>
      <c r="C726" s="29" t="str">
        <f>_xlfn.XLOOKUP(B726,Tableau13[ID_Antenne],Tableau13[Province_RDC],"Non répertoriées")</f>
        <v>Bas-Uele</v>
      </c>
      <c r="D726">
        <v>20</v>
      </c>
      <c r="E726" s="31" t="str">
        <f>_xlfn.XLOOKUP(B726,Tableau13[ID_Antenne],Tableau13[Technologie],"Non répertoriées")</f>
        <v>4G</v>
      </c>
      <c r="F726" s="3">
        <f>_xlfn.XLOOKUP(B726,Tableau13[ID_Antenne],Tableau13[Latitude],"Non répertoriées")</f>
        <v>0.45116099999999998</v>
      </c>
      <c r="G726" s="32">
        <f>_xlfn.XLOOKUP(B726,Tableau13[ID_Antenne],Tableau13[Longitude],"Non répertoriées")</f>
        <v>17.265761000000001</v>
      </c>
      <c r="H726" t="s">
        <v>8</v>
      </c>
    </row>
    <row r="727" spans="1:8" x14ac:dyDescent="0.25">
      <c r="A727" s="1">
        <v>45209.988888888889</v>
      </c>
      <c r="B727" t="s">
        <v>514</v>
      </c>
      <c r="C727" t="str">
        <f>_xlfn.XLOOKUP(B727,Tableau13[ID_Antenne],Tableau13[Province_RDC],"Non répertoriées")</f>
        <v>Non répertoriées</v>
      </c>
      <c r="D727">
        <v>80</v>
      </c>
      <c r="E727" t="str">
        <f>_xlfn.XLOOKUP(B727,Tableau13[ID_Antenne],Tableau13[Technologie],"Non répertoriées")</f>
        <v>Non répertoriées</v>
      </c>
      <c r="F727" t="str">
        <f>_xlfn.XLOOKUP(B727,Tableau13[ID_Antenne],Tableau13[Latitude],"Non répertoriées")</f>
        <v>Non répertoriées</v>
      </c>
      <c r="G727" t="str">
        <f>_xlfn.XLOOKUP(B727,Tableau13[ID_Antenne],Tableau13[Longitude],"Non répertoriées")</f>
        <v>Non répertoriées</v>
      </c>
      <c r="H727" t="s">
        <v>8</v>
      </c>
    </row>
    <row r="728" spans="1:8" x14ac:dyDescent="0.25">
      <c r="A728" s="1">
        <v>45224.310416666667</v>
      </c>
      <c r="B728" t="s">
        <v>425</v>
      </c>
      <c r="C728" t="str">
        <f>_xlfn.XLOOKUP(B728,Tableau13[ID_Antenne],Tableau13[Province_RDC],"Non répertoriées")</f>
        <v>Non répertoriées</v>
      </c>
      <c r="D728">
        <v>98</v>
      </c>
      <c r="E728" t="str">
        <f>_xlfn.XLOOKUP(B728,Tableau13[ID_Antenne],Tableau13[Technologie],"Non répertoriées")</f>
        <v>Non répertoriées</v>
      </c>
      <c r="F728" t="str">
        <f>_xlfn.XLOOKUP(B728,Tableau13[ID_Antenne],Tableau13[Latitude],"Non répertoriées")</f>
        <v>Non répertoriées</v>
      </c>
      <c r="G728" t="str">
        <f>_xlfn.XLOOKUP(B728,Tableau13[ID_Antenne],Tableau13[Longitude],"Non répertoriées")</f>
        <v>Non répertoriées</v>
      </c>
      <c r="H728" t="s">
        <v>8</v>
      </c>
    </row>
    <row r="729" spans="1:8" x14ac:dyDescent="0.25">
      <c r="A729" s="1">
        <v>45220.114583333343</v>
      </c>
      <c r="B729" t="s">
        <v>49</v>
      </c>
      <c r="C729" t="str">
        <f>_xlfn.XLOOKUP(B729,Tableau13[ID_Antenne],Tableau13[Province_RDC],"Non répertoriées")</f>
        <v>Non répertoriées</v>
      </c>
      <c r="D729">
        <v>54</v>
      </c>
      <c r="E729" t="str">
        <f>_xlfn.XLOOKUP(B729,Tableau13[ID_Antenne],Tableau13[Technologie],"Non répertoriées")</f>
        <v>Non répertoriées</v>
      </c>
      <c r="F729" t="str">
        <f>_xlfn.XLOOKUP(B729,Tableau13[ID_Antenne],Tableau13[Latitude],"Non répertoriées")</f>
        <v>Non répertoriées</v>
      </c>
      <c r="G729" t="str">
        <f>_xlfn.XLOOKUP(B729,Tableau13[ID_Antenne],Tableau13[Longitude],"Non répertoriées")</f>
        <v>Non répertoriées</v>
      </c>
      <c r="H729" t="s">
        <v>8</v>
      </c>
    </row>
    <row r="730" spans="1:8" x14ac:dyDescent="0.25">
      <c r="A730" s="1">
        <v>45203.009027777778</v>
      </c>
      <c r="B730" t="s">
        <v>478</v>
      </c>
      <c r="C730" t="str">
        <f>_xlfn.XLOOKUP(B730,Tableau13[ID_Antenne],Tableau13[Province_RDC],"Non répertoriées")</f>
        <v>Non répertoriées</v>
      </c>
      <c r="D730">
        <v>49</v>
      </c>
      <c r="E730" t="str">
        <f>_xlfn.XLOOKUP(B730,Tableau13[ID_Antenne],Tableau13[Technologie],"Non répertoriées")</f>
        <v>Non répertoriées</v>
      </c>
      <c r="F730" t="str">
        <f>_xlfn.XLOOKUP(B730,Tableau13[ID_Antenne],Tableau13[Latitude],"Non répertoriées")</f>
        <v>Non répertoriées</v>
      </c>
      <c r="G730" t="str">
        <f>_xlfn.XLOOKUP(B730,Tableau13[ID_Antenne],Tableau13[Longitude],"Non répertoriées")</f>
        <v>Non répertoriées</v>
      </c>
      <c r="H730" t="s">
        <v>5</v>
      </c>
    </row>
    <row r="731" spans="1:8" x14ac:dyDescent="0.25">
      <c r="A731" s="1">
        <v>45215.088888888888</v>
      </c>
      <c r="B731" t="s">
        <v>383</v>
      </c>
      <c r="C731" t="str">
        <f>_xlfn.XLOOKUP(B731,Tableau13[ID_Antenne],Tableau13[Province_RDC],"Non répertoriées")</f>
        <v>Non répertoriées</v>
      </c>
      <c r="D731">
        <v>59</v>
      </c>
      <c r="E731" t="str">
        <f>_xlfn.XLOOKUP(B731,Tableau13[ID_Antenne],Tableau13[Technologie],"Non répertoriées")</f>
        <v>Non répertoriées</v>
      </c>
      <c r="F731" t="str">
        <f>_xlfn.XLOOKUP(B731,Tableau13[ID_Antenne],Tableau13[Latitude],"Non répertoriées")</f>
        <v>Non répertoriées</v>
      </c>
      <c r="G731" t="str">
        <f>_xlfn.XLOOKUP(B731,Tableau13[ID_Antenne],Tableau13[Longitude],"Non répertoriées")</f>
        <v>Non répertoriées</v>
      </c>
      <c r="H731" t="s">
        <v>10</v>
      </c>
    </row>
    <row r="732" spans="1:8" x14ac:dyDescent="0.25">
      <c r="A732" s="1">
        <v>45218.314583333333</v>
      </c>
      <c r="B732" t="s">
        <v>515</v>
      </c>
      <c r="C732" t="str">
        <f>_xlfn.XLOOKUP(B732,Tableau13[ID_Antenne],Tableau13[Province_RDC],"Non répertoriées")</f>
        <v>Non répertoriées</v>
      </c>
      <c r="D732">
        <v>45</v>
      </c>
      <c r="E732" t="str">
        <f>_xlfn.XLOOKUP(B732,Tableau13[ID_Antenne],Tableau13[Technologie],"Non répertoriées")</f>
        <v>Non répertoriées</v>
      </c>
      <c r="F732" t="str">
        <f>_xlfn.XLOOKUP(B732,Tableau13[ID_Antenne],Tableau13[Latitude],"Non répertoriées")</f>
        <v>Non répertoriées</v>
      </c>
      <c r="G732" t="str">
        <f>_xlfn.XLOOKUP(B732,Tableau13[ID_Antenne],Tableau13[Longitude],"Non répertoriées")</f>
        <v>Non répertoriées</v>
      </c>
      <c r="H732" t="s">
        <v>5</v>
      </c>
    </row>
    <row r="733" spans="1:8" x14ac:dyDescent="0.25">
      <c r="A733" s="1">
        <v>45221.583333333343</v>
      </c>
      <c r="B733" t="s">
        <v>516</v>
      </c>
      <c r="C733" t="str">
        <f>_xlfn.XLOOKUP(B733,Tableau13[ID_Antenne],Tableau13[Province_RDC],"Non répertoriées")</f>
        <v>Non répertoriées</v>
      </c>
      <c r="D733">
        <v>106</v>
      </c>
      <c r="E733" t="str">
        <f>_xlfn.XLOOKUP(B733,Tableau13[ID_Antenne],Tableau13[Technologie],"Non répertoriées")</f>
        <v>Non répertoriées</v>
      </c>
      <c r="F733" t="str">
        <f>_xlfn.XLOOKUP(B733,Tableau13[ID_Antenne],Tableau13[Latitude],"Non répertoriées")</f>
        <v>Non répertoriées</v>
      </c>
      <c r="G733" t="str">
        <f>_xlfn.XLOOKUP(B733,Tableau13[ID_Antenne],Tableau13[Longitude],"Non répertoriées")</f>
        <v>Non répertoriées</v>
      </c>
      <c r="H733" t="s">
        <v>10</v>
      </c>
    </row>
    <row r="734" spans="1:8" x14ac:dyDescent="0.25">
      <c r="A734" s="1">
        <v>45200.931250000001</v>
      </c>
      <c r="B734" t="s">
        <v>305</v>
      </c>
      <c r="C734" t="str">
        <f>_xlfn.XLOOKUP(B734,Tableau13[ID_Antenne],Tableau13[Province_RDC],"Non répertoriées")</f>
        <v>Non répertoriées</v>
      </c>
      <c r="D734">
        <v>22</v>
      </c>
      <c r="E734" t="str">
        <f>_xlfn.XLOOKUP(B734,Tableau13[ID_Antenne],Tableau13[Technologie],"Non répertoriées")</f>
        <v>Non répertoriées</v>
      </c>
      <c r="F734" t="str">
        <f>_xlfn.XLOOKUP(B734,Tableau13[ID_Antenne],Tableau13[Latitude],"Non répertoriées")</f>
        <v>Non répertoriées</v>
      </c>
      <c r="G734" t="str">
        <f>_xlfn.XLOOKUP(B734,Tableau13[ID_Antenne],Tableau13[Longitude],"Non répertoriées")</f>
        <v>Non répertoriées</v>
      </c>
      <c r="H734" t="s">
        <v>5</v>
      </c>
    </row>
    <row r="735" spans="1:8" x14ac:dyDescent="0.25">
      <c r="A735" s="1">
        <v>45226.163194444453</v>
      </c>
      <c r="B735" t="s">
        <v>517</v>
      </c>
      <c r="C735" t="str">
        <f>_xlfn.XLOOKUP(B735,Tableau13[ID_Antenne],Tableau13[Province_RDC],"Non répertoriées")</f>
        <v>Non répertoriées</v>
      </c>
      <c r="D735">
        <v>36</v>
      </c>
      <c r="E735" t="str">
        <f>_xlfn.XLOOKUP(B735,Tableau13[ID_Antenne],Tableau13[Technologie],"Non répertoriées")</f>
        <v>Non répertoriées</v>
      </c>
      <c r="F735" t="str">
        <f>_xlfn.XLOOKUP(B735,Tableau13[ID_Antenne],Tableau13[Latitude],"Non répertoriées")</f>
        <v>Non répertoriées</v>
      </c>
      <c r="G735" t="str">
        <f>_xlfn.XLOOKUP(B735,Tableau13[ID_Antenne],Tableau13[Longitude],"Non répertoriées")</f>
        <v>Non répertoriées</v>
      </c>
      <c r="H735" t="s">
        <v>8</v>
      </c>
    </row>
    <row r="736" spans="1:8" x14ac:dyDescent="0.25">
      <c r="A736" s="1">
        <v>45213.922222222223</v>
      </c>
      <c r="B736" t="s">
        <v>431</v>
      </c>
      <c r="C736" t="str">
        <f>_xlfn.XLOOKUP(B736,Tableau13[ID_Antenne],Tableau13[Province_RDC],"Non répertoriées")</f>
        <v>Non répertoriées</v>
      </c>
      <c r="D736">
        <v>40</v>
      </c>
      <c r="E736" t="str">
        <f>_xlfn.XLOOKUP(B736,Tableau13[ID_Antenne],Tableau13[Technologie],"Non répertoriées")</f>
        <v>Non répertoriées</v>
      </c>
      <c r="F736" t="str">
        <f>_xlfn.XLOOKUP(B736,Tableau13[ID_Antenne],Tableau13[Latitude],"Non répertoriées")</f>
        <v>Non répertoriées</v>
      </c>
      <c r="G736" t="str">
        <f>_xlfn.XLOOKUP(B736,Tableau13[ID_Antenne],Tableau13[Longitude],"Non répertoriées")</f>
        <v>Non répertoriées</v>
      </c>
      <c r="H736" t="s">
        <v>5</v>
      </c>
    </row>
    <row r="737" spans="1:8" x14ac:dyDescent="0.25">
      <c r="A737" s="1">
        <v>45215.093055555553</v>
      </c>
      <c r="B737" t="s">
        <v>518</v>
      </c>
      <c r="C737" s="29" t="str">
        <f>_xlfn.XLOOKUP(B737,Tableau13[ID_Antenne],Tableau13[Province_RDC],"Non répertoriées")</f>
        <v>Mongala</v>
      </c>
      <c r="D737">
        <v>87</v>
      </c>
      <c r="E737" s="31" t="str">
        <f>_xlfn.XLOOKUP(B737,Tableau13[ID_Antenne],Tableau13[Technologie],"Non répertoriées")</f>
        <v>4G</v>
      </c>
      <c r="F737" s="3">
        <f>_xlfn.XLOOKUP(B737,Tableau13[ID_Antenne],Tableau13[Latitude],"Non répertoriées")</f>
        <v>-7.6951369999999999</v>
      </c>
      <c r="G737" s="32">
        <f>_xlfn.XLOOKUP(B737,Tableau13[ID_Antenne],Tableau13[Longitude],"Non répertoriées")</f>
        <v>13.346605</v>
      </c>
      <c r="H737" t="s">
        <v>5</v>
      </c>
    </row>
    <row r="738" spans="1:8" x14ac:dyDescent="0.25">
      <c r="A738" s="1">
        <v>45212.115277777782</v>
      </c>
      <c r="B738" t="s">
        <v>318</v>
      </c>
      <c r="C738" s="29" t="str">
        <f>_xlfn.XLOOKUP(B738,Tableau13[ID_Antenne],Tableau13[Province_RDC],"Non répertoriées")</f>
        <v>Haut-Lomami</v>
      </c>
      <c r="D738">
        <v>15</v>
      </c>
      <c r="E738" s="31" t="str">
        <f>_xlfn.XLOOKUP(B738,Tableau13[ID_Antenne],Tableau13[Technologie],"Non répertoriées")</f>
        <v>4G</v>
      </c>
      <c r="F738" s="3">
        <f>_xlfn.XLOOKUP(B738,Tableau13[ID_Antenne],Tableau13[Latitude],"Non répertoriées")</f>
        <v>-7.1785899999999998</v>
      </c>
      <c r="G738" s="32">
        <f>_xlfn.XLOOKUP(B738,Tableau13[ID_Antenne],Tableau13[Longitude],"Non répertoriées")</f>
        <v>24.4404</v>
      </c>
      <c r="H738" t="s">
        <v>8</v>
      </c>
    </row>
    <row r="739" spans="1:8" x14ac:dyDescent="0.25">
      <c r="A739" s="1">
        <v>45225.129166666673</v>
      </c>
      <c r="B739" t="s">
        <v>97</v>
      </c>
      <c r="C739" t="str">
        <f>_xlfn.XLOOKUP(B739,Tableau13[ID_Antenne],Tableau13[Province_RDC],"Non répertoriées")</f>
        <v>Non répertoriées</v>
      </c>
      <c r="D739">
        <v>36</v>
      </c>
      <c r="E739" t="str">
        <f>_xlfn.XLOOKUP(B739,Tableau13[ID_Antenne],Tableau13[Technologie],"Non répertoriées")</f>
        <v>Non répertoriées</v>
      </c>
      <c r="F739" t="str">
        <f>_xlfn.XLOOKUP(B739,Tableau13[ID_Antenne],Tableau13[Latitude],"Non répertoriées")</f>
        <v>Non répertoriées</v>
      </c>
      <c r="G739" t="str">
        <f>_xlfn.XLOOKUP(B739,Tableau13[ID_Antenne],Tableau13[Longitude],"Non répertoriées")</f>
        <v>Non répertoriées</v>
      </c>
      <c r="H739" t="s">
        <v>10</v>
      </c>
    </row>
    <row r="740" spans="1:8" x14ac:dyDescent="0.25">
      <c r="A740" s="1">
        <v>45210.49722222222</v>
      </c>
      <c r="B740" t="s">
        <v>232</v>
      </c>
      <c r="C740" s="29" t="str">
        <f>_xlfn.XLOOKUP(B740,Tableau13[ID_Antenne],Tableau13[Province_RDC],"Non répertoriées")</f>
        <v>Sud-Kivu</v>
      </c>
      <c r="D740">
        <v>75</v>
      </c>
      <c r="E740" s="31" t="str">
        <f>_xlfn.XLOOKUP(B740,Tableau13[ID_Antenne],Tableau13[Technologie],"Non répertoriées")</f>
        <v>3G</v>
      </c>
      <c r="F740" s="3">
        <f>_xlfn.XLOOKUP(B740,Tableau13[ID_Antenne],Tableau13[Latitude],"Non répertoriées")</f>
        <v>-9.3900009999999998</v>
      </c>
      <c r="G740" s="32">
        <f>_xlfn.XLOOKUP(B740,Tableau13[ID_Antenne],Tableau13[Longitude],"Non répertoriées")</f>
        <v>30.001517</v>
      </c>
      <c r="H740" t="s">
        <v>10</v>
      </c>
    </row>
    <row r="741" spans="1:8" x14ac:dyDescent="0.25">
      <c r="A741" s="1">
        <v>45209.183333333327</v>
      </c>
      <c r="B741" t="s">
        <v>519</v>
      </c>
      <c r="C741" t="str">
        <f>_xlfn.XLOOKUP(B741,Tableau13[ID_Antenne],Tableau13[Province_RDC],"Non répertoriées")</f>
        <v>Non répertoriées</v>
      </c>
      <c r="D741">
        <v>81</v>
      </c>
      <c r="E741" t="str">
        <f>_xlfn.XLOOKUP(B741,Tableau13[ID_Antenne],Tableau13[Technologie],"Non répertoriées")</f>
        <v>Non répertoriées</v>
      </c>
      <c r="F741" t="str">
        <f>_xlfn.XLOOKUP(B741,Tableau13[ID_Antenne],Tableau13[Latitude],"Non répertoriées")</f>
        <v>Non répertoriées</v>
      </c>
      <c r="G741" t="str">
        <f>_xlfn.XLOOKUP(B741,Tableau13[ID_Antenne],Tableau13[Longitude],"Non répertoriées")</f>
        <v>Non répertoriées</v>
      </c>
      <c r="H741" t="s">
        <v>8</v>
      </c>
    </row>
    <row r="742" spans="1:8" x14ac:dyDescent="0.25">
      <c r="A742" s="1">
        <v>45224.195138888892</v>
      </c>
      <c r="B742" t="s">
        <v>520</v>
      </c>
      <c r="C742" s="29" t="str">
        <f>_xlfn.XLOOKUP(B742,Tableau13[ID_Antenne],Tableau13[Province_RDC],"Non répertoriées")</f>
        <v>Bas-Uele</v>
      </c>
      <c r="D742">
        <v>81</v>
      </c>
      <c r="E742" s="31" t="str">
        <f>_xlfn.XLOOKUP(B742,Tableau13[ID_Antenne],Tableau13[Technologie],"Non répertoriées")</f>
        <v>5G</v>
      </c>
      <c r="F742" s="3">
        <f>_xlfn.XLOOKUP(B742,Tableau13[ID_Antenne],Tableau13[Latitude],"Non répertoriées")</f>
        <v>-1.500685</v>
      </c>
      <c r="G742" s="32">
        <f>_xlfn.XLOOKUP(B742,Tableau13[ID_Antenne],Tableau13[Longitude],"Non répertoriées")</f>
        <v>26.563376000000002</v>
      </c>
      <c r="H742" t="s">
        <v>8</v>
      </c>
    </row>
    <row r="743" spans="1:8" x14ac:dyDescent="0.25">
      <c r="A743" s="1">
        <v>45223.293749999997</v>
      </c>
      <c r="B743" t="s">
        <v>432</v>
      </c>
      <c r="C743" s="29" t="str">
        <f>_xlfn.XLOOKUP(B743,Tableau13[ID_Antenne],Tableau13[Province_RDC],"Non répertoriées")</f>
        <v>Haut-Katanga</v>
      </c>
      <c r="D743">
        <v>42</v>
      </c>
      <c r="E743" s="31" t="str">
        <f>_xlfn.XLOOKUP(B743,Tableau13[ID_Antenne],Tableau13[Technologie],"Non répertoriées")</f>
        <v>4G</v>
      </c>
      <c r="F743" s="3">
        <f>_xlfn.XLOOKUP(B743,Tableau13[ID_Antenne],Tableau13[Latitude],"Non répertoriées")</f>
        <v>-4.4958720000000003</v>
      </c>
      <c r="G743" s="32">
        <f>_xlfn.XLOOKUP(B743,Tableau13[ID_Antenne],Tableau13[Longitude],"Non répertoriées")</f>
        <v>18.514112000000001</v>
      </c>
      <c r="H743" t="s">
        <v>10</v>
      </c>
    </row>
    <row r="744" spans="1:8" x14ac:dyDescent="0.25">
      <c r="A744" s="1">
        <v>45207.124305555553</v>
      </c>
      <c r="B744" t="s">
        <v>521</v>
      </c>
      <c r="C744" t="str">
        <f>_xlfn.XLOOKUP(B744,Tableau13[ID_Antenne],Tableau13[Province_RDC],"Non répertoriées")</f>
        <v>Non répertoriées</v>
      </c>
      <c r="D744">
        <v>77</v>
      </c>
      <c r="E744" t="str">
        <f>_xlfn.XLOOKUP(B744,Tableau13[ID_Antenne],Tableau13[Technologie],"Non répertoriées")</f>
        <v>Non répertoriées</v>
      </c>
      <c r="F744" t="str">
        <f>_xlfn.XLOOKUP(B744,Tableau13[ID_Antenne],Tableau13[Latitude],"Non répertoriées")</f>
        <v>Non répertoriées</v>
      </c>
      <c r="G744" t="str">
        <f>_xlfn.XLOOKUP(B744,Tableau13[ID_Antenne],Tableau13[Longitude],"Non répertoriées")</f>
        <v>Non répertoriées</v>
      </c>
      <c r="H744" t="s">
        <v>10</v>
      </c>
    </row>
    <row r="745" spans="1:8" x14ac:dyDescent="0.25">
      <c r="A745" s="1">
        <v>45213.145138888889</v>
      </c>
      <c r="B745" t="s">
        <v>428</v>
      </c>
      <c r="C745" s="29" t="str">
        <f>_xlfn.XLOOKUP(B745,Tableau13[ID_Antenne],Tableau13[Province_RDC],"Non répertoriées")</f>
        <v>Kwilu</v>
      </c>
      <c r="D745">
        <v>105</v>
      </c>
      <c r="E745" s="31" t="str">
        <f>_xlfn.XLOOKUP(B745,Tableau13[ID_Antenne],Tableau13[Technologie],"Non répertoriées")</f>
        <v>4G</v>
      </c>
      <c r="F745" s="3">
        <f>_xlfn.XLOOKUP(B745,Tableau13[ID_Antenne],Tableau13[Latitude],"Non répertoriées")</f>
        <v>-10.939712999999999</v>
      </c>
      <c r="G745" s="32">
        <f>_xlfn.XLOOKUP(B745,Tableau13[ID_Antenne],Tableau13[Longitude],"Non répertoriées")</f>
        <v>18.276230999999999</v>
      </c>
      <c r="H745" t="s">
        <v>8</v>
      </c>
    </row>
    <row r="746" spans="1:8" x14ac:dyDescent="0.25">
      <c r="A746" s="1">
        <v>45219.793749999997</v>
      </c>
      <c r="B746" t="s">
        <v>522</v>
      </c>
      <c r="C746" t="str">
        <f>_xlfn.XLOOKUP(B746,Tableau13[ID_Antenne],Tableau13[Province_RDC],"Non répertoriées")</f>
        <v>Non répertoriées</v>
      </c>
      <c r="D746">
        <v>43</v>
      </c>
      <c r="E746" t="str">
        <f>_xlfn.XLOOKUP(B746,Tableau13[ID_Antenne],Tableau13[Technologie],"Non répertoriées")</f>
        <v>Non répertoriées</v>
      </c>
      <c r="F746" t="str">
        <f>_xlfn.XLOOKUP(B746,Tableau13[ID_Antenne],Tableau13[Latitude],"Non répertoriées")</f>
        <v>Non répertoriées</v>
      </c>
      <c r="G746" t="str">
        <f>_xlfn.XLOOKUP(B746,Tableau13[ID_Antenne],Tableau13[Longitude],"Non répertoriées")</f>
        <v>Non répertoriées</v>
      </c>
      <c r="H746" t="s">
        <v>8</v>
      </c>
    </row>
    <row r="747" spans="1:8" x14ac:dyDescent="0.25">
      <c r="A747" s="1">
        <v>45209.907638888893</v>
      </c>
      <c r="B747" t="s">
        <v>523</v>
      </c>
      <c r="C747" s="29" t="str">
        <f>_xlfn.XLOOKUP(B747,Tableau13[ID_Antenne],Tableau13[Province_RDC],"Non répertoriées")</f>
        <v>Kasai</v>
      </c>
      <c r="D747">
        <v>99</v>
      </c>
      <c r="E747" s="31" t="str">
        <f>_xlfn.XLOOKUP(B747,Tableau13[ID_Antenne],Tableau13[Technologie],"Non répertoriées")</f>
        <v>5G</v>
      </c>
      <c r="F747" s="3">
        <f>_xlfn.XLOOKUP(B747,Tableau13[ID_Antenne],Tableau13[Latitude],"Non répertoriées")</f>
        <v>-7.6757720000000003</v>
      </c>
      <c r="G747" s="32">
        <f>_xlfn.XLOOKUP(B747,Tableau13[ID_Antenne],Tableau13[Longitude],"Non répertoriées")</f>
        <v>30.222971000000001</v>
      </c>
      <c r="H747" t="s">
        <v>10</v>
      </c>
    </row>
    <row r="748" spans="1:8" x14ac:dyDescent="0.25">
      <c r="A748" s="1">
        <v>45221.96597222222</v>
      </c>
      <c r="B748" t="s">
        <v>524</v>
      </c>
      <c r="C748" t="str">
        <f>_xlfn.XLOOKUP(B748,Tableau13[ID_Antenne],Tableau13[Province_RDC],"Non répertoriées")</f>
        <v>Non répertoriées</v>
      </c>
      <c r="D748">
        <v>84</v>
      </c>
      <c r="E748" t="str">
        <f>_xlfn.XLOOKUP(B748,Tableau13[ID_Antenne],Tableau13[Technologie],"Non répertoriées")</f>
        <v>Non répertoriées</v>
      </c>
      <c r="F748" t="str">
        <f>_xlfn.XLOOKUP(B748,Tableau13[ID_Antenne],Tableau13[Latitude],"Non répertoriées")</f>
        <v>Non répertoriées</v>
      </c>
      <c r="G748" t="str">
        <f>_xlfn.XLOOKUP(B748,Tableau13[ID_Antenne],Tableau13[Longitude],"Non répertoriées")</f>
        <v>Non répertoriées</v>
      </c>
      <c r="H748" t="s">
        <v>10</v>
      </c>
    </row>
    <row r="749" spans="1:8" x14ac:dyDescent="0.25">
      <c r="A749" s="1">
        <v>45203.03125</v>
      </c>
      <c r="B749" t="s">
        <v>14</v>
      </c>
      <c r="C749" t="str">
        <f>_xlfn.XLOOKUP(B749,Tableau13[ID_Antenne],Tableau13[Province_RDC],"Non répertoriées")</f>
        <v>Non répertoriées</v>
      </c>
      <c r="D749">
        <v>36</v>
      </c>
      <c r="E749" t="str">
        <f>_xlfn.XLOOKUP(B749,Tableau13[ID_Antenne],Tableau13[Technologie],"Non répertoriées")</f>
        <v>Non répertoriées</v>
      </c>
      <c r="F749" t="str">
        <f>_xlfn.XLOOKUP(B749,Tableau13[ID_Antenne],Tableau13[Latitude],"Non répertoriées")</f>
        <v>Non répertoriées</v>
      </c>
      <c r="G749" t="str">
        <f>_xlfn.XLOOKUP(B749,Tableau13[ID_Antenne],Tableau13[Longitude],"Non répertoriées")</f>
        <v>Non répertoriées</v>
      </c>
      <c r="H749" t="s">
        <v>10</v>
      </c>
    </row>
    <row r="750" spans="1:8" x14ac:dyDescent="0.25">
      <c r="A750" s="1">
        <v>45204.916666666657</v>
      </c>
      <c r="B750" t="s">
        <v>525</v>
      </c>
      <c r="C750" t="str">
        <f>_xlfn.XLOOKUP(B750,Tableau13[ID_Antenne],Tableau13[Province_RDC],"Non répertoriées")</f>
        <v>Non répertoriées</v>
      </c>
      <c r="D750">
        <v>64</v>
      </c>
      <c r="E750" t="str">
        <f>_xlfn.XLOOKUP(B750,Tableau13[ID_Antenne],Tableau13[Technologie],"Non répertoriées")</f>
        <v>Non répertoriées</v>
      </c>
      <c r="F750" t="str">
        <f>_xlfn.XLOOKUP(B750,Tableau13[ID_Antenne],Tableau13[Latitude],"Non répertoriées")</f>
        <v>Non répertoriées</v>
      </c>
      <c r="G750" t="str">
        <f>_xlfn.XLOOKUP(B750,Tableau13[ID_Antenne],Tableau13[Longitude],"Non répertoriées")</f>
        <v>Non répertoriées</v>
      </c>
      <c r="H750" t="s">
        <v>10</v>
      </c>
    </row>
    <row r="751" spans="1:8" x14ac:dyDescent="0.25">
      <c r="A751" s="1">
        <v>45205.640277777777</v>
      </c>
      <c r="B751" t="s">
        <v>150</v>
      </c>
      <c r="C751" t="str">
        <f>_xlfn.XLOOKUP(B751,Tableau13[ID_Antenne],Tableau13[Province_RDC],"Non répertoriées")</f>
        <v>Non répertoriées</v>
      </c>
      <c r="D751">
        <v>52</v>
      </c>
      <c r="E751" t="str">
        <f>_xlfn.XLOOKUP(B751,Tableau13[ID_Antenne],Tableau13[Technologie],"Non répertoriées")</f>
        <v>Non répertoriées</v>
      </c>
      <c r="F751" t="str">
        <f>_xlfn.XLOOKUP(B751,Tableau13[ID_Antenne],Tableau13[Latitude],"Non répertoriées")</f>
        <v>Non répertoriées</v>
      </c>
      <c r="G751" t="str">
        <f>_xlfn.XLOOKUP(B751,Tableau13[ID_Antenne],Tableau13[Longitude],"Non répertoriées")</f>
        <v>Non répertoriées</v>
      </c>
      <c r="H751" t="s">
        <v>5</v>
      </c>
    </row>
    <row r="752" spans="1:8" x14ac:dyDescent="0.25">
      <c r="A752" s="1">
        <v>45216.701388888891</v>
      </c>
      <c r="B752" t="s">
        <v>132</v>
      </c>
      <c r="C752" s="29" t="str">
        <f>_xlfn.XLOOKUP(B752,Tableau13[ID_Antenne],Tableau13[Province_RDC],"Non répertoriées")</f>
        <v>Tshuapa</v>
      </c>
      <c r="D752">
        <v>80</v>
      </c>
      <c r="E752" s="31" t="str">
        <f>_xlfn.XLOOKUP(B752,Tableau13[ID_Antenne],Tableau13[Technologie],"Non répertoriées")</f>
        <v>5G</v>
      </c>
      <c r="F752" s="3">
        <f>_xlfn.XLOOKUP(B752,Tableau13[ID_Antenne],Tableau13[Latitude],"Non répertoriées")</f>
        <v>-11.622688999999999</v>
      </c>
      <c r="G752" s="32">
        <f>_xlfn.XLOOKUP(B752,Tableau13[ID_Antenne],Tableau13[Longitude],"Non répertoriées")</f>
        <v>18.483874</v>
      </c>
      <c r="H752" t="s">
        <v>5</v>
      </c>
    </row>
    <row r="753" spans="1:8" x14ac:dyDescent="0.25">
      <c r="A753" s="1">
        <v>45226.969444444447</v>
      </c>
      <c r="B753" t="s">
        <v>155</v>
      </c>
      <c r="C753" s="29" t="str">
        <f>_xlfn.XLOOKUP(B753,Tableau13[ID_Antenne],Tableau13[Province_RDC],"Non répertoriées")</f>
        <v>Tshopo</v>
      </c>
      <c r="D753">
        <v>68</v>
      </c>
      <c r="E753" s="31" t="str">
        <f>_xlfn.XLOOKUP(B753,Tableau13[ID_Antenne],Tableau13[Technologie],"Non répertoriées")</f>
        <v>3G</v>
      </c>
      <c r="F753" s="3">
        <f>_xlfn.XLOOKUP(B753,Tableau13[ID_Antenne],Tableau13[Latitude],"Non répertoriées")</f>
        <v>3.0603760000000002</v>
      </c>
      <c r="G753" s="32">
        <f>_xlfn.XLOOKUP(B753,Tableau13[ID_Antenne],Tableau13[Longitude],"Non répertoriées")</f>
        <v>19.708034000000001</v>
      </c>
      <c r="H753" t="s">
        <v>5</v>
      </c>
    </row>
    <row r="754" spans="1:8" x14ac:dyDescent="0.25">
      <c r="A754" s="1">
        <v>45205.463888888888</v>
      </c>
      <c r="B754" t="s">
        <v>526</v>
      </c>
      <c r="C754" s="29" t="str">
        <f>_xlfn.XLOOKUP(B754,Tableau13[ID_Antenne],Tableau13[Province_RDC],"Non répertoriées")</f>
        <v>Nord-Kivu</v>
      </c>
      <c r="D754">
        <v>103</v>
      </c>
      <c r="E754" s="31" t="str">
        <f>_xlfn.XLOOKUP(B754,Tableau13[ID_Antenne],Tableau13[Technologie],"Non répertoriées")</f>
        <v>5G</v>
      </c>
      <c r="F754" s="3">
        <f>_xlfn.XLOOKUP(B754,Tableau13[ID_Antenne],Tableau13[Latitude],"Non répertoriées")</f>
        <v>-0.17258100000000001</v>
      </c>
      <c r="G754" s="32">
        <f>_xlfn.XLOOKUP(B754,Tableau13[ID_Antenne],Tableau13[Longitude],"Non répertoriées")</f>
        <v>23.775555000000001</v>
      </c>
      <c r="H754" t="s">
        <v>5</v>
      </c>
    </row>
    <row r="755" spans="1:8" x14ac:dyDescent="0.25">
      <c r="A755" s="1">
        <v>45223.365277777782</v>
      </c>
      <c r="B755" t="s">
        <v>527</v>
      </c>
      <c r="C755" t="str">
        <f>_xlfn.XLOOKUP(B755,Tableau13[ID_Antenne],Tableau13[Province_RDC],"Non répertoriées")</f>
        <v>Non répertoriées</v>
      </c>
      <c r="D755">
        <v>104</v>
      </c>
      <c r="E755" t="str">
        <f>_xlfn.XLOOKUP(B755,Tableau13[ID_Antenne],Tableau13[Technologie],"Non répertoriées")</f>
        <v>Non répertoriées</v>
      </c>
      <c r="F755" t="str">
        <f>_xlfn.XLOOKUP(B755,Tableau13[ID_Antenne],Tableau13[Latitude],"Non répertoriées")</f>
        <v>Non répertoriées</v>
      </c>
      <c r="G755" t="str">
        <f>_xlfn.XLOOKUP(B755,Tableau13[ID_Antenne],Tableau13[Longitude],"Non répertoriées")</f>
        <v>Non répertoriées</v>
      </c>
      <c r="H755" t="s">
        <v>8</v>
      </c>
    </row>
    <row r="756" spans="1:8" x14ac:dyDescent="0.25">
      <c r="A756" s="1">
        <v>45228.15902777778</v>
      </c>
      <c r="B756" t="s">
        <v>400</v>
      </c>
      <c r="C756" s="29" t="str">
        <f>_xlfn.XLOOKUP(B756,Tableau13[ID_Antenne],Tableau13[Province_RDC],"Non répertoriées")</f>
        <v>Kwilu</v>
      </c>
      <c r="D756">
        <v>30</v>
      </c>
      <c r="E756" s="31" t="str">
        <f>_xlfn.XLOOKUP(B756,Tableau13[ID_Antenne],Tableau13[Technologie],"Non répertoriées")</f>
        <v>5G</v>
      </c>
      <c r="F756" s="3">
        <f>_xlfn.XLOOKUP(B756,Tableau13[ID_Antenne],Tableau13[Latitude],"Non répertoriées")</f>
        <v>0.62055499999999997</v>
      </c>
      <c r="G756" s="32">
        <f>_xlfn.XLOOKUP(B756,Tableau13[ID_Antenne],Tableau13[Longitude],"Non répertoriées")</f>
        <v>21.222035000000002</v>
      </c>
      <c r="H756" t="s">
        <v>5</v>
      </c>
    </row>
    <row r="757" spans="1:8" x14ac:dyDescent="0.25">
      <c r="A757" s="1">
        <v>45228.01458333333</v>
      </c>
      <c r="B757" t="s">
        <v>111</v>
      </c>
      <c r="C757" t="str">
        <f>_xlfn.XLOOKUP(B757,Tableau13[ID_Antenne],Tableau13[Province_RDC],"Non répertoriées")</f>
        <v>Non répertoriées</v>
      </c>
      <c r="D757">
        <v>98</v>
      </c>
      <c r="E757" t="str">
        <f>_xlfn.XLOOKUP(B757,Tableau13[ID_Antenne],Tableau13[Technologie],"Non répertoriées")</f>
        <v>Non répertoriées</v>
      </c>
      <c r="F757" t="str">
        <f>_xlfn.XLOOKUP(B757,Tableau13[ID_Antenne],Tableau13[Latitude],"Non répertoriées")</f>
        <v>Non répertoriées</v>
      </c>
      <c r="G757" t="str">
        <f>_xlfn.XLOOKUP(B757,Tableau13[ID_Antenne],Tableau13[Longitude],"Non répertoriées")</f>
        <v>Non répertoriées</v>
      </c>
      <c r="H757" t="s">
        <v>5</v>
      </c>
    </row>
    <row r="758" spans="1:8" x14ac:dyDescent="0.25">
      <c r="A758" s="1">
        <v>45225.553472222222</v>
      </c>
      <c r="B758" t="s">
        <v>528</v>
      </c>
      <c r="C758" t="str">
        <f>_xlfn.XLOOKUP(B758,Tableau13[ID_Antenne],Tableau13[Province_RDC],"Non répertoriées")</f>
        <v>Non répertoriées</v>
      </c>
      <c r="D758">
        <v>120</v>
      </c>
      <c r="E758" t="str">
        <f>_xlfn.XLOOKUP(B758,Tableau13[ID_Antenne],Tableau13[Technologie],"Non répertoriées")</f>
        <v>Non répertoriées</v>
      </c>
      <c r="F758" t="str">
        <f>_xlfn.XLOOKUP(B758,Tableau13[ID_Antenne],Tableau13[Latitude],"Non répertoriées")</f>
        <v>Non répertoriées</v>
      </c>
      <c r="G758" t="str">
        <f>_xlfn.XLOOKUP(B758,Tableau13[ID_Antenne],Tableau13[Longitude],"Non répertoriées")</f>
        <v>Non répertoriées</v>
      </c>
      <c r="H758" t="s">
        <v>5</v>
      </c>
    </row>
    <row r="759" spans="1:8" x14ac:dyDescent="0.25">
      <c r="A759" s="1">
        <v>45216.094444444447</v>
      </c>
      <c r="B759" t="s">
        <v>529</v>
      </c>
      <c r="C759" s="29" t="str">
        <f>_xlfn.XLOOKUP(B759,Tableau13[ID_Antenne],Tableau13[Province_RDC],"Non répertoriées")</f>
        <v>Lomami</v>
      </c>
      <c r="D759">
        <v>74</v>
      </c>
      <c r="E759" s="31" t="str">
        <f>_xlfn.XLOOKUP(B759,Tableau13[ID_Antenne],Tableau13[Technologie],"Non répertoriées")</f>
        <v>3G</v>
      </c>
      <c r="F759" s="3">
        <f>_xlfn.XLOOKUP(B759,Tableau13[ID_Antenne],Tableau13[Latitude],"Non répertoriées")</f>
        <v>4.8265669999999998</v>
      </c>
      <c r="G759" s="32">
        <f>_xlfn.XLOOKUP(B759,Tableau13[ID_Antenne],Tableau13[Longitude],"Non répertoriées")</f>
        <v>28.535277000000001</v>
      </c>
      <c r="H759" t="s">
        <v>5</v>
      </c>
    </row>
    <row r="760" spans="1:8" x14ac:dyDescent="0.25">
      <c r="A760" s="1">
        <v>45222.777777777781</v>
      </c>
      <c r="B760" t="s">
        <v>530</v>
      </c>
      <c r="C760" s="29" t="str">
        <f>_xlfn.XLOOKUP(B760,Tableau13[ID_Antenne],Tableau13[Province_RDC],"Non répertoriées")</f>
        <v>Haut-Lomami</v>
      </c>
      <c r="D760">
        <v>102</v>
      </c>
      <c r="E760" s="31" t="str">
        <f>_xlfn.XLOOKUP(B760,Tableau13[ID_Antenne],Tableau13[Technologie],"Non répertoriées")</f>
        <v>4G</v>
      </c>
      <c r="F760" s="3">
        <f>_xlfn.XLOOKUP(B760,Tableau13[ID_Antenne],Tableau13[Latitude],"Non répertoriées")</f>
        <v>-1.3938550000000001</v>
      </c>
      <c r="G760" s="32">
        <f>_xlfn.XLOOKUP(B760,Tableau13[ID_Antenne],Tableau13[Longitude],"Non répertoriées")</f>
        <v>15.097554000000001</v>
      </c>
      <c r="H760" t="s">
        <v>10</v>
      </c>
    </row>
    <row r="761" spans="1:8" x14ac:dyDescent="0.25">
      <c r="A761" s="1">
        <v>45202.645138888889</v>
      </c>
      <c r="B761" t="s">
        <v>531</v>
      </c>
      <c r="C761" s="29" t="str">
        <f>_xlfn.XLOOKUP(B761,Tableau13[ID_Antenne],Tableau13[Province_RDC],"Non répertoriées")</f>
        <v>Kongo-Central</v>
      </c>
      <c r="D761">
        <v>106</v>
      </c>
      <c r="E761" s="31" t="str">
        <f>_xlfn.XLOOKUP(B761,Tableau13[ID_Antenne],Tableau13[Technologie],"Non répertoriées")</f>
        <v>3G</v>
      </c>
      <c r="F761" s="3">
        <f>_xlfn.XLOOKUP(B761,Tableau13[ID_Antenne],Tableau13[Latitude],"Non répertoriées")</f>
        <v>1.981107</v>
      </c>
      <c r="G761" s="32">
        <f>_xlfn.XLOOKUP(B761,Tableau13[ID_Antenne],Tableau13[Longitude],"Non répertoriées")</f>
        <v>23.932569000000001</v>
      </c>
      <c r="H761" t="s">
        <v>10</v>
      </c>
    </row>
    <row r="762" spans="1:8" x14ac:dyDescent="0.25">
      <c r="A762" s="1">
        <v>45216.460416666669</v>
      </c>
      <c r="B762" t="s">
        <v>532</v>
      </c>
      <c r="C762" s="29" t="str">
        <f>_xlfn.XLOOKUP(B762,Tableau13[ID_Antenne],Tableau13[Province_RDC],"Non répertoriées")</f>
        <v>Nord-Kivu</v>
      </c>
      <c r="D762">
        <v>36</v>
      </c>
      <c r="E762" s="31" t="str">
        <f>_xlfn.XLOOKUP(B762,Tableau13[ID_Antenne],Tableau13[Technologie],"Non répertoriées")</f>
        <v>4G</v>
      </c>
      <c r="F762" s="3">
        <f>_xlfn.XLOOKUP(B762,Tableau13[ID_Antenne],Tableau13[Latitude],"Non répertoriées")</f>
        <v>-11.231472</v>
      </c>
      <c r="G762" s="32">
        <f>_xlfn.XLOOKUP(B762,Tableau13[ID_Antenne],Tableau13[Longitude],"Non répertoriées")</f>
        <v>25.388874000000001</v>
      </c>
      <c r="H762" t="s">
        <v>10</v>
      </c>
    </row>
    <row r="763" spans="1:8" x14ac:dyDescent="0.25">
      <c r="A763" s="1">
        <v>45215.756944444453</v>
      </c>
      <c r="B763" t="s">
        <v>533</v>
      </c>
      <c r="C763" t="str">
        <f>_xlfn.XLOOKUP(B763,Tableau13[ID_Antenne],Tableau13[Province_RDC],"Non répertoriées")</f>
        <v>Non répertoriées</v>
      </c>
      <c r="D763">
        <v>24</v>
      </c>
      <c r="E763" t="str">
        <f>_xlfn.XLOOKUP(B763,Tableau13[ID_Antenne],Tableau13[Technologie],"Non répertoriées")</f>
        <v>Non répertoriées</v>
      </c>
      <c r="F763" t="str">
        <f>_xlfn.XLOOKUP(B763,Tableau13[ID_Antenne],Tableau13[Latitude],"Non répertoriées")</f>
        <v>Non répertoriées</v>
      </c>
      <c r="G763" t="str">
        <f>_xlfn.XLOOKUP(B763,Tableau13[ID_Antenne],Tableau13[Longitude],"Non répertoriées")</f>
        <v>Non répertoriées</v>
      </c>
      <c r="H763" t="s">
        <v>10</v>
      </c>
    </row>
    <row r="764" spans="1:8" x14ac:dyDescent="0.25">
      <c r="A764" s="1">
        <v>45211.219444444447</v>
      </c>
      <c r="B764" t="s">
        <v>534</v>
      </c>
      <c r="C764" s="29" t="str">
        <f>_xlfn.XLOOKUP(B764,Tableau13[ID_Antenne],Tableau13[Province_RDC],"Non répertoriées")</f>
        <v>Nord-Kivu</v>
      </c>
      <c r="D764">
        <v>5</v>
      </c>
      <c r="E764" s="31" t="str">
        <f>_xlfn.XLOOKUP(B764,Tableau13[ID_Antenne],Tableau13[Technologie],"Non répertoriées")</f>
        <v>3G</v>
      </c>
      <c r="F764" s="3">
        <f>_xlfn.XLOOKUP(B764,Tableau13[ID_Antenne],Tableau13[Latitude],"Non répertoriées")</f>
        <v>-8.9586360000000003</v>
      </c>
      <c r="G764" s="32">
        <f>_xlfn.XLOOKUP(B764,Tableau13[ID_Antenne],Tableau13[Longitude],"Non répertoriées")</f>
        <v>17.157720000000001</v>
      </c>
      <c r="H764" t="s">
        <v>5</v>
      </c>
    </row>
    <row r="765" spans="1:8" x14ac:dyDescent="0.25">
      <c r="A765" s="1">
        <v>45224.164583333331</v>
      </c>
      <c r="B765" t="s">
        <v>535</v>
      </c>
      <c r="C765" t="str">
        <f>_xlfn.XLOOKUP(B765,Tableau13[ID_Antenne],Tableau13[Province_RDC],"Non répertoriées")</f>
        <v>Non répertoriées</v>
      </c>
      <c r="D765">
        <v>57</v>
      </c>
      <c r="E765" t="str">
        <f>_xlfn.XLOOKUP(B765,Tableau13[ID_Antenne],Tableau13[Technologie],"Non répertoriées")</f>
        <v>Non répertoriées</v>
      </c>
      <c r="F765" t="str">
        <f>_xlfn.XLOOKUP(B765,Tableau13[ID_Antenne],Tableau13[Latitude],"Non répertoriées")</f>
        <v>Non répertoriées</v>
      </c>
      <c r="G765" t="str">
        <f>_xlfn.XLOOKUP(B765,Tableau13[ID_Antenne],Tableau13[Longitude],"Non répertoriées")</f>
        <v>Non répertoriées</v>
      </c>
      <c r="H765" t="s">
        <v>8</v>
      </c>
    </row>
    <row r="766" spans="1:8" x14ac:dyDescent="0.25">
      <c r="A766" s="1">
        <v>45218.906944444447</v>
      </c>
      <c r="B766" t="s">
        <v>228</v>
      </c>
      <c r="C766" t="str">
        <f>_xlfn.XLOOKUP(B766,Tableau13[ID_Antenne],Tableau13[Province_RDC],"Non répertoriées")</f>
        <v>Non répertoriées</v>
      </c>
      <c r="D766">
        <v>8</v>
      </c>
      <c r="E766" t="str">
        <f>_xlfn.XLOOKUP(B766,Tableau13[ID_Antenne],Tableau13[Technologie],"Non répertoriées")</f>
        <v>Non répertoriées</v>
      </c>
      <c r="F766" t="str">
        <f>_xlfn.XLOOKUP(B766,Tableau13[ID_Antenne],Tableau13[Latitude],"Non répertoriées")</f>
        <v>Non répertoriées</v>
      </c>
      <c r="G766" t="str">
        <f>_xlfn.XLOOKUP(B766,Tableau13[ID_Antenne],Tableau13[Longitude],"Non répertoriées")</f>
        <v>Non répertoriées</v>
      </c>
      <c r="H766" t="s">
        <v>10</v>
      </c>
    </row>
    <row r="767" spans="1:8" x14ac:dyDescent="0.25">
      <c r="A767" s="1">
        <v>45203.324305555558</v>
      </c>
      <c r="B767" t="s">
        <v>536</v>
      </c>
      <c r="C767" t="str">
        <f>_xlfn.XLOOKUP(B767,Tableau13[ID_Antenne],Tableau13[Province_RDC],"Non répertoriées")</f>
        <v>Non répertoriées</v>
      </c>
      <c r="D767">
        <v>34</v>
      </c>
      <c r="E767" t="str">
        <f>_xlfn.XLOOKUP(B767,Tableau13[ID_Antenne],Tableau13[Technologie],"Non répertoriées")</f>
        <v>Non répertoriées</v>
      </c>
      <c r="F767" t="str">
        <f>_xlfn.XLOOKUP(B767,Tableau13[ID_Antenne],Tableau13[Latitude],"Non répertoriées")</f>
        <v>Non répertoriées</v>
      </c>
      <c r="G767" t="str">
        <f>_xlfn.XLOOKUP(B767,Tableau13[ID_Antenne],Tableau13[Longitude],"Non répertoriées")</f>
        <v>Non répertoriées</v>
      </c>
      <c r="H767" t="s">
        <v>5</v>
      </c>
    </row>
    <row r="768" spans="1:8" x14ac:dyDescent="0.25">
      <c r="A768" s="1">
        <v>45216.001388888893</v>
      </c>
      <c r="B768" t="s">
        <v>537</v>
      </c>
      <c r="C768" t="str">
        <f>_xlfn.XLOOKUP(B768,Tableau13[ID_Antenne],Tableau13[Province_RDC],"Non répertoriées")</f>
        <v>Non répertoriées</v>
      </c>
      <c r="D768">
        <v>74</v>
      </c>
      <c r="E768" t="str">
        <f>_xlfn.XLOOKUP(B768,Tableau13[ID_Antenne],Tableau13[Technologie],"Non répertoriées")</f>
        <v>Non répertoriées</v>
      </c>
      <c r="F768" t="str">
        <f>_xlfn.XLOOKUP(B768,Tableau13[ID_Antenne],Tableau13[Latitude],"Non répertoriées")</f>
        <v>Non répertoriées</v>
      </c>
      <c r="G768" t="str">
        <f>_xlfn.XLOOKUP(B768,Tableau13[ID_Antenne],Tableau13[Longitude],"Non répertoriées")</f>
        <v>Non répertoriées</v>
      </c>
      <c r="H768" t="s">
        <v>10</v>
      </c>
    </row>
    <row r="769" spans="1:8" x14ac:dyDescent="0.25">
      <c r="A769" s="1">
        <v>45227.010416666657</v>
      </c>
      <c r="B769" t="s">
        <v>538</v>
      </c>
      <c r="C769" t="str">
        <f>_xlfn.XLOOKUP(B769,Tableau13[ID_Antenne],Tableau13[Province_RDC],"Non répertoriées")</f>
        <v>Non répertoriées</v>
      </c>
      <c r="D769">
        <v>49</v>
      </c>
      <c r="E769" t="str">
        <f>_xlfn.XLOOKUP(B769,Tableau13[ID_Antenne],Tableau13[Technologie],"Non répertoriées")</f>
        <v>Non répertoriées</v>
      </c>
      <c r="F769" t="str">
        <f>_xlfn.XLOOKUP(B769,Tableau13[ID_Antenne],Tableau13[Latitude],"Non répertoriées")</f>
        <v>Non répertoriées</v>
      </c>
      <c r="G769" t="str">
        <f>_xlfn.XLOOKUP(B769,Tableau13[ID_Antenne],Tableau13[Longitude],"Non répertoriées")</f>
        <v>Non répertoriées</v>
      </c>
      <c r="H769" t="s">
        <v>10</v>
      </c>
    </row>
    <row r="770" spans="1:8" x14ac:dyDescent="0.25">
      <c r="A770" s="1">
        <v>45201.640972222223</v>
      </c>
      <c r="B770" t="s">
        <v>55</v>
      </c>
      <c r="C770" t="str">
        <f>_xlfn.XLOOKUP(B770,Tableau13[ID_Antenne],Tableau13[Province_RDC],"Non répertoriées")</f>
        <v>Non répertoriées</v>
      </c>
      <c r="D770">
        <v>86</v>
      </c>
      <c r="E770" t="str">
        <f>_xlfn.XLOOKUP(B770,Tableau13[ID_Antenne],Tableau13[Technologie],"Non répertoriées")</f>
        <v>Non répertoriées</v>
      </c>
      <c r="F770" t="str">
        <f>_xlfn.XLOOKUP(B770,Tableau13[ID_Antenne],Tableau13[Latitude],"Non répertoriées")</f>
        <v>Non répertoriées</v>
      </c>
      <c r="G770" t="str">
        <f>_xlfn.XLOOKUP(B770,Tableau13[ID_Antenne],Tableau13[Longitude],"Non répertoriées")</f>
        <v>Non répertoriées</v>
      </c>
      <c r="H770" t="s">
        <v>10</v>
      </c>
    </row>
    <row r="771" spans="1:8" x14ac:dyDescent="0.25">
      <c r="A771" s="1">
        <v>45212.174305555563</v>
      </c>
      <c r="B771" t="s">
        <v>539</v>
      </c>
      <c r="C771" t="str">
        <f>_xlfn.XLOOKUP(B771,Tableau13[ID_Antenne],Tableau13[Province_RDC],"Non répertoriées")</f>
        <v>Non répertoriées</v>
      </c>
      <c r="D771">
        <v>112</v>
      </c>
      <c r="E771" t="str">
        <f>_xlfn.XLOOKUP(B771,Tableau13[ID_Antenne],Tableau13[Technologie],"Non répertoriées")</f>
        <v>Non répertoriées</v>
      </c>
      <c r="F771" t="str">
        <f>_xlfn.XLOOKUP(B771,Tableau13[ID_Antenne],Tableau13[Latitude],"Non répertoriées")</f>
        <v>Non répertoriées</v>
      </c>
      <c r="G771" t="str">
        <f>_xlfn.XLOOKUP(B771,Tableau13[ID_Antenne],Tableau13[Longitude],"Non répertoriées")</f>
        <v>Non répertoriées</v>
      </c>
      <c r="H771" t="s">
        <v>10</v>
      </c>
    </row>
    <row r="772" spans="1:8" x14ac:dyDescent="0.25">
      <c r="A772" s="1">
        <v>45229.065972222219</v>
      </c>
      <c r="B772" t="s">
        <v>69</v>
      </c>
      <c r="C772" s="29" t="str">
        <f>_xlfn.XLOOKUP(B772,Tableau13[ID_Antenne],Tableau13[Province_RDC],"Non répertoriées")</f>
        <v>Nord-Kivu</v>
      </c>
      <c r="D772">
        <v>93</v>
      </c>
      <c r="E772" s="31" t="str">
        <f>_xlfn.XLOOKUP(B772,Tableau13[ID_Antenne],Tableau13[Technologie],"Non répertoriées")</f>
        <v>5G</v>
      </c>
      <c r="F772" s="3">
        <f>_xlfn.XLOOKUP(B772,Tableau13[ID_Antenne],Tableau13[Latitude],"Non répertoriées")</f>
        <v>0.82868600000000003</v>
      </c>
      <c r="G772" s="32">
        <f>_xlfn.XLOOKUP(B772,Tableau13[ID_Antenne],Tableau13[Longitude],"Non répertoriées")</f>
        <v>26.958843999999999</v>
      </c>
      <c r="H772" t="s">
        <v>5</v>
      </c>
    </row>
    <row r="773" spans="1:8" x14ac:dyDescent="0.25">
      <c r="A773" s="1">
        <v>45225.949305555558</v>
      </c>
      <c r="B773" t="s">
        <v>540</v>
      </c>
      <c r="C773" t="str">
        <f>_xlfn.XLOOKUP(B773,Tableau13[ID_Antenne],Tableau13[Province_RDC],"Non répertoriées")</f>
        <v>Non répertoriées</v>
      </c>
      <c r="D773">
        <v>117</v>
      </c>
      <c r="E773" t="str">
        <f>_xlfn.XLOOKUP(B773,Tableau13[ID_Antenne],Tableau13[Technologie],"Non répertoriées")</f>
        <v>Non répertoriées</v>
      </c>
      <c r="F773" t="str">
        <f>_xlfn.XLOOKUP(B773,Tableau13[ID_Antenne],Tableau13[Latitude],"Non répertoriées")</f>
        <v>Non répertoriées</v>
      </c>
      <c r="G773" t="str">
        <f>_xlfn.XLOOKUP(B773,Tableau13[ID_Antenne],Tableau13[Longitude],"Non répertoriées")</f>
        <v>Non répertoriées</v>
      </c>
      <c r="H773" t="s">
        <v>5</v>
      </c>
    </row>
    <row r="774" spans="1:8" x14ac:dyDescent="0.25">
      <c r="A774" s="1">
        <v>45220.551388888889</v>
      </c>
      <c r="B774" t="s">
        <v>541</v>
      </c>
      <c r="C774" t="str">
        <f>_xlfn.XLOOKUP(B774,Tableau13[ID_Antenne],Tableau13[Province_RDC],"Non répertoriées")</f>
        <v>Non répertoriées</v>
      </c>
      <c r="D774">
        <v>6</v>
      </c>
      <c r="E774" t="str">
        <f>_xlfn.XLOOKUP(B774,Tableau13[ID_Antenne],Tableau13[Technologie],"Non répertoriées")</f>
        <v>Non répertoriées</v>
      </c>
      <c r="F774" t="str">
        <f>_xlfn.XLOOKUP(B774,Tableau13[ID_Antenne],Tableau13[Latitude],"Non répertoriées")</f>
        <v>Non répertoriées</v>
      </c>
      <c r="G774" t="str">
        <f>_xlfn.XLOOKUP(B774,Tableau13[ID_Antenne],Tableau13[Longitude],"Non répertoriées")</f>
        <v>Non répertoriées</v>
      </c>
      <c r="H774" t="s">
        <v>5</v>
      </c>
    </row>
    <row r="775" spans="1:8" x14ac:dyDescent="0.25">
      <c r="A775" s="1">
        <v>45210.30972222222</v>
      </c>
      <c r="B775" t="s">
        <v>335</v>
      </c>
      <c r="C775" t="str">
        <f>_xlfn.XLOOKUP(B775,Tableau13[ID_Antenne],Tableau13[Province_RDC],"Non répertoriées")</f>
        <v>Non répertoriées</v>
      </c>
      <c r="D775">
        <v>47</v>
      </c>
      <c r="E775" t="str">
        <f>_xlfn.XLOOKUP(B775,Tableau13[ID_Antenne],Tableau13[Technologie],"Non répertoriées")</f>
        <v>Non répertoriées</v>
      </c>
      <c r="F775" t="str">
        <f>_xlfn.XLOOKUP(B775,Tableau13[ID_Antenne],Tableau13[Latitude],"Non répertoriées")</f>
        <v>Non répertoriées</v>
      </c>
      <c r="G775" t="str">
        <f>_xlfn.XLOOKUP(B775,Tableau13[ID_Antenne],Tableau13[Longitude],"Non répertoriées")</f>
        <v>Non répertoriées</v>
      </c>
      <c r="H775" t="s">
        <v>8</v>
      </c>
    </row>
    <row r="776" spans="1:8" x14ac:dyDescent="0.25">
      <c r="A776" s="1">
        <v>45229.972222222219</v>
      </c>
      <c r="B776" t="s">
        <v>463</v>
      </c>
      <c r="C776" s="29" t="str">
        <f>_xlfn.XLOOKUP(B776,Tableau13[ID_Antenne],Tableau13[Province_RDC],"Non répertoriées")</f>
        <v>Nord-Ubangi</v>
      </c>
      <c r="D776">
        <v>5</v>
      </c>
      <c r="E776" s="31" t="str">
        <f>_xlfn.XLOOKUP(B776,Tableau13[ID_Antenne],Tableau13[Technologie],"Non répertoriées")</f>
        <v>4G</v>
      </c>
      <c r="F776" s="3">
        <f>_xlfn.XLOOKUP(B776,Tableau13[ID_Antenne],Tableau13[Latitude],"Non répertoriées")</f>
        <v>-8.4985189999999999</v>
      </c>
      <c r="G776" s="32">
        <f>_xlfn.XLOOKUP(B776,Tableau13[ID_Antenne],Tableau13[Longitude],"Non répertoriées")</f>
        <v>12.929456999999999</v>
      </c>
      <c r="H776" t="s">
        <v>10</v>
      </c>
    </row>
    <row r="777" spans="1:8" x14ac:dyDescent="0.25">
      <c r="A777" s="1">
        <v>45208.10833333333</v>
      </c>
      <c r="B777" t="s">
        <v>542</v>
      </c>
      <c r="C777" s="29" t="str">
        <f>_xlfn.XLOOKUP(B777,Tableau13[ID_Antenne],Tableau13[Province_RDC],"Non répertoriées")</f>
        <v>Sud-Kivu</v>
      </c>
      <c r="D777">
        <v>102</v>
      </c>
      <c r="E777" s="31" t="str">
        <f>_xlfn.XLOOKUP(B777,Tableau13[ID_Antenne],Tableau13[Technologie],"Non répertoriées")</f>
        <v>3G</v>
      </c>
      <c r="F777" s="3">
        <f>_xlfn.XLOOKUP(B777,Tableau13[ID_Antenne],Tableau13[Latitude],"Non répertoriées")</f>
        <v>-1.4700059999999999</v>
      </c>
      <c r="G777" s="32">
        <f>_xlfn.XLOOKUP(B777,Tableau13[ID_Antenne],Tableau13[Longitude],"Non répertoriées")</f>
        <v>18.680958</v>
      </c>
      <c r="H777" t="s">
        <v>8</v>
      </c>
    </row>
    <row r="778" spans="1:8" x14ac:dyDescent="0.25">
      <c r="A778" s="1">
        <v>45211.147222222222</v>
      </c>
      <c r="B778" t="s">
        <v>543</v>
      </c>
      <c r="C778" t="str">
        <f>_xlfn.XLOOKUP(B778,Tableau13[ID_Antenne],Tableau13[Province_RDC],"Non répertoriées")</f>
        <v>Non répertoriées</v>
      </c>
      <c r="D778">
        <v>89</v>
      </c>
      <c r="E778" t="str">
        <f>_xlfn.XLOOKUP(B778,Tableau13[ID_Antenne],Tableau13[Technologie],"Non répertoriées")</f>
        <v>Non répertoriées</v>
      </c>
      <c r="F778" t="str">
        <f>_xlfn.XLOOKUP(B778,Tableau13[ID_Antenne],Tableau13[Latitude],"Non répertoriées")</f>
        <v>Non répertoriées</v>
      </c>
      <c r="G778" t="str">
        <f>_xlfn.XLOOKUP(B778,Tableau13[ID_Antenne],Tableau13[Longitude],"Non répertoriées")</f>
        <v>Non répertoriées</v>
      </c>
      <c r="H778" t="s">
        <v>8</v>
      </c>
    </row>
    <row r="779" spans="1:8" x14ac:dyDescent="0.25">
      <c r="A779" s="1">
        <v>45221.049305555563</v>
      </c>
      <c r="B779" t="s">
        <v>332</v>
      </c>
      <c r="C779" s="29" t="str">
        <f>_xlfn.XLOOKUP(B779,Tableau13[ID_Antenne],Tableau13[Province_RDC],"Non répertoriées")</f>
        <v>Lualaba</v>
      </c>
      <c r="D779">
        <v>53</v>
      </c>
      <c r="E779" s="31" t="str">
        <f>_xlfn.XLOOKUP(B779,Tableau13[ID_Antenne],Tableau13[Technologie],"Non répertoriées")</f>
        <v>4G</v>
      </c>
      <c r="F779" s="3">
        <f>_xlfn.XLOOKUP(B779,Tableau13[ID_Antenne],Tableau13[Latitude],"Non répertoriées")</f>
        <v>1.286548</v>
      </c>
      <c r="G779" s="32">
        <f>_xlfn.XLOOKUP(B779,Tableau13[ID_Antenne],Tableau13[Longitude],"Non répertoriées")</f>
        <v>29.823702999999998</v>
      </c>
      <c r="H779" t="s">
        <v>8</v>
      </c>
    </row>
    <row r="780" spans="1:8" x14ac:dyDescent="0.25">
      <c r="A780" s="1">
        <v>45207.668055555558</v>
      </c>
      <c r="B780" t="s">
        <v>544</v>
      </c>
      <c r="C780" s="29" t="str">
        <f>_xlfn.XLOOKUP(B780,Tableau13[ID_Antenne],Tableau13[Province_RDC],"Non répertoriées")</f>
        <v>Kongo-Central</v>
      </c>
      <c r="D780">
        <v>113</v>
      </c>
      <c r="E780" s="31" t="str">
        <f>_xlfn.XLOOKUP(B780,Tableau13[ID_Antenne],Tableau13[Technologie],"Non répertoriées")</f>
        <v>5G</v>
      </c>
      <c r="F780" s="3">
        <f>_xlfn.XLOOKUP(B780,Tableau13[ID_Antenne],Tableau13[Latitude],"Non répertoriées")</f>
        <v>-7.1587569999999996</v>
      </c>
      <c r="G780" s="32">
        <f>_xlfn.XLOOKUP(B780,Tableau13[ID_Antenne],Tableau13[Longitude],"Non répertoriées")</f>
        <v>18.975141000000001</v>
      </c>
      <c r="H780" t="s">
        <v>5</v>
      </c>
    </row>
    <row r="781" spans="1:8" x14ac:dyDescent="0.25">
      <c r="A781" s="1">
        <v>45230.50277777778</v>
      </c>
      <c r="B781" t="s">
        <v>389</v>
      </c>
      <c r="C781" s="29" t="str">
        <f>_xlfn.XLOOKUP(B781,Tableau13[ID_Antenne],Tableau13[Province_RDC],"Non répertoriées")</f>
        <v>Equateur</v>
      </c>
      <c r="D781">
        <v>99</v>
      </c>
      <c r="E781" s="31" t="str">
        <f>_xlfn.XLOOKUP(B781,Tableau13[ID_Antenne],Tableau13[Technologie],"Non répertoriées")</f>
        <v>5G</v>
      </c>
      <c r="F781" s="3">
        <f>_xlfn.XLOOKUP(B781,Tableau13[ID_Antenne],Tableau13[Latitude],"Non répertoriées")</f>
        <v>-5.7200150000000001</v>
      </c>
      <c r="G781" s="32">
        <f>_xlfn.XLOOKUP(B781,Tableau13[ID_Antenne],Tableau13[Longitude],"Non répertoriées")</f>
        <v>25.022109</v>
      </c>
      <c r="H781" t="s">
        <v>5</v>
      </c>
    </row>
    <row r="782" spans="1:8" x14ac:dyDescent="0.25">
      <c r="A782" s="1">
        <v>45228.621527777781</v>
      </c>
      <c r="B782" t="s">
        <v>68</v>
      </c>
      <c r="C782" s="29" t="str">
        <f>_xlfn.XLOOKUP(B782,Tableau13[ID_Antenne],Tableau13[Province_RDC],"Non répertoriées")</f>
        <v>Kwango</v>
      </c>
      <c r="D782">
        <v>98</v>
      </c>
      <c r="E782" s="31" t="str">
        <f>_xlfn.XLOOKUP(B782,Tableau13[ID_Antenne],Tableau13[Technologie],"Non répertoriées")</f>
        <v>4G</v>
      </c>
      <c r="F782" s="3">
        <f>_xlfn.XLOOKUP(B782,Tableau13[ID_Antenne],Tableau13[Latitude],"Non répertoriées")</f>
        <v>-10.963041</v>
      </c>
      <c r="G782" s="32">
        <f>_xlfn.XLOOKUP(B782,Tableau13[ID_Antenne],Tableau13[Longitude],"Non répertoriées")</f>
        <v>12.269857</v>
      </c>
      <c r="H782" t="s">
        <v>10</v>
      </c>
    </row>
    <row r="783" spans="1:8" x14ac:dyDescent="0.25">
      <c r="A783" s="1">
        <v>45209.388888888891</v>
      </c>
      <c r="B783" t="s">
        <v>545</v>
      </c>
      <c r="C783" t="str">
        <f>_xlfn.XLOOKUP(B783,Tableau13[ID_Antenne],Tableau13[Province_RDC],"Non répertoriées")</f>
        <v>Non répertoriées</v>
      </c>
      <c r="D783">
        <v>44</v>
      </c>
      <c r="E783" t="str">
        <f>_xlfn.XLOOKUP(B783,Tableau13[ID_Antenne],Tableau13[Technologie],"Non répertoriées")</f>
        <v>Non répertoriées</v>
      </c>
      <c r="F783" t="str">
        <f>_xlfn.XLOOKUP(B783,Tableau13[ID_Antenne],Tableau13[Latitude],"Non répertoriées")</f>
        <v>Non répertoriées</v>
      </c>
      <c r="G783" t="str">
        <f>_xlfn.XLOOKUP(B783,Tableau13[ID_Antenne],Tableau13[Longitude],"Non répertoriées")</f>
        <v>Non répertoriées</v>
      </c>
      <c r="H783" t="s">
        <v>5</v>
      </c>
    </row>
    <row r="784" spans="1:8" x14ac:dyDescent="0.25">
      <c r="A784" s="1">
        <v>45202.728472222218</v>
      </c>
      <c r="B784" t="s">
        <v>473</v>
      </c>
      <c r="C784" t="str">
        <f>_xlfn.XLOOKUP(B784,Tableau13[ID_Antenne],Tableau13[Province_RDC],"Non répertoriées")</f>
        <v>Non répertoriées</v>
      </c>
      <c r="D784">
        <v>18</v>
      </c>
      <c r="E784" t="str">
        <f>_xlfn.XLOOKUP(B784,Tableau13[ID_Antenne],Tableau13[Technologie],"Non répertoriées")</f>
        <v>Non répertoriées</v>
      </c>
      <c r="F784" t="str">
        <f>_xlfn.XLOOKUP(B784,Tableau13[ID_Antenne],Tableau13[Latitude],"Non répertoriées")</f>
        <v>Non répertoriées</v>
      </c>
      <c r="G784" t="str">
        <f>_xlfn.XLOOKUP(B784,Tableau13[ID_Antenne],Tableau13[Longitude],"Non répertoriées")</f>
        <v>Non répertoriées</v>
      </c>
      <c r="H784" t="s">
        <v>5</v>
      </c>
    </row>
    <row r="785" spans="1:8" x14ac:dyDescent="0.25">
      <c r="A785" s="1">
        <v>45200.466666666667</v>
      </c>
      <c r="B785" t="s">
        <v>546</v>
      </c>
      <c r="C785" s="29" t="str">
        <f>_xlfn.XLOOKUP(B785,Tableau13[ID_Antenne],Tableau13[Province_RDC],"Non répertoriées")</f>
        <v>Lomami</v>
      </c>
      <c r="D785">
        <v>31</v>
      </c>
      <c r="E785" s="31" t="str">
        <f>_xlfn.XLOOKUP(B785,Tableau13[ID_Antenne],Tableau13[Technologie],"Non répertoriées")</f>
        <v>4G</v>
      </c>
      <c r="F785" s="3">
        <f>_xlfn.XLOOKUP(B785,Tableau13[ID_Antenne],Tableau13[Latitude],"Non répertoriées")</f>
        <v>-9.5619429999999994</v>
      </c>
      <c r="G785" s="32">
        <f>_xlfn.XLOOKUP(B785,Tableau13[ID_Antenne],Tableau13[Longitude],"Non répertoriées")</f>
        <v>21.445726000000001</v>
      </c>
      <c r="H785" t="s">
        <v>8</v>
      </c>
    </row>
    <row r="786" spans="1:8" x14ac:dyDescent="0.25">
      <c r="A786" s="1">
        <v>45226.209027777782</v>
      </c>
      <c r="B786" t="s">
        <v>463</v>
      </c>
      <c r="C786" s="29" t="str">
        <f>_xlfn.XLOOKUP(B786,Tableau13[ID_Antenne],Tableau13[Province_RDC],"Non répertoriées")</f>
        <v>Nord-Ubangi</v>
      </c>
      <c r="D786">
        <v>81</v>
      </c>
      <c r="E786" s="31" t="str">
        <f>_xlfn.XLOOKUP(B786,Tableau13[ID_Antenne],Tableau13[Technologie],"Non répertoriées")</f>
        <v>4G</v>
      </c>
      <c r="F786" s="3">
        <f>_xlfn.XLOOKUP(B786,Tableau13[ID_Antenne],Tableau13[Latitude],"Non répertoriées")</f>
        <v>-8.4985189999999999</v>
      </c>
      <c r="G786" s="32">
        <f>_xlfn.XLOOKUP(B786,Tableau13[ID_Antenne],Tableau13[Longitude],"Non répertoriées")</f>
        <v>12.929456999999999</v>
      </c>
      <c r="H786" t="s">
        <v>10</v>
      </c>
    </row>
    <row r="787" spans="1:8" x14ac:dyDescent="0.25">
      <c r="A787" s="1">
        <v>45230.537499999999</v>
      </c>
      <c r="B787" t="s">
        <v>547</v>
      </c>
      <c r="C787" t="str">
        <f>_xlfn.XLOOKUP(B787,Tableau13[ID_Antenne],Tableau13[Province_RDC],"Non répertoriées")</f>
        <v>Non répertoriées</v>
      </c>
      <c r="D787">
        <v>33</v>
      </c>
      <c r="E787" t="str">
        <f>_xlfn.XLOOKUP(B787,Tableau13[ID_Antenne],Tableau13[Technologie],"Non répertoriées")</f>
        <v>Non répertoriées</v>
      </c>
      <c r="F787" t="str">
        <f>_xlfn.XLOOKUP(B787,Tableau13[ID_Antenne],Tableau13[Latitude],"Non répertoriées")</f>
        <v>Non répertoriées</v>
      </c>
      <c r="G787" t="str">
        <f>_xlfn.XLOOKUP(B787,Tableau13[ID_Antenne],Tableau13[Longitude],"Non répertoriées")</f>
        <v>Non répertoriées</v>
      </c>
      <c r="H787" t="s">
        <v>8</v>
      </c>
    </row>
    <row r="788" spans="1:8" x14ac:dyDescent="0.25">
      <c r="A788" s="1">
        <v>45214.740972222222</v>
      </c>
      <c r="B788" t="s">
        <v>245</v>
      </c>
      <c r="C788" s="29" t="str">
        <f>_xlfn.XLOOKUP(B788,Tableau13[ID_Antenne],Tableau13[Province_RDC],"Non répertoriées")</f>
        <v>Nord-Kivu</v>
      </c>
      <c r="D788">
        <v>8</v>
      </c>
      <c r="E788" s="31" t="str">
        <f>_xlfn.XLOOKUP(B788,Tableau13[ID_Antenne],Tableau13[Technologie],"Non répertoriées")</f>
        <v>4G</v>
      </c>
      <c r="F788" s="3">
        <f>_xlfn.XLOOKUP(B788,Tableau13[ID_Antenne],Tableau13[Latitude],"Non répertoriées")</f>
        <v>-10.846306999999999</v>
      </c>
      <c r="G788" s="32">
        <f>_xlfn.XLOOKUP(B788,Tableau13[ID_Antenne],Tableau13[Longitude],"Non répertoriées")</f>
        <v>19.201827999999999</v>
      </c>
      <c r="H788" t="s">
        <v>5</v>
      </c>
    </row>
    <row r="789" spans="1:8" x14ac:dyDescent="0.25">
      <c r="A789" s="1">
        <v>45217.29583333333</v>
      </c>
      <c r="B789" t="s">
        <v>655</v>
      </c>
      <c r="C789" t="str">
        <f>_xlfn.XLOOKUP(B789,Tableau13[ID_Antenne],Tableau13[Province_RDC],"Non répertoriées")</f>
        <v>Non répertoriées</v>
      </c>
      <c r="D789">
        <v>119</v>
      </c>
      <c r="E789" t="str">
        <f>_xlfn.XLOOKUP(B789,Tableau13[ID_Antenne],Tableau13[Technologie],"Non répertoriées")</f>
        <v>Non répertoriées</v>
      </c>
      <c r="F789" t="str">
        <f>_xlfn.XLOOKUP(B789,Tableau13[ID_Antenne],Tableau13[Latitude],"Non répertoriées")</f>
        <v>Non répertoriées</v>
      </c>
      <c r="G789" t="str">
        <f>_xlfn.XLOOKUP(B789,Tableau13[ID_Antenne],Tableau13[Longitude],"Non répertoriées")</f>
        <v>Non répertoriées</v>
      </c>
      <c r="H789" t="s">
        <v>5</v>
      </c>
    </row>
    <row r="790" spans="1:8" x14ac:dyDescent="0.25">
      <c r="A790" s="1">
        <v>45214.160416666673</v>
      </c>
      <c r="B790" t="s">
        <v>436</v>
      </c>
      <c r="C790" s="29" t="str">
        <f>_xlfn.XLOOKUP(B790,Tableau13[ID_Antenne],Tableau13[Province_RDC],"Non répertoriées")</f>
        <v>Mongala</v>
      </c>
      <c r="D790">
        <v>108</v>
      </c>
      <c r="E790" s="31" t="str">
        <f>_xlfn.XLOOKUP(B790,Tableau13[ID_Antenne],Tableau13[Technologie],"Non répertoriées")</f>
        <v>4G</v>
      </c>
      <c r="F790" s="3">
        <f>_xlfn.XLOOKUP(B790,Tableau13[ID_Antenne],Tableau13[Latitude],"Non répertoriées")</f>
        <v>-11.407966</v>
      </c>
      <c r="G790" s="32">
        <f>_xlfn.XLOOKUP(B790,Tableau13[ID_Antenne],Tableau13[Longitude],"Non répertoriées")</f>
        <v>28.378274000000001</v>
      </c>
      <c r="H790" t="s">
        <v>10</v>
      </c>
    </row>
    <row r="791" spans="1:8" x14ac:dyDescent="0.25">
      <c r="A791" s="1">
        <v>45225.171527777777</v>
      </c>
      <c r="B791" t="s">
        <v>656</v>
      </c>
      <c r="C791" s="29" t="str">
        <f>_xlfn.XLOOKUP(B791,Tableau13[ID_Antenne],Tableau13[Province_RDC],"Non répertoriées")</f>
        <v>Kongo-Central</v>
      </c>
      <c r="D791">
        <v>104</v>
      </c>
      <c r="E791" s="31" t="str">
        <f>_xlfn.XLOOKUP(B791,Tableau13[ID_Antenne],Tableau13[Technologie],"Non répertoriées")</f>
        <v>5G</v>
      </c>
      <c r="F791" s="3">
        <f>_xlfn.XLOOKUP(B791,Tableau13[ID_Antenne],Tableau13[Latitude],"Non répertoriées")</f>
        <v>1.2463919999999999</v>
      </c>
      <c r="G791" s="32">
        <f>_xlfn.XLOOKUP(B791,Tableau13[ID_Antenne],Tableau13[Longitude],"Non répertoriées")</f>
        <v>13.266916999999999</v>
      </c>
      <c r="H791" t="s">
        <v>8</v>
      </c>
    </row>
    <row r="792" spans="1:8" x14ac:dyDescent="0.25">
      <c r="A792" s="1">
        <v>45200.078472222223</v>
      </c>
      <c r="B792" t="s">
        <v>238</v>
      </c>
      <c r="C792" s="29" t="str">
        <f>_xlfn.XLOOKUP(B792,Tableau13[ID_Antenne],Tableau13[Province_RDC],"Non répertoriées")</f>
        <v>Kasai</v>
      </c>
      <c r="D792">
        <v>40</v>
      </c>
      <c r="E792" s="31" t="str">
        <f>_xlfn.XLOOKUP(B792,Tableau13[ID_Antenne],Tableau13[Technologie],"Non répertoriées")</f>
        <v>5G</v>
      </c>
      <c r="F792" s="3">
        <f>_xlfn.XLOOKUP(B792,Tableau13[ID_Antenne],Tableau13[Latitude],"Non répertoriées")</f>
        <v>-10.165072</v>
      </c>
      <c r="G792" s="32">
        <f>_xlfn.XLOOKUP(B792,Tableau13[ID_Antenne],Tableau13[Longitude],"Non répertoriées")</f>
        <v>29.428024000000001</v>
      </c>
      <c r="H792" t="s">
        <v>5</v>
      </c>
    </row>
    <row r="793" spans="1:8" x14ac:dyDescent="0.25">
      <c r="A793" s="1">
        <v>45224.297222222223</v>
      </c>
      <c r="B793" t="s">
        <v>657</v>
      </c>
      <c r="C793" t="str">
        <f>_xlfn.XLOOKUP(B793,Tableau13[ID_Antenne],Tableau13[Province_RDC],"Non répertoriées")</f>
        <v>Non répertoriées</v>
      </c>
      <c r="D793">
        <v>12</v>
      </c>
      <c r="E793" t="str">
        <f>_xlfn.XLOOKUP(B793,Tableau13[ID_Antenne],Tableau13[Technologie],"Non répertoriées")</f>
        <v>Non répertoriées</v>
      </c>
      <c r="F793" t="str">
        <f>_xlfn.XLOOKUP(B793,Tableau13[ID_Antenne],Tableau13[Latitude],"Non répertoriées")</f>
        <v>Non répertoriées</v>
      </c>
      <c r="G793" t="str">
        <f>_xlfn.XLOOKUP(B793,Tableau13[ID_Antenne],Tableau13[Longitude],"Non répertoriées")</f>
        <v>Non répertoriées</v>
      </c>
      <c r="H793" t="s">
        <v>10</v>
      </c>
    </row>
    <row r="794" spans="1:8" x14ac:dyDescent="0.25">
      <c r="A794" s="1">
        <v>45206.515972222223</v>
      </c>
      <c r="B794" t="s">
        <v>658</v>
      </c>
      <c r="C794" s="29" t="str">
        <f>_xlfn.XLOOKUP(B794,Tableau13[ID_Antenne],Tableau13[Province_RDC],"Non répertoriées")</f>
        <v>Kinshasa</v>
      </c>
      <c r="D794">
        <v>108</v>
      </c>
      <c r="E794" s="31" t="str">
        <f>_xlfn.XLOOKUP(B794,Tableau13[ID_Antenne],Tableau13[Technologie],"Non répertoriées")</f>
        <v>3G</v>
      </c>
      <c r="F794" s="3">
        <f>_xlfn.XLOOKUP(B794,Tableau13[ID_Antenne],Tableau13[Latitude],"Non répertoriées")</f>
        <v>-10.227569000000001</v>
      </c>
      <c r="G794" s="32">
        <f>_xlfn.XLOOKUP(B794,Tableau13[ID_Antenne],Tableau13[Longitude],"Non répertoriées")</f>
        <v>18.887930999999998</v>
      </c>
      <c r="H794" t="s">
        <v>5</v>
      </c>
    </row>
    <row r="795" spans="1:8" x14ac:dyDescent="0.25">
      <c r="A795" s="1">
        <v>45221.861805555563</v>
      </c>
      <c r="B795" t="s">
        <v>659</v>
      </c>
      <c r="C795" s="29" t="str">
        <f>_xlfn.XLOOKUP(B795,Tableau13[ID_Antenne],Tableau13[Province_RDC],"Non répertoriées")</f>
        <v>Tanganyika</v>
      </c>
      <c r="D795">
        <v>65</v>
      </c>
      <c r="E795" s="31" t="str">
        <f>_xlfn.XLOOKUP(B795,Tableau13[ID_Antenne],Tableau13[Technologie],"Non répertoriées")</f>
        <v>4G</v>
      </c>
      <c r="F795" s="3">
        <f>_xlfn.XLOOKUP(B795,Tableau13[ID_Antenne],Tableau13[Latitude],"Non répertoriées")</f>
        <v>-3.9148719999999999</v>
      </c>
      <c r="G795" s="32">
        <f>_xlfn.XLOOKUP(B795,Tableau13[ID_Antenne],Tableau13[Longitude],"Non répertoriées")</f>
        <v>12.260933</v>
      </c>
      <c r="H795" t="s">
        <v>5</v>
      </c>
    </row>
    <row r="796" spans="1:8" x14ac:dyDescent="0.25">
      <c r="A796" s="1">
        <v>45202.775694444441</v>
      </c>
      <c r="B796" t="s">
        <v>531</v>
      </c>
      <c r="C796" s="29" t="str">
        <f>_xlfn.XLOOKUP(B796,Tableau13[ID_Antenne],Tableau13[Province_RDC],"Non répertoriées")</f>
        <v>Kongo-Central</v>
      </c>
      <c r="D796">
        <v>72</v>
      </c>
      <c r="E796" s="31" t="str">
        <f>_xlfn.XLOOKUP(B796,Tableau13[ID_Antenne],Tableau13[Technologie],"Non répertoriées")</f>
        <v>3G</v>
      </c>
      <c r="F796" s="3">
        <f>_xlfn.XLOOKUP(B796,Tableau13[ID_Antenne],Tableau13[Latitude],"Non répertoriées")</f>
        <v>1.981107</v>
      </c>
      <c r="G796" s="32">
        <f>_xlfn.XLOOKUP(B796,Tableau13[ID_Antenne],Tableau13[Longitude],"Non répertoriées")</f>
        <v>23.932569000000001</v>
      </c>
      <c r="H796" t="s">
        <v>5</v>
      </c>
    </row>
    <row r="797" spans="1:8" x14ac:dyDescent="0.25">
      <c r="A797" s="1">
        <v>45208.084027777782</v>
      </c>
      <c r="B797" t="s">
        <v>660</v>
      </c>
      <c r="C797" t="str">
        <f>_xlfn.XLOOKUP(B797,Tableau13[ID_Antenne],Tableau13[Province_RDC],"Non répertoriées")</f>
        <v>Non répertoriées</v>
      </c>
      <c r="D797">
        <v>50</v>
      </c>
      <c r="E797" t="str">
        <f>_xlfn.XLOOKUP(B797,Tableau13[ID_Antenne],Tableau13[Technologie],"Non répertoriées")</f>
        <v>Non répertoriées</v>
      </c>
      <c r="F797" t="str">
        <f>_xlfn.XLOOKUP(B797,Tableau13[ID_Antenne],Tableau13[Latitude],"Non répertoriées")</f>
        <v>Non répertoriées</v>
      </c>
      <c r="G797" t="str">
        <f>_xlfn.XLOOKUP(B797,Tableau13[ID_Antenne],Tableau13[Longitude],"Non répertoriées")</f>
        <v>Non répertoriées</v>
      </c>
      <c r="H797" t="s">
        <v>8</v>
      </c>
    </row>
    <row r="798" spans="1:8" x14ac:dyDescent="0.25">
      <c r="A798" s="1">
        <v>45202.289583333331</v>
      </c>
      <c r="B798" t="s">
        <v>140</v>
      </c>
      <c r="C798" t="str">
        <f>_xlfn.XLOOKUP(B798,Tableau13[ID_Antenne],Tableau13[Province_RDC],"Non répertoriées")</f>
        <v>Non répertoriées</v>
      </c>
      <c r="D798">
        <v>103</v>
      </c>
      <c r="E798" t="str">
        <f>_xlfn.XLOOKUP(B798,Tableau13[ID_Antenne],Tableau13[Technologie],"Non répertoriées")</f>
        <v>Non répertoriées</v>
      </c>
      <c r="F798" t="str">
        <f>_xlfn.XLOOKUP(B798,Tableau13[ID_Antenne],Tableau13[Latitude],"Non répertoriées")</f>
        <v>Non répertoriées</v>
      </c>
      <c r="G798" t="str">
        <f>_xlfn.XLOOKUP(B798,Tableau13[ID_Antenne],Tableau13[Longitude],"Non répertoriées")</f>
        <v>Non répertoriées</v>
      </c>
      <c r="H798" t="s">
        <v>8</v>
      </c>
    </row>
    <row r="799" spans="1:8" x14ac:dyDescent="0.25">
      <c r="A799" s="1">
        <v>45220.618750000001</v>
      </c>
      <c r="B799" t="s">
        <v>542</v>
      </c>
      <c r="C799" s="29" t="str">
        <f>_xlfn.XLOOKUP(B799,Tableau13[ID_Antenne],Tableau13[Province_RDC],"Non répertoriées")</f>
        <v>Sud-Kivu</v>
      </c>
      <c r="D799">
        <v>79</v>
      </c>
      <c r="E799" s="31" t="str">
        <f>_xlfn.XLOOKUP(B799,Tableau13[ID_Antenne],Tableau13[Technologie],"Non répertoriées")</f>
        <v>3G</v>
      </c>
      <c r="F799" s="3">
        <f>_xlfn.XLOOKUP(B799,Tableau13[ID_Antenne],Tableau13[Latitude],"Non répertoriées")</f>
        <v>-1.4700059999999999</v>
      </c>
      <c r="G799" s="32">
        <f>_xlfn.XLOOKUP(B799,Tableau13[ID_Antenne],Tableau13[Longitude],"Non répertoriées")</f>
        <v>18.680958</v>
      </c>
      <c r="H799" t="s">
        <v>5</v>
      </c>
    </row>
    <row r="800" spans="1:8" x14ac:dyDescent="0.25">
      <c r="A800" s="1">
        <v>45204.122916666667</v>
      </c>
      <c r="B800" t="s">
        <v>462</v>
      </c>
      <c r="C800" s="29" t="str">
        <f>_xlfn.XLOOKUP(B800,Tableau13[ID_Antenne],Tableau13[Province_RDC],"Non répertoriées")</f>
        <v>Equateur</v>
      </c>
      <c r="D800">
        <v>34</v>
      </c>
      <c r="E800" s="31" t="str">
        <f>_xlfn.XLOOKUP(B800,Tableau13[ID_Antenne],Tableau13[Technologie],"Non répertoriées")</f>
        <v>5G</v>
      </c>
      <c r="F800" s="3">
        <f>_xlfn.XLOOKUP(B800,Tableau13[ID_Antenne],Tableau13[Latitude],"Non répertoriées")</f>
        <v>-6.1490739999999997</v>
      </c>
      <c r="G800" s="32">
        <f>_xlfn.XLOOKUP(B800,Tableau13[ID_Antenne],Tableau13[Longitude],"Non répertoriées")</f>
        <v>23.304411000000002</v>
      </c>
      <c r="H800" t="s">
        <v>5</v>
      </c>
    </row>
    <row r="801" spans="1:8" x14ac:dyDescent="0.25">
      <c r="A801" s="1">
        <v>45227.421527777777</v>
      </c>
      <c r="B801" t="s">
        <v>525</v>
      </c>
      <c r="C801" t="str">
        <f>_xlfn.XLOOKUP(B801,Tableau13[ID_Antenne],Tableau13[Province_RDC],"Non répertoriées")</f>
        <v>Non répertoriées</v>
      </c>
      <c r="D801">
        <v>25</v>
      </c>
      <c r="E801" t="str">
        <f>_xlfn.XLOOKUP(B801,Tableau13[ID_Antenne],Tableau13[Technologie],"Non répertoriées")</f>
        <v>Non répertoriées</v>
      </c>
      <c r="F801" t="str">
        <f>_xlfn.XLOOKUP(B801,Tableau13[ID_Antenne],Tableau13[Latitude],"Non répertoriées")</f>
        <v>Non répertoriées</v>
      </c>
      <c r="G801" t="str">
        <f>_xlfn.XLOOKUP(B801,Tableau13[ID_Antenne],Tableau13[Longitude],"Non répertoriées")</f>
        <v>Non répertoriées</v>
      </c>
      <c r="H801" t="s">
        <v>8</v>
      </c>
    </row>
    <row r="802" spans="1:8" x14ac:dyDescent="0.25">
      <c r="A802" s="1">
        <v>45201.585416666669</v>
      </c>
      <c r="B802" t="s">
        <v>661</v>
      </c>
      <c r="C802" t="str">
        <f>_xlfn.XLOOKUP(B802,Tableau13[ID_Antenne],Tableau13[Province_RDC],"Non répertoriées")</f>
        <v>Non répertoriées</v>
      </c>
      <c r="D802">
        <v>17</v>
      </c>
      <c r="E802" t="str">
        <f>_xlfn.XLOOKUP(B802,Tableau13[ID_Antenne],Tableau13[Technologie],"Non répertoriées")</f>
        <v>Non répertoriées</v>
      </c>
      <c r="F802" t="str">
        <f>_xlfn.XLOOKUP(B802,Tableau13[ID_Antenne],Tableau13[Latitude],"Non répertoriées")</f>
        <v>Non répertoriées</v>
      </c>
      <c r="G802" t="str">
        <f>_xlfn.XLOOKUP(B802,Tableau13[ID_Antenne],Tableau13[Longitude],"Non répertoriées")</f>
        <v>Non répertoriées</v>
      </c>
      <c r="H802" t="s">
        <v>10</v>
      </c>
    </row>
    <row r="803" spans="1:8" x14ac:dyDescent="0.25">
      <c r="A803" s="1">
        <v>45205.768750000003</v>
      </c>
      <c r="B803" t="s">
        <v>662</v>
      </c>
      <c r="C803" s="29" t="str">
        <f>_xlfn.XLOOKUP(B803,Tableau13[ID_Antenne],Tableau13[Province_RDC],"Non répertoriées")</f>
        <v>Kongo-Central</v>
      </c>
      <c r="D803">
        <v>36</v>
      </c>
      <c r="E803" s="31" t="str">
        <f>_xlfn.XLOOKUP(B803,Tableau13[ID_Antenne],Tableau13[Technologie],"Non répertoriées")</f>
        <v>3G</v>
      </c>
      <c r="F803" s="3">
        <f>_xlfn.XLOOKUP(B803,Tableau13[ID_Antenne],Tableau13[Latitude],"Non répertoriées")</f>
        <v>-0.469945</v>
      </c>
      <c r="G803" s="32">
        <f>_xlfn.XLOOKUP(B803,Tableau13[ID_Antenne],Tableau13[Longitude],"Non répertoriées")</f>
        <v>21.038527999999999</v>
      </c>
      <c r="H803" t="s">
        <v>5</v>
      </c>
    </row>
    <row r="804" spans="1:8" x14ac:dyDescent="0.25">
      <c r="A804" s="1">
        <v>45226.975694444453</v>
      </c>
      <c r="B804" t="s">
        <v>187</v>
      </c>
      <c r="C804" t="str">
        <f>_xlfn.XLOOKUP(B804,Tableau13[ID_Antenne],Tableau13[Province_RDC],"Non répertoriées")</f>
        <v>Non répertoriées</v>
      </c>
      <c r="D804">
        <v>89</v>
      </c>
      <c r="E804" t="str">
        <f>_xlfn.XLOOKUP(B804,Tableau13[ID_Antenne],Tableau13[Technologie],"Non répertoriées")</f>
        <v>Non répertoriées</v>
      </c>
      <c r="F804" t="str">
        <f>_xlfn.XLOOKUP(B804,Tableau13[ID_Antenne],Tableau13[Latitude],"Non répertoriées")</f>
        <v>Non répertoriées</v>
      </c>
      <c r="G804" t="str">
        <f>_xlfn.XLOOKUP(B804,Tableau13[ID_Antenne],Tableau13[Longitude],"Non répertoriées")</f>
        <v>Non répertoriées</v>
      </c>
      <c r="H804" t="s">
        <v>10</v>
      </c>
    </row>
    <row r="805" spans="1:8" x14ac:dyDescent="0.25">
      <c r="A805" s="1">
        <v>45215.01666666667</v>
      </c>
      <c r="B805" t="s">
        <v>663</v>
      </c>
      <c r="C805" t="str">
        <f>_xlfn.XLOOKUP(B805,Tableau13[ID_Antenne],Tableau13[Province_RDC],"Non répertoriées")</f>
        <v>Non répertoriées</v>
      </c>
      <c r="D805">
        <v>35</v>
      </c>
      <c r="E805" t="str">
        <f>_xlfn.XLOOKUP(B805,Tableau13[ID_Antenne],Tableau13[Technologie],"Non répertoriées")</f>
        <v>Non répertoriées</v>
      </c>
      <c r="F805" t="str">
        <f>_xlfn.XLOOKUP(B805,Tableau13[ID_Antenne],Tableau13[Latitude],"Non répertoriées")</f>
        <v>Non répertoriées</v>
      </c>
      <c r="G805" t="str">
        <f>_xlfn.XLOOKUP(B805,Tableau13[ID_Antenne],Tableau13[Longitude],"Non répertoriées")</f>
        <v>Non répertoriées</v>
      </c>
      <c r="H805" t="s">
        <v>8</v>
      </c>
    </row>
    <row r="806" spans="1:8" x14ac:dyDescent="0.25">
      <c r="A806" s="1">
        <v>45221.549305555563</v>
      </c>
      <c r="B806" t="s">
        <v>664</v>
      </c>
      <c r="C806" t="str">
        <f>_xlfn.XLOOKUP(B806,Tableau13[ID_Antenne],Tableau13[Province_RDC],"Non répertoriées")</f>
        <v>Non répertoriées</v>
      </c>
      <c r="D806">
        <v>39</v>
      </c>
      <c r="E806" t="str">
        <f>_xlfn.XLOOKUP(B806,Tableau13[ID_Antenne],Tableau13[Technologie],"Non répertoriées")</f>
        <v>Non répertoriées</v>
      </c>
      <c r="F806" t="str">
        <f>_xlfn.XLOOKUP(B806,Tableau13[ID_Antenne],Tableau13[Latitude],"Non répertoriées")</f>
        <v>Non répertoriées</v>
      </c>
      <c r="G806" t="str">
        <f>_xlfn.XLOOKUP(B806,Tableau13[ID_Antenne],Tableau13[Longitude],"Non répertoriées")</f>
        <v>Non répertoriées</v>
      </c>
      <c r="H806" t="s">
        <v>8</v>
      </c>
    </row>
    <row r="807" spans="1:8" x14ac:dyDescent="0.25">
      <c r="A807" s="1">
        <v>45211.290277777778</v>
      </c>
      <c r="B807" t="s">
        <v>548</v>
      </c>
      <c r="C807" t="str">
        <f>_xlfn.XLOOKUP(B807,Tableau13[ID_Antenne],Tableau13[Province_RDC],"Non répertoriées")</f>
        <v>Non répertoriées</v>
      </c>
      <c r="D807">
        <v>73</v>
      </c>
      <c r="E807" t="str">
        <f>_xlfn.XLOOKUP(B807,Tableau13[ID_Antenne],Tableau13[Technologie],"Non répertoriées")</f>
        <v>Non répertoriées</v>
      </c>
      <c r="F807" t="str">
        <f>_xlfn.XLOOKUP(B807,Tableau13[ID_Antenne],Tableau13[Latitude],"Non répertoriées")</f>
        <v>Non répertoriées</v>
      </c>
      <c r="G807" t="str">
        <f>_xlfn.XLOOKUP(B807,Tableau13[ID_Antenne],Tableau13[Longitude],"Non répertoriées")</f>
        <v>Non répertoriées</v>
      </c>
      <c r="H807" t="s">
        <v>10</v>
      </c>
    </row>
    <row r="808" spans="1:8" x14ac:dyDescent="0.25">
      <c r="A808" s="1">
        <v>45205.345138888893</v>
      </c>
      <c r="B808" t="s">
        <v>174</v>
      </c>
      <c r="C808" s="29" t="str">
        <f>_xlfn.XLOOKUP(B808,Tableau13[ID_Antenne],Tableau13[Province_RDC],"Non répertoriées")</f>
        <v>Lomami</v>
      </c>
      <c r="D808">
        <v>109</v>
      </c>
      <c r="E808" s="31" t="str">
        <f>_xlfn.XLOOKUP(B808,Tableau13[ID_Antenne],Tableau13[Technologie],"Non répertoriées")</f>
        <v>3G</v>
      </c>
      <c r="F808" s="3">
        <f>_xlfn.XLOOKUP(B808,Tableau13[ID_Antenne],Tableau13[Latitude],"Non répertoriées")</f>
        <v>-2.2681789999999999</v>
      </c>
      <c r="G808" s="32">
        <f>_xlfn.XLOOKUP(B808,Tableau13[ID_Antenne],Tableau13[Longitude],"Non répertoriées")</f>
        <v>25.699068</v>
      </c>
      <c r="H808" t="s">
        <v>8</v>
      </c>
    </row>
    <row r="809" spans="1:8" x14ac:dyDescent="0.25">
      <c r="A809" s="1">
        <v>45214.168055555558</v>
      </c>
      <c r="B809" t="s">
        <v>665</v>
      </c>
      <c r="C809" s="29" t="str">
        <f>_xlfn.XLOOKUP(B809,Tableau13[ID_Antenne],Tableau13[Province_RDC],"Non répertoriées")</f>
        <v>Sud-Kivu</v>
      </c>
      <c r="D809">
        <v>106</v>
      </c>
      <c r="E809" s="31" t="str">
        <f>_xlfn.XLOOKUP(B809,Tableau13[ID_Antenne],Tableau13[Technologie],"Non répertoriées")</f>
        <v>5G</v>
      </c>
      <c r="F809" s="3">
        <f>_xlfn.XLOOKUP(B809,Tableau13[ID_Antenne],Tableau13[Latitude],"Non répertoriées")</f>
        <v>-11.207139</v>
      </c>
      <c r="G809" s="32">
        <f>_xlfn.XLOOKUP(B809,Tableau13[ID_Antenne],Tableau13[Longitude],"Non répertoriées")</f>
        <v>18.702511999999999</v>
      </c>
      <c r="H809" t="s">
        <v>5</v>
      </c>
    </row>
    <row r="810" spans="1:8" x14ac:dyDescent="0.25">
      <c r="A810" s="1">
        <v>45219.818749999999</v>
      </c>
      <c r="B810" t="s">
        <v>183</v>
      </c>
      <c r="C810" t="str">
        <f>_xlfn.XLOOKUP(B810,Tableau13[ID_Antenne],Tableau13[Province_RDC],"Non répertoriées")</f>
        <v>Non répertoriées</v>
      </c>
      <c r="D810">
        <v>99</v>
      </c>
      <c r="E810" t="str">
        <f>_xlfn.XLOOKUP(B810,Tableau13[ID_Antenne],Tableau13[Technologie],"Non répertoriées")</f>
        <v>Non répertoriées</v>
      </c>
      <c r="F810" t="str">
        <f>_xlfn.XLOOKUP(B810,Tableau13[ID_Antenne],Tableau13[Latitude],"Non répertoriées")</f>
        <v>Non répertoriées</v>
      </c>
      <c r="G810" t="str">
        <f>_xlfn.XLOOKUP(B810,Tableau13[ID_Antenne],Tableau13[Longitude],"Non répertoriées")</f>
        <v>Non répertoriées</v>
      </c>
      <c r="H810" t="s">
        <v>10</v>
      </c>
    </row>
    <row r="811" spans="1:8" x14ac:dyDescent="0.25">
      <c r="A811" s="1">
        <v>45207.845833333333</v>
      </c>
      <c r="B811" t="s">
        <v>217</v>
      </c>
      <c r="C811" t="str">
        <f>_xlfn.XLOOKUP(B811,Tableau13[ID_Antenne],Tableau13[Province_RDC],"Non répertoriées")</f>
        <v>Non répertoriées</v>
      </c>
      <c r="D811">
        <v>12</v>
      </c>
      <c r="E811" t="str">
        <f>_xlfn.XLOOKUP(B811,Tableau13[ID_Antenne],Tableau13[Technologie],"Non répertoriées")</f>
        <v>Non répertoriées</v>
      </c>
      <c r="F811" t="str">
        <f>_xlfn.XLOOKUP(B811,Tableau13[ID_Antenne],Tableau13[Latitude],"Non répertoriées")</f>
        <v>Non répertoriées</v>
      </c>
      <c r="G811" t="str">
        <f>_xlfn.XLOOKUP(B811,Tableau13[ID_Antenne],Tableau13[Longitude],"Non répertoriées")</f>
        <v>Non répertoriées</v>
      </c>
      <c r="H811" t="s">
        <v>10</v>
      </c>
    </row>
    <row r="812" spans="1:8" x14ac:dyDescent="0.25">
      <c r="A812" s="1">
        <v>45215.580555555563</v>
      </c>
      <c r="B812" t="s">
        <v>230</v>
      </c>
      <c r="C812" s="29" t="str">
        <f>_xlfn.XLOOKUP(B812,Tableau13[ID_Antenne],Tableau13[Province_RDC],"Non répertoriées")</f>
        <v>Tshopo</v>
      </c>
      <c r="D812">
        <v>102</v>
      </c>
      <c r="E812" s="31" t="str">
        <f>_xlfn.XLOOKUP(B812,Tableau13[ID_Antenne],Tableau13[Technologie],"Non répertoriées")</f>
        <v>5G</v>
      </c>
      <c r="F812" s="3">
        <f>_xlfn.XLOOKUP(B812,Tableau13[ID_Antenne],Tableau13[Latitude],"Non répertoriées")</f>
        <v>2.4425979999999998</v>
      </c>
      <c r="G812" s="32">
        <f>_xlfn.XLOOKUP(B812,Tableau13[ID_Antenne],Tableau13[Longitude],"Non répertoriées")</f>
        <v>24.924308</v>
      </c>
      <c r="H812" t="s">
        <v>10</v>
      </c>
    </row>
    <row r="813" spans="1:8" x14ac:dyDescent="0.25">
      <c r="A813" s="1">
        <v>45217.627083333333</v>
      </c>
      <c r="B813" t="s">
        <v>151</v>
      </c>
      <c r="C813" s="29" t="str">
        <f>_xlfn.XLOOKUP(B813,Tableau13[ID_Antenne],Tableau13[Province_RDC],"Non répertoriées")</f>
        <v>Haut-Uele</v>
      </c>
      <c r="D813">
        <v>33</v>
      </c>
      <c r="E813" s="31" t="str">
        <f>_xlfn.XLOOKUP(B813,Tableau13[ID_Antenne],Tableau13[Technologie],"Non répertoriées")</f>
        <v>3G</v>
      </c>
      <c r="F813" s="3">
        <f>_xlfn.XLOOKUP(B813,Tableau13[ID_Antenne],Tableau13[Latitude],"Non répertoriées")</f>
        <v>-1.8045979999999999</v>
      </c>
      <c r="G813" s="32">
        <f>_xlfn.XLOOKUP(B813,Tableau13[ID_Antenne],Tableau13[Longitude],"Non répertoriées")</f>
        <v>12.511096999999999</v>
      </c>
      <c r="H813" t="s">
        <v>5</v>
      </c>
    </row>
    <row r="814" spans="1:8" x14ac:dyDescent="0.25">
      <c r="A814" s="1">
        <v>45202.35</v>
      </c>
      <c r="B814" t="s">
        <v>666</v>
      </c>
      <c r="C814" s="29" t="str">
        <f>_xlfn.XLOOKUP(B814,Tableau13[ID_Antenne],Tableau13[Province_RDC],"Non répertoriées")</f>
        <v>Mongala</v>
      </c>
      <c r="D814">
        <v>78</v>
      </c>
      <c r="E814" s="31" t="str">
        <f>_xlfn.XLOOKUP(B814,Tableau13[ID_Antenne],Tableau13[Technologie],"Non répertoriées")</f>
        <v>3G</v>
      </c>
      <c r="F814" s="3">
        <f>_xlfn.XLOOKUP(B814,Tableau13[ID_Antenne],Tableau13[Latitude],"Non répertoriées")</f>
        <v>4.0988100000000003</v>
      </c>
      <c r="G814" s="32">
        <f>_xlfn.XLOOKUP(B814,Tableau13[ID_Antenne],Tableau13[Longitude],"Non répertoriées")</f>
        <v>29.843810999999999</v>
      </c>
      <c r="H814" t="s">
        <v>5</v>
      </c>
    </row>
    <row r="815" spans="1:8" x14ac:dyDescent="0.25">
      <c r="A815" s="1">
        <v>45204.55</v>
      </c>
      <c r="B815" t="s">
        <v>224</v>
      </c>
      <c r="C815" s="29" t="str">
        <f>_xlfn.XLOOKUP(B815,Tableau13[ID_Antenne],Tableau13[Province_RDC],"Non répertoriées")</f>
        <v>Kongo-Central</v>
      </c>
      <c r="D815">
        <v>113</v>
      </c>
      <c r="E815" s="31" t="str">
        <f>_xlfn.XLOOKUP(B815,Tableau13[ID_Antenne],Tableau13[Technologie],"Non répertoriées")</f>
        <v>4G</v>
      </c>
      <c r="F815" s="3">
        <f>_xlfn.XLOOKUP(B815,Tableau13[ID_Antenne],Tableau13[Latitude],"Non répertoriées")</f>
        <v>2.975352</v>
      </c>
      <c r="G815" s="32">
        <f>_xlfn.XLOOKUP(B815,Tableau13[ID_Antenne],Tableau13[Longitude],"Non répertoriées")</f>
        <v>22.535886000000001</v>
      </c>
      <c r="H815" t="s">
        <v>8</v>
      </c>
    </row>
    <row r="816" spans="1:8" x14ac:dyDescent="0.25">
      <c r="A816" s="1">
        <v>45220.677083333343</v>
      </c>
      <c r="B816" t="s">
        <v>667</v>
      </c>
      <c r="C816" s="29" t="str">
        <f>_xlfn.XLOOKUP(B816,Tableau13[ID_Antenne],Tableau13[Province_RDC],"Non répertoriées")</f>
        <v>Tshopo</v>
      </c>
      <c r="D816">
        <v>107</v>
      </c>
      <c r="E816" s="31" t="str">
        <f>_xlfn.XLOOKUP(B816,Tableau13[ID_Antenne],Tableau13[Technologie],"Non répertoriées")</f>
        <v>4G</v>
      </c>
      <c r="F816" s="3">
        <f>_xlfn.XLOOKUP(B816,Tableau13[ID_Antenne],Tableau13[Latitude],"Non répertoriées")</f>
        <v>-6.4670189999999996</v>
      </c>
      <c r="G816" s="32">
        <f>_xlfn.XLOOKUP(B816,Tableau13[ID_Antenne],Tableau13[Longitude],"Non répertoriées")</f>
        <v>29.487309</v>
      </c>
      <c r="H816" t="s">
        <v>10</v>
      </c>
    </row>
    <row r="817" spans="1:8" x14ac:dyDescent="0.25">
      <c r="A817" s="1">
        <v>45220.743055555547</v>
      </c>
      <c r="B817" t="s">
        <v>384</v>
      </c>
      <c r="C817" s="29" t="str">
        <f>_xlfn.XLOOKUP(B817,Tableau13[ID_Antenne],Tableau13[Province_RDC],"Non répertoriées")</f>
        <v>Nord-Kivu</v>
      </c>
      <c r="D817">
        <v>54</v>
      </c>
      <c r="E817" s="31" t="str">
        <f>_xlfn.XLOOKUP(B817,Tableau13[ID_Antenne],Tableau13[Technologie],"Non répertoriées")</f>
        <v>5G</v>
      </c>
      <c r="F817" s="3">
        <f>_xlfn.XLOOKUP(B817,Tableau13[ID_Antenne],Tableau13[Latitude],"Non répertoriées")</f>
        <v>-5.42171</v>
      </c>
      <c r="G817" s="32">
        <f>_xlfn.XLOOKUP(B817,Tableau13[ID_Antenne],Tableau13[Longitude],"Non répertoriées")</f>
        <v>24.202960999999998</v>
      </c>
      <c r="H817" t="s">
        <v>8</v>
      </c>
    </row>
    <row r="818" spans="1:8" x14ac:dyDescent="0.25">
      <c r="A818" s="1">
        <v>45200.534722222219</v>
      </c>
      <c r="B818" t="s">
        <v>668</v>
      </c>
      <c r="C818" s="29" t="str">
        <f>_xlfn.XLOOKUP(B818,Tableau13[ID_Antenne],Tableau13[Province_RDC],"Non répertoriées")</f>
        <v>Tshuapa</v>
      </c>
      <c r="D818">
        <v>50</v>
      </c>
      <c r="E818" s="31" t="str">
        <f>_xlfn.XLOOKUP(B818,Tableau13[ID_Antenne],Tableau13[Technologie],"Non répertoriées")</f>
        <v>3G</v>
      </c>
      <c r="F818" s="3">
        <f>_xlfn.XLOOKUP(B818,Tableau13[ID_Antenne],Tableau13[Latitude],"Non répertoriées")</f>
        <v>-7.7587710000000003</v>
      </c>
      <c r="G818" s="32">
        <f>_xlfn.XLOOKUP(B818,Tableau13[ID_Antenne],Tableau13[Longitude],"Non répertoriées")</f>
        <v>17.880848</v>
      </c>
      <c r="H818" t="s">
        <v>10</v>
      </c>
    </row>
    <row r="819" spans="1:8" x14ac:dyDescent="0.25">
      <c r="A819" s="1">
        <v>45222.479166666657</v>
      </c>
      <c r="B819" t="s">
        <v>669</v>
      </c>
      <c r="C819" s="29" t="str">
        <f>_xlfn.XLOOKUP(B819,Tableau13[ID_Antenne],Tableau13[Province_RDC],"Non répertoriées")</f>
        <v>Haut-Uele</v>
      </c>
      <c r="D819">
        <v>112</v>
      </c>
      <c r="E819" s="31" t="str">
        <f>_xlfn.XLOOKUP(B819,Tableau13[ID_Antenne],Tableau13[Technologie],"Non répertoriées")</f>
        <v>5G</v>
      </c>
      <c r="F819" s="3">
        <f>_xlfn.XLOOKUP(B819,Tableau13[ID_Antenne],Tableau13[Latitude],"Non répertoriées")</f>
        <v>-8.8118569999999998</v>
      </c>
      <c r="G819" s="32">
        <f>_xlfn.XLOOKUP(B819,Tableau13[ID_Antenne],Tableau13[Longitude],"Non répertoriées")</f>
        <v>14.465711000000001</v>
      </c>
      <c r="H819" t="s">
        <v>8</v>
      </c>
    </row>
    <row r="820" spans="1:8" x14ac:dyDescent="0.25">
      <c r="A820" s="1">
        <v>45217.640277777777</v>
      </c>
      <c r="B820" t="s">
        <v>549</v>
      </c>
      <c r="C820" t="str">
        <f>_xlfn.XLOOKUP(B820,Tableau13[ID_Antenne],Tableau13[Province_RDC],"Non répertoriées")</f>
        <v>Non répertoriées</v>
      </c>
      <c r="D820">
        <v>113</v>
      </c>
      <c r="E820" t="str">
        <f>_xlfn.XLOOKUP(B820,Tableau13[ID_Antenne],Tableau13[Technologie],"Non répertoriées")</f>
        <v>Non répertoriées</v>
      </c>
      <c r="F820" t="str">
        <f>_xlfn.XLOOKUP(B820,Tableau13[ID_Antenne],Tableau13[Latitude],"Non répertoriées")</f>
        <v>Non répertoriées</v>
      </c>
      <c r="G820" t="str">
        <f>_xlfn.XLOOKUP(B820,Tableau13[ID_Antenne],Tableau13[Longitude],"Non répertoriées")</f>
        <v>Non répertoriées</v>
      </c>
      <c r="H820" t="s">
        <v>10</v>
      </c>
    </row>
    <row r="821" spans="1:8" x14ac:dyDescent="0.25">
      <c r="A821" s="1">
        <v>45229.772222222222</v>
      </c>
      <c r="B821" t="s">
        <v>444</v>
      </c>
      <c r="C821" t="str">
        <f>_xlfn.XLOOKUP(B821,Tableau13[ID_Antenne],Tableau13[Province_RDC],"Non répertoriées")</f>
        <v>Non répertoriées</v>
      </c>
      <c r="D821">
        <v>27</v>
      </c>
      <c r="E821" t="str">
        <f>_xlfn.XLOOKUP(B821,Tableau13[ID_Antenne],Tableau13[Technologie],"Non répertoriées")</f>
        <v>Non répertoriées</v>
      </c>
      <c r="F821" t="str">
        <f>_xlfn.XLOOKUP(B821,Tableau13[ID_Antenne],Tableau13[Latitude],"Non répertoriées")</f>
        <v>Non répertoriées</v>
      </c>
      <c r="G821" t="str">
        <f>_xlfn.XLOOKUP(B821,Tableau13[ID_Antenne],Tableau13[Longitude],"Non répertoriées")</f>
        <v>Non répertoriées</v>
      </c>
      <c r="H821" t="s">
        <v>5</v>
      </c>
    </row>
    <row r="822" spans="1:8" x14ac:dyDescent="0.25">
      <c r="A822" s="1">
        <v>45210.511805555558</v>
      </c>
      <c r="B822" t="s">
        <v>670</v>
      </c>
      <c r="C822" t="str">
        <f>_xlfn.XLOOKUP(B822,Tableau13[ID_Antenne],Tableau13[Province_RDC],"Non répertoriées")</f>
        <v>Non répertoriées</v>
      </c>
      <c r="D822">
        <v>27</v>
      </c>
      <c r="E822" t="str">
        <f>_xlfn.XLOOKUP(B822,Tableau13[ID_Antenne],Tableau13[Technologie],"Non répertoriées")</f>
        <v>Non répertoriées</v>
      </c>
      <c r="F822" t="str">
        <f>_xlfn.XLOOKUP(B822,Tableau13[ID_Antenne],Tableau13[Latitude],"Non répertoriées")</f>
        <v>Non répertoriées</v>
      </c>
      <c r="G822" t="str">
        <f>_xlfn.XLOOKUP(B822,Tableau13[ID_Antenne],Tableau13[Longitude],"Non répertoriées")</f>
        <v>Non répertoriées</v>
      </c>
      <c r="H822" t="s">
        <v>8</v>
      </c>
    </row>
    <row r="823" spans="1:8" x14ac:dyDescent="0.25">
      <c r="A823" s="1">
        <v>45205.013888888891</v>
      </c>
      <c r="B823" t="s">
        <v>36</v>
      </c>
      <c r="C823" s="29" t="str">
        <f>_xlfn.XLOOKUP(B823,Tableau13[ID_Antenne],Tableau13[Province_RDC],"Non répertoriées")</f>
        <v>Nord-Ubangi</v>
      </c>
      <c r="D823">
        <v>35</v>
      </c>
      <c r="E823" s="31" t="str">
        <f>_xlfn.XLOOKUP(B823,Tableau13[ID_Antenne],Tableau13[Technologie],"Non répertoriées")</f>
        <v>4G</v>
      </c>
      <c r="F823" s="3">
        <f>_xlfn.XLOOKUP(B823,Tableau13[ID_Antenne],Tableau13[Latitude],"Non répertoriées")</f>
        <v>-8.1437910000000002</v>
      </c>
      <c r="G823" s="32">
        <f>_xlfn.XLOOKUP(B823,Tableau13[ID_Antenne],Tableau13[Longitude],"Non répertoriées")</f>
        <v>28.946161</v>
      </c>
      <c r="H823" t="s">
        <v>8</v>
      </c>
    </row>
    <row r="824" spans="1:8" x14ac:dyDescent="0.25">
      <c r="A824" s="1">
        <v>45226.224999999999</v>
      </c>
      <c r="B824" t="s">
        <v>550</v>
      </c>
      <c r="C824" s="29" t="str">
        <f>_xlfn.XLOOKUP(B824,Tableau13[ID_Antenne],Tableau13[Province_RDC],"Non répertoriées")</f>
        <v>Sankuru</v>
      </c>
      <c r="D824">
        <v>11</v>
      </c>
      <c r="E824" s="31" t="str">
        <f>_xlfn.XLOOKUP(B824,Tableau13[ID_Antenne],Tableau13[Technologie],"Non répertoriées")</f>
        <v>4G</v>
      </c>
      <c r="F824" s="3">
        <f>_xlfn.XLOOKUP(B824,Tableau13[ID_Antenne],Tableau13[Latitude],"Non répertoriées")</f>
        <v>-0.157111</v>
      </c>
      <c r="G824" s="32">
        <f>_xlfn.XLOOKUP(B824,Tableau13[ID_Antenne],Tableau13[Longitude],"Non répertoriées")</f>
        <v>25.415125</v>
      </c>
      <c r="H824" t="s">
        <v>8</v>
      </c>
    </row>
    <row r="825" spans="1:8" x14ac:dyDescent="0.25">
      <c r="A825" s="1">
        <v>45209.988888888889</v>
      </c>
      <c r="B825" t="s">
        <v>462</v>
      </c>
      <c r="C825" s="29" t="str">
        <f>_xlfn.XLOOKUP(B825,Tableau13[ID_Antenne],Tableau13[Province_RDC],"Non répertoriées")</f>
        <v>Equateur</v>
      </c>
      <c r="D825">
        <v>51</v>
      </c>
      <c r="E825" s="31" t="str">
        <f>_xlfn.XLOOKUP(B825,Tableau13[ID_Antenne],Tableau13[Technologie],"Non répertoriées")</f>
        <v>5G</v>
      </c>
      <c r="F825" s="3">
        <f>_xlfn.XLOOKUP(B825,Tableau13[ID_Antenne],Tableau13[Latitude],"Non répertoriées")</f>
        <v>-6.1490739999999997</v>
      </c>
      <c r="G825" s="32">
        <f>_xlfn.XLOOKUP(B825,Tableau13[ID_Antenne],Tableau13[Longitude],"Non répertoriées")</f>
        <v>23.304411000000002</v>
      </c>
      <c r="H825" t="s">
        <v>8</v>
      </c>
    </row>
    <row r="826" spans="1:8" x14ac:dyDescent="0.25">
      <c r="A826" s="1">
        <v>45209.174305555563</v>
      </c>
      <c r="B826" t="s">
        <v>543</v>
      </c>
      <c r="C826" t="str">
        <f>_xlfn.XLOOKUP(B826,Tableau13[ID_Antenne],Tableau13[Province_RDC],"Non répertoriées")</f>
        <v>Non répertoriées</v>
      </c>
      <c r="D826">
        <v>5</v>
      </c>
      <c r="E826" t="str">
        <f>_xlfn.XLOOKUP(B826,Tableau13[ID_Antenne],Tableau13[Technologie],"Non répertoriées")</f>
        <v>Non répertoriées</v>
      </c>
      <c r="F826" t="str">
        <f>_xlfn.XLOOKUP(B826,Tableau13[ID_Antenne],Tableau13[Latitude],"Non répertoriées")</f>
        <v>Non répertoriées</v>
      </c>
      <c r="G826" t="str">
        <f>_xlfn.XLOOKUP(B826,Tableau13[ID_Antenne],Tableau13[Longitude],"Non répertoriées")</f>
        <v>Non répertoriées</v>
      </c>
      <c r="H826" t="s">
        <v>5</v>
      </c>
    </row>
    <row r="827" spans="1:8" x14ac:dyDescent="0.25">
      <c r="A827" s="1">
        <v>45223.030555555553</v>
      </c>
      <c r="B827" t="s">
        <v>551</v>
      </c>
      <c r="C827" t="str">
        <f>_xlfn.XLOOKUP(B827,Tableau13[ID_Antenne],Tableau13[Province_RDC],"Non répertoriées")</f>
        <v>Non répertoriées</v>
      </c>
      <c r="D827">
        <v>59</v>
      </c>
      <c r="E827" t="str">
        <f>_xlfn.XLOOKUP(B827,Tableau13[ID_Antenne],Tableau13[Technologie],"Non répertoriées")</f>
        <v>Non répertoriées</v>
      </c>
      <c r="F827" t="str">
        <f>_xlfn.XLOOKUP(B827,Tableau13[ID_Antenne],Tableau13[Latitude],"Non répertoriées")</f>
        <v>Non répertoriées</v>
      </c>
      <c r="G827" t="str">
        <f>_xlfn.XLOOKUP(B827,Tableau13[ID_Antenne],Tableau13[Longitude],"Non répertoriées")</f>
        <v>Non répertoriées</v>
      </c>
      <c r="H827" t="s">
        <v>5</v>
      </c>
    </row>
    <row r="828" spans="1:8" x14ac:dyDescent="0.25">
      <c r="A828" s="1">
        <v>45230.767361111109</v>
      </c>
      <c r="B828" t="s">
        <v>552</v>
      </c>
      <c r="C828" t="str">
        <f>_xlfn.XLOOKUP(B828,Tableau13[ID_Antenne],Tableau13[Province_RDC],"Non répertoriées")</f>
        <v>Non répertoriées</v>
      </c>
      <c r="D828">
        <v>16</v>
      </c>
      <c r="E828" t="str">
        <f>_xlfn.XLOOKUP(B828,Tableau13[ID_Antenne],Tableau13[Technologie],"Non répertoriées")</f>
        <v>Non répertoriées</v>
      </c>
      <c r="F828" t="str">
        <f>_xlfn.XLOOKUP(B828,Tableau13[ID_Antenne],Tableau13[Latitude],"Non répertoriées")</f>
        <v>Non répertoriées</v>
      </c>
      <c r="G828" t="str">
        <f>_xlfn.XLOOKUP(B828,Tableau13[ID_Antenne],Tableau13[Longitude],"Non répertoriées")</f>
        <v>Non répertoriées</v>
      </c>
      <c r="H828" t="s">
        <v>10</v>
      </c>
    </row>
    <row r="829" spans="1:8" x14ac:dyDescent="0.25">
      <c r="A829" s="1">
        <v>45227.751388888893</v>
      </c>
      <c r="B829" t="s">
        <v>451</v>
      </c>
      <c r="C829" s="29" t="str">
        <f>_xlfn.XLOOKUP(B829,Tableau13[ID_Antenne],Tableau13[Province_RDC],"Non répertoriées")</f>
        <v>Sud-Ubangi</v>
      </c>
      <c r="D829">
        <v>42</v>
      </c>
      <c r="E829" s="31" t="str">
        <f>_xlfn.XLOOKUP(B829,Tableau13[ID_Antenne],Tableau13[Technologie],"Non répertoriées")</f>
        <v>3G</v>
      </c>
      <c r="F829" s="3">
        <f>_xlfn.XLOOKUP(B829,Tableau13[ID_Antenne],Tableau13[Latitude],"Non répertoriées")</f>
        <v>-12.050063</v>
      </c>
      <c r="G829" s="32">
        <f>_xlfn.XLOOKUP(B829,Tableau13[ID_Antenne],Tableau13[Longitude],"Non répertoriées")</f>
        <v>26.636987999999999</v>
      </c>
      <c r="H829" t="s">
        <v>5</v>
      </c>
    </row>
    <row r="830" spans="1:8" x14ac:dyDescent="0.25">
      <c r="A830" s="1">
        <v>45205.805555555547</v>
      </c>
      <c r="B830" t="s">
        <v>553</v>
      </c>
      <c r="C830" t="str">
        <f>_xlfn.XLOOKUP(B830,Tableau13[ID_Antenne],Tableau13[Province_RDC],"Non répertoriées")</f>
        <v>Non répertoriées</v>
      </c>
      <c r="D830">
        <v>110</v>
      </c>
      <c r="E830" t="str">
        <f>_xlfn.XLOOKUP(B830,Tableau13[ID_Antenne],Tableau13[Technologie],"Non répertoriées")</f>
        <v>Non répertoriées</v>
      </c>
      <c r="F830" t="str">
        <f>_xlfn.XLOOKUP(B830,Tableau13[ID_Antenne],Tableau13[Latitude],"Non répertoriées")</f>
        <v>Non répertoriées</v>
      </c>
      <c r="G830" t="str">
        <f>_xlfn.XLOOKUP(B830,Tableau13[ID_Antenne],Tableau13[Longitude],"Non répertoriées")</f>
        <v>Non répertoriées</v>
      </c>
      <c r="H830" t="s">
        <v>5</v>
      </c>
    </row>
    <row r="831" spans="1:8" x14ac:dyDescent="0.25">
      <c r="A831" s="1">
        <v>45229.801388888889</v>
      </c>
      <c r="B831" t="s">
        <v>214</v>
      </c>
      <c r="C831" t="str">
        <f>_xlfn.XLOOKUP(B831,Tableau13[ID_Antenne],Tableau13[Province_RDC],"Non répertoriées")</f>
        <v>Non répertoriées</v>
      </c>
      <c r="D831">
        <v>89</v>
      </c>
      <c r="E831" t="str">
        <f>_xlfn.XLOOKUP(B831,Tableau13[ID_Antenne],Tableau13[Technologie],"Non répertoriées")</f>
        <v>Non répertoriées</v>
      </c>
      <c r="F831" t="str">
        <f>_xlfn.XLOOKUP(B831,Tableau13[ID_Antenne],Tableau13[Latitude],"Non répertoriées")</f>
        <v>Non répertoriées</v>
      </c>
      <c r="G831" t="str">
        <f>_xlfn.XLOOKUP(B831,Tableau13[ID_Antenne],Tableau13[Longitude],"Non répertoriées")</f>
        <v>Non répertoriées</v>
      </c>
      <c r="H831" t="s">
        <v>5</v>
      </c>
    </row>
    <row r="832" spans="1:8" x14ac:dyDescent="0.25">
      <c r="A832" s="1">
        <v>45220.754166666673</v>
      </c>
      <c r="B832" t="s">
        <v>142</v>
      </c>
      <c r="C832" s="29" t="str">
        <f>_xlfn.XLOOKUP(B832,Tableau13[ID_Antenne],Tableau13[Province_RDC],"Non répertoriées")</f>
        <v>Lualaba</v>
      </c>
      <c r="D832">
        <v>85</v>
      </c>
      <c r="E832" s="31" t="str">
        <f>_xlfn.XLOOKUP(B832,Tableau13[ID_Antenne],Tableau13[Technologie],"Non répertoriées")</f>
        <v>4G</v>
      </c>
      <c r="F832" s="3">
        <f>_xlfn.XLOOKUP(B832,Tableau13[ID_Antenne],Tableau13[Latitude],"Non répertoriées")</f>
        <v>-9.7803979999999999</v>
      </c>
      <c r="G832" s="32">
        <f>_xlfn.XLOOKUP(B832,Tableau13[ID_Antenne],Tableau13[Longitude],"Non répertoriées")</f>
        <v>17.686595000000001</v>
      </c>
      <c r="H832" t="s">
        <v>5</v>
      </c>
    </row>
    <row r="833" spans="1:8" x14ac:dyDescent="0.25">
      <c r="A833" s="1">
        <v>45229.631249999999</v>
      </c>
      <c r="B833" t="s">
        <v>554</v>
      </c>
      <c r="C833" s="29" t="str">
        <f>_xlfn.XLOOKUP(B833,Tableau13[ID_Antenne],Tableau13[Province_RDC],"Non répertoriées")</f>
        <v>Tshuapa</v>
      </c>
      <c r="D833">
        <v>81</v>
      </c>
      <c r="E833" s="31" t="str">
        <f>_xlfn.XLOOKUP(B833,Tableau13[ID_Antenne],Tableau13[Technologie],"Non répertoriées")</f>
        <v>5G</v>
      </c>
      <c r="F833" s="3">
        <f>_xlfn.XLOOKUP(B833,Tableau13[ID_Antenne],Tableau13[Latitude],"Non répertoriées")</f>
        <v>-10.574821</v>
      </c>
      <c r="G833" s="32">
        <f>_xlfn.XLOOKUP(B833,Tableau13[ID_Antenne],Tableau13[Longitude],"Non répertoriées")</f>
        <v>25.324966</v>
      </c>
      <c r="H833" t="s">
        <v>5</v>
      </c>
    </row>
    <row r="834" spans="1:8" x14ac:dyDescent="0.25">
      <c r="A834" s="1">
        <v>45210.961111111108</v>
      </c>
      <c r="B834" t="s">
        <v>167</v>
      </c>
      <c r="C834" s="29" t="str">
        <f>_xlfn.XLOOKUP(B834,Tableau13[ID_Antenne],Tableau13[Province_RDC],"Non répertoriées")</f>
        <v>Kinshasa</v>
      </c>
      <c r="D834">
        <v>66</v>
      </c>
      <c r="E834" s="31" t="str">
        <f>_xlfn.XLOOKUP(B834,Tableau13[ID_Antenne],Tableau13[Technologie],"Non répertoriées")</f>
        <v>5G</v>
      </c>
      <c r="F834" s="3">
        <f>_xlfn.XLOOKUP(B834,Tableau13[ID_Antenne],Tableau13[Latitude],"Non répertoriées")</f>
        <v>-11.991020000000001</v>
      </c>
      <c r="G834" s="32">
        <f>_xlfn.XLOOKUP(B834,Tableau13[ID_Antenne],Tableau13[Longitude],"Non répertoriées")</f>
        <v>22.514747</v>
      </c>
      <c r="H834" t="s">
        <v>5</v>
      </c>
    </row>
    <row r="835" spans="1:8" x14ac:dyDescent="0.25">
      <c r="A835" s="1">
        <v>45207.472222222219</v>
      </c>
      <c r="B835" t="s">
        <v>555</v>
      </c>
      <c r="C835" t="str">
        <f>_xlfn.XLOOKUP(B835,Tableau13[ID_Antenne],Tableau13[Province_RDC],"Non répertoriées")</f>
        <v>Non répertoriées</v>
      </c>
      <c r="D835">
        <v>30</v>
      </c>
      <c r="E835" t="str">
        <f>_xlfn.XLOOKUP(B835,Tableau13[ID_Antenne],Tableau13[Technologie],"Non répertoriées")</f>
        <v>Non répertoriées</v>
      </c>
      <c r="F835" t="str">
        <f>_xlfn.XLOOKUP(B835,Tableau13[ID_Antenne],Tableau13[Latitude],"Non répertoriées")</f>
        <v>Non répertoriées</v>
      </c>
      <c r="G835" t="str">
        <f>_xlfn.XLOOKUP(B835,Tableau13[ID_Antenne],Tableau13[Longitude],"Non répertoriées")</f>
        <v>Non répertoriées</v>
      </c>
      <c r="H835" t="s">
        <v>10</v>
      </c>
    </row>
    <row r="836" spans="1:8" x14ac:dyDescent="0.25">
      <c r="A836" s="1">
        <v>45205.87222222222</v>
      </c>
      <c r="B836" t="s">
        <v>556</v>
      </c>
      <c r="C836" t="str">
        <f>_xlfn.XLOOKUP(B836,Tableau13[ID_Antenne],Tableau13[Province_RDC],"Non répertoriées")</f>
        <v>Non répertoriées</v>
      </c>
      <c r="D836">
        <v>17</v>
      </c>
      <c r="E836" t="str">
        <f>_xlfn.XLOOKUP(B836,Tableau13[ID_Antenne],Tableau13[Technologie],"Non répertoriées")</f>
        <v>Non répertoriées</v>
      </c>
      <c r="F836" t="str">
        <f>_xlfn.XLOOKUP(B836,Tableau13[ID_Antenne],Tableau13[Latitude],"Non répertoriées")</f>
        <v>Non répertoriées</v>
      </c>
      <c r="G836" t="str">
        <f>_xlfn.XLOOKUP(B836,Tableau13[ID_Antenne],Tableau13[Longitude],"Non répertoriées")</f>
        <v>Non répertoriées</v>
      </c>
      <c r="H836" t="s">
        <v>5</v>
      </c>
    </row>
    <row r="837" spans="1:8" x14ac:dyDescent="0.25">
      <c r="A837" s="1">
        <v>45230.119444444441</v>
      </c>
      <c r="B837" t="s">
        <v>185</v>
      </c>
      <c r="C837" s="29" t="str">
        <f>_xlfn.XLOOKUP(B837,Tableau13[ID_Antenne],Tableau13[Province_RDC],"Non répertoriées")</f>
        <v>Lualaba</v>
      </c>
      <c r="D837">
        <v>8</v>
      </c>
      <c r="E837" s="31" t="str">
        <f>_xlfn.XLOOKUP(B837,Tableau13[ID_Antenne],Tableau13[Technologie],"Non répertoriées")</f>
        <v>3G</v>
      </c>
      <c r="F837" s="3">
        <f>_xlfn.XLOOKUP(B837,Tableau13[ID_Antenne],Tableau13[Latitude],"Non répertoriées")</f>
        <v>-9.5243310000000001</v>
      </c>
      <c r="G837" s="32">
        <f>_xlfn.XLOOKUP(B837,Tableau13[ID_Antenne],Tableau13[Longitude],"Non répertoriées")</f>
        <v>30.541212000000002</v>
      </c>
      <c r="H837" t="s">
        <v>8</v>
      </c>
    </row>
    <row r="838" spans="1:8" x14ac:dyDescent="0.25">
      <c r="A838" s="1">
        <v>45222.902777777781</v>
      </c>
      <c r="B838" t="s">
        <v>235</v>
      </c>
      <c r="C838" s="29" t="str">
        <f>_xlfn.XLOOKUP(B838,Tableau13[ID_Antenne],Tableau13[Province_RDC],"Non répertoriées")</f>
        <v>Sankuru</v>
      </c>
      <c r="D838">
        <v>31</v>
      </c>
      <c r="E838" s="31" t="str">
        <f>_xlfn.XLOOKUP(B838,Tableau13[ID_Antenne],Tableau13[Technologie],"Non répertoriées")</f>
        <v>3G</v>
      </c>
      <c r="F838" s="3">
        <f>_xlfn.XLOOKUP(B838,Tableau13[ID_Antenne],Tableau13[Latitude],"Non répertoriées")</f>
        <v>-7.5969509999999998</v>
      </c>
      <c r="G838" s="32">
        <f>_xlfn.XLOOKUP(B838,Tableau13[ID_Antenne],Tableau13[Longitude],"Non répertoriées")</f>
        <v>22.153986</v>
      </c>
      <c r="H838" t="s">
        <v>10</v>
      </c>
    </row>
    <row r="839" spans="1:8" x14ac:dyDescent="0.25">
      <c r="A839" s="1">
        <v>45223.436111111107</v>
      </c>
      <c r="B839" t="s">
        <v>191</v>
      </c>
      <c r="C839" s="29" t="str">
        <f>_xlfn.XLOOKUP(B839,Tableau13[ID_Antenne],Tableau13[Province_RDC],"Non répertoriées")</f>
        <v>Bas-Uele</v>
      </c>
      <c r="D839">
        <v>26</v>
      </c>
      <c r="E839" s="31" t="str">
        <f>_xlfn.XLOOKUP(B839,Tableau13[ID_Antenne],Tableau13[Technologie],"Non répertoriées")</f>
        <v>3G</v>
      </c>
      <c r="F839" s="3">
        <f>_xlfn.XLOOKUP(B839,Tableau13[ID_Antenne],Tableau13[Latitude],"Non répertoriées")</f>
        <v>1.5278670000000001</v>
      </c>
      <c r="G839" s="32">
        <f>_xlfn.XLOOKUP(B839,Tableau13[ID_Antenne],Tableau13[Longitude],"Non répertoriées")</f>
        <v>13.899388999999999</v>
      </c>
      <c r="H839" t="s">
        <v>5</v>
      </c>
    </row>
    <row r="840" spans="1:8" x14ac:dyDescent="0.25">
      <c r="A840" s="1">
        <v>45200.342361111107</v>
      </c>
      <c r="B840" t="s">
        <v>280</v>
      </c>
      <c r="C840" s="29" t="str">
        <f>_xlfn.XLOOKUP(B840,Tableau13[ID_Antenne],Tableau13[Province_RDC],"Non répertoriées")</f>
        <v>Haut-Lomami</v>
      </c>
      <c r="D840">
        <v>86</v>
      </c>
      <c r="E840" s="31" t="str">
        <f>_xlfn.XLOOKUP(B840,Tableau13[ID_Antenne],Tableau13[Technologie],"Non répertoriées")</f>
        <v>4G</v>
      </c>
      <c r="F840" s="3">
        <f>_xlfn.XLOOKUP(B840,Tableau13[ID_Antenne],Tableau13[Latitude],"Non répertoriées")</f>
        <v>2.628638</v>
      </c>
      <c r="G840" s="32">
        <f>_xlfn.XLOOKUP(B840,Tableau13[ID_Antenne],Tableau13[Longitude],"Non répertoriées")</f>
        <v>28.420582</v>
      </c>
      <c r="H840" t="s">
        <v>8</v>
      </c>
    </row>
    <row r="841" spans="1:8" x14ac:dyDescent="0.25">
      <c r="A841" s="1">
        <v>45207.919444444437</v>
      </c>
      <c r="B841" t="s">
        <v>557</v>
      </c>
      <c r="C841" t="str">
        <f>_xlfn.XLOOKUP(B841,Tableau13[ID_Antenne],Tableau13[Province_RDC],"Non répertoriées")</f>
        <v>Non répertoriées</v>
      </c>
      <c r="D841">
        <v>42</v>
      </c>
      <c r="E841" t="str">
        <f>_xlfn.XLOOKUP(B841,Tableau13[ID_Antenne],Tableau13[Technologie],"Non répertoriées")</f>
        <v>Non répertoriées</v>
      </c>
      <c r="F841" t="str">
        <f>_xlfn.XLOOKUP(B841,Tableau13[ID_Antenne],Tableau13[Latitude],"Non répertoriées")</f>
        <v>Non répertoriées</v>
      </c>
      <c r="G841" t="str">
        <f>_xlfn.XLOOKUP(B841,Tableau13[ID_Antenne],Tableau13[Longitude],"Non répertoriées")</f>
        <v>Non répertoriées</v>
      </c>
      <c r="H841" t="s">
        <v>5</v>
      </c>
    </row>
    <row r="842" spans="1:8" x14ac:dyDescent="0.25">
      <c r="A842" s="1">
        <v>45211.368055555547</v>
      </c>
      <c r="B842" t="s">
        <v>166</v>
      </c>
      <c r="C842" t="str">
        <f>_xlfn.XLOOKUP(B842,Tableau13[ID_Antenne],Tableau13[Province_RDC],"Non répertoriées")</f>
        <v>Non répertoriées</v>
      </c>
      <c r="D842">
        <v>15</v>
      </c>
      <c r="E842" t="str">
        <f>_xlfn.XLOOKUP(B842,Tableau13[ID_Antenne],Tableau13[Technologie],"Non répertoriées")</f>
        <v>Non répertoriées</v>
      </c>
      <c r="F842" t="str">
        <f>_xlfn.XLOOKUP(B842,Tableau13[ID_Antenne],Tableau13[Latitude],"Non répertoriées")</f>
        <v>Non répertoriées</v>
      </c>
      <c r="G842" t="str">
        <f>_xlfn.XLOOKUP(B842,Tableau13[ID_Antenne],Tableau13[Longitude],"Non répertoriées")</f>
        <v>Non répertoriées</v>
      </c>
      <c r="H842" t="s">
        <v>8</v>
      </c>
    </row>
    <row r="843" spans="1:8" x14ac:dyDescent="0.25">
      <c r="A843" s="1">
        <v>45203.958333333343</v>
      </c>
      <c r="B843" t="s">
        <v>558</v>
      </c>
      <c r="C843" t="str">
        <f>_xlfn.XLOOKUP(B843,Tableau13[ID_Antenne],Tableau13[Province_RDC],"Non répertoriées")</f>
        <v>Non répertoriées</v>
      </c>
      <c r="D843">
        <v>65</v>
      </c>
      <c r="E843" t="str">
        <f>_xlfn.XLOOKUP(B843,Tableau13[ID_Antenne],Tableau13[Technologie],"Non répertoriées")</f>
        <v>Non répertoriées</v>
      </c>
      <c r="F843" t="str">
        <f>_xlfn.XLOOKUP(B843,Tableau13[ID_Antenne],Tableau13[Latitude],"Non répertoriées")</f>
        <v>Non répertoriées</v>
      </c>
      <c r="G843" t="str">
        <f>_xlfn.XLOOKUP(B843,Tableau13[ID_Antenne],Tableau13[Longitude],"Non répertoriées")</f>
        <v>Non répertoriées</v>
      </c>
      <c r="H843" t="s">
        <v>10</v>
      </c>
    </row>
    <row r="844" spans="1:8" x14ac:dyDescent="0.25">
      <c r="A844" s="1">
        <v>45201.519444444442</v>
      </c>
      <c r="B844" t="s">
        <v>120</v>
      </c>
      <c r="C844" t="str">
        <f>_xlfn.XLOOKUP(B844,Tableau13[ID_Antenne],Tableau13[Province_RDC],"Non répertoriées")</f>
        <v>Non répertoriées</v>
      </c>
      <c r="D844">
        <v>113</v>
      </c>
      <c r="E844" t="str">
        <f>_xlfn.XLOOKUP(B844,Tableau13[ID_Antenne],Tableau13[Technologie],"Non répertoriées")</f>
        <v>Non répertoriées</v>
      </c>
      <c r="F844" t="str">
        <f>_xlfn.XLOOKUP(B844,Tableau13[ID_Antenne],Tableau13[Latitude],"Non répertoriées")</f>
        <v>Non répertoriées</v>
      </c>
      <c r="G844" t="str">
        <f>_xlfn.XLOOKUP(B844,Tableau13[ID_Antenne],Tableau13[Longitude],"Non répertoriées")</f>
        <v>Non répertoriées</v>
      </c>
      <c r="H844" t="s">
        <v>10</v>
      </c>
    </row>
    <row r="845" spans="1:8" x14ac:dyDescent="0.25">
      <c r="A845" s="1">
        <v>45223.548611111109</v>
      </c>
      <c r="B845" t="s">
        <v>519</v>
      </c>
      <c r="C845" t="str">
        <f>_xlfn.XLOOKUP(B845,Tableau13[ID_Antenne],Tableau13[Province_RDC],"Non répertoriées")</f>
        <v>Non répertoriées</v>
      </c>
      <c r="D845">
        <v>19</v>
      </c>
      <c r="E845" t="str">
        <f>_xlfn.XLOOKUP(B845,Tableau13[ID_Antenne],Tableau13[Technologie],"Non répertoriées")</f>
        <v>Non répertoriées</v>
      </c>
      <c r="F845" t="str">
        <f>_xlfn.XLOOKUP(B845,Tableau13[ID_Antenne],Tableau13[Latitude],"Non répertoriées")</f>
        <v>Non répertoriées</v>
      </c>
      <c r="G845" t="str">
        <f>_xlfn.XLOOKUP(B845,Tableau13[ID_Antenne],Tableau13[Longitude],"Non répertoriées")</f>
        <v>Non répertoriées</v>
      </c>
      <c r="H845" t="s">
        <v>8</v>
      </c>
    </row>
    <row r="846" spans="1:8" x14ac:dyDescent="0.25">
      <c r="A846" s="1">
        <v>45228.563194444447</v>
      </c>
      <c r="B846" t="s">
        <v>476</v>
      </c>
      <c r="C846" s="29" t="str">
        <f>_xlfn.XLOOKUP(B846,Tableau13[ID_Antenne],Tableau13[Province_RDC],"Non répertoriées")</f>
        <v>Tshopo</v>
      </c>
      <c r="D846">
        <v>44</v>
      </c>
      <c r="E846" s="31" t="str">
        <f>_xlfn.XLOOKUP(B846,Tableau13[ID_Antenne],Tableau13[Technologie],"Non répertoriées")</f>
        <v>4G</v>
      </c>
      <c r="F846" s="3">
        <f>_xlfn.XLOOKUP(B846,Tableau13[ID_Antenne],Tableau13[Latitude],"Non répertoriées")</f>
        <v>-11.265995</v>
      </c>
      <c r="G846" s="32">
        <f>_xlfn.XLOOKUP(B846,Tableau13[ID_Antenne],Tableau13[Longitude],"Non répertoriées")</f>
        <v>28.935514999999999</v>
      </c>
      <c r="H846" t="s">
        <v>5</v>
      </c>
    </row>
    <row r="847" spans="1:8" x14ac:dyDescent="0.25">
      <c r="A847" s="1">
        <v>45228.515277777777</v>
      </c>
      <c r="B847" t="s">
        <v>559</v>
      </c>
      <c r="C847" s="29" t="str">
        <f>_xlfn.XLOOKUP(B847,Tableau13[ID_Antenne],Tableau13[Province_RDC],"Non répertoriées")</f>
        <v>Tshopo</v>
      </c>
      <c r="D847">
        <v>105</v>
      </c>
      <c r="E847" s="31" t="str">
        <f>_xlfn.XLOOKUP(B847,Tableau13[ID_Antenne],Tableau13[Technologie],"Non répertoriées")</f>
        <v>5G</v>
      </c>
      <c r="F847" s="3">
        <f>_xlfn.XLOOKUP(B847,Tableau13[ID_Antenne],Tableau13[Latitude],"Non répertoriées")</f>
        <v>-0.919767</v>
      </c>
      <c r="G847" s="32">
        <f>_xlfn.XLOOKUP(B847,Tableau13[ID_Antenne],Tableau13[Longitude],"Non répertoriées")</f>
        <v>18.905538</v>
      </c>
      <c r="H847" t="s">
        <v>5</v>
      </c>
    </row>
    <row r="848" spans="1:8" x14ac:dyDescent="0.25">
      <c r="A848" s="1">
        <v>45217.504166666673</v>
      </c>
      <c r="B848" t="s">
        <v>306</v>
      </c>
      <c r="C848" t="str">
        <f>_xlfn.XLOOKUP(B848,Tableau13[ID_Antenne],Tableau13[Province_RDC],"Non répertoriées")</f>
        <v>Non répertoriées</v>
      </c>
      <c r="D848">
        <v>55</v>
      </c>
      <c r="E848" t="str">
        <f>_xlfn.XLOOKUP(B848,Tableau13[ID_Antenne],Tableau13[Technologie],"Non répertoriées")</f>
        <v>Non répertoriées</v>
      </c>
      <c r="F848" t="str">
        <f>_xlfn.XLOOKUP(B848,Tableau13[ID_Antenne],Tableau13[Latitude],"Non répertoriées")</f>
        <v>Non répertoriées</v>
      </c>
      <c r="G848" t="str">
        <f>_xlfn.XLOOKUP(B848,Tableau13[ID_Antenne],Tableau13[Longitude],"Non répertoriées")</f>
        <v>Non répertoriées</v>
      </c>
      <c r="H848" t="s">
        <v>10</v>
      </c>
    </row>
    <row r="849" spans="1:8" x14ac:dyDescent="0.25">
      <c r="A849" s="1">
        <v>45226.659722222219</v>
      </c>
      <c r="B849" t="s">
        <v>291</v>
      </c>
      <c r="C849" s="29" t="str">
        <f>_xlfn.XLOOKUP(B849,Tableau13[ID_Antenne],Tableau13[Province_RDC],"Non répertoriées")</f>
        <v>Haut-Katanga</v>
      </c>
      <c r="D849">
        <v>65</v>
      </c>
      <c r="E849" s="31" t="str">
        <f>_xlfn.XLOOKUP(B849,Tableau13[ID_Antenne],Tableau13[Technologie],"Non répertoriées")</f>
        <v>3G</v>
      </c>
      <c r="F849" s="3">
        <f>_xlfn.XLOOKUP(B849,Tableau13[ID_Antenne],Tableau13[Latitude],"Non répertoriées")</f>
        <v>-11.594525000000001</v>
      </c>
      <c r="G849" s="32">
        <f>_xlfn.XLOOKUP(B849,Tableau13[ID_Antenne],Tableau13[Longitude],"Non répertoriées")</f>
        <v>29.744895</v>
      </c>
      <c r="H849" t="s">
        <v>8</v>
      </c>
    </row>
    <row r="850" spans="1:8" x14ac:dyDescent="0.25">
      <c r="A850" s="1">
        <v>45227.77847222222</v>
      </c>
      <c r="B850" t="s">
        <v>433</v>
      </c>
      <c r="C850" s="29" t="str">
        <f>_xlfn.XLOOKUP(B850,Tableau13[ID_Antenne],Tableau13[Province_RDC],"Non répertoriées")</f>
        <v>Mai-Ndombe</v>
      </c>
      <c r="D850">
        <v>67</v>
      </c>
      <c r="E850" s="31" t="str">
        <f>_xlfn.XLOOKUP(B850,Tableau13[ID_Antenne],Tableau13[Technologie],"Non répertoriées")</f>
        <v>5G</v>
      </c>
      <c r="F850" s="3">
        <f>_xlfn.XLOOKUP(B850,Tableau13[ID_Antenne],Tableau13[Latitude],"Non répertoriées")</f>
        <v>-0.47411900000000001</v>
      </c>
      <c r="G850" s="32">
        <f>_xlfn.XLOOKUP(B850,Tableau13[ID_Antenne],Tableau13[Longitude],"Non répertoriées")</f>
        <v>27.184329000000002</v>
      </c>
      <c r="H850" t="s">
        <v>10</v>
      </c>
    </row>
    <row r="851" spans="1:8" x14ac:dyDescent="0.25">
      <c r="A851" s="1">
        <v>45224.884722222218</v>
      </c>
      <c r="B851" t="s">
        <v>560</v>
      </c>
      <c r="C851" t="str">
        <f>_xlfn.XLOOKUP(B851,Tableau13[ID_Antenne],Tableau13[Province_RDC],"Non répertoriées")</f>
        <v>Non répertoriées</v>
      </c>
      <c r="D851">
        <v>119</v>
      </c>
      <c r="E851" t="str">
        <f>_xlfn.XLOOKUP(B851,Tableau13[ID_Antenne],Tableau13[Technologie],"Non répertoriées")</f>
        <v>Non répertoriées</v>
      </c>
      <c r="F851" t="str">
        <f>_xlfn.XLOOKUP(B851,Tableau13[ID_Antenne],Tableau13[Latitude],"Non répertoriées")</f>
        <v>Non répertoriées</v>
      </c>
      <c r="G851" t="str">
        <f>_xlfn.XLOOKUP(B851,Tableau13[ID_Antenne],Tableau13[Longitude],"Non répertoriées")</f>
        <v>Non répertoriées</v>
      </c>
      <c r="H851" t="s">
        <v>8</v>
      </c>
    </row>
    <row r="852" spans="1:8" x14ac:dyDescent="0.25">
      <c r="A852" s="1">
        <v>45205.586111111108</v>
      </c>
      <c r="B852" t="s">
        <v>561</v>
      </c>
      <c r="C852" t="str">
        <f>_xlfn.XLOOKUP(B852,Tableau13[ID_Antenne],Tableau13[Province_RDC],"Non répertoriées")</f>
        <v>Non répertoriées</v>
      </c>
      <c r="D852">
        <v>89</v>
      </c>
      <c r="E852" t="str">
        <f>_xlfn.XLOOKUP(B852,Tableau13[ID_Antenne],Tableau13[Technologie],"Non répertoriées")</f>
        <v>Non répertoriées</v>
      </c>
      <c r="F852" t="str">
        <f>_xlfn.XLOOKUP(B852,Tableau13[ID_Antenne],Tableau13[Latitude],"Non répertoriées")</f>
        <v>Non répertoriées</v>
      </c>
      <c r="G852" t="str">
        <f>_xlfn.XLOOKUP(B852,Tableau13[ID_Antenne],Tableau13[Longitude],"Non répertoriées")</f>
        <v>Non répertoriées</v>
      </c>
      <c r="H852" t="s">
        <v>10</v>
      </c>
    </row>
    <row r="853" spans="1:8" x14ac:dyDescent="0.25">
      <c r="A853" s="1">
        <v>45225.054166666669</v>
      </c>
      <c r="B853" t="s">
        <v>562</v>
      </c>
      <c r="C853" s="29" t="str">
        <f>_xlfn.XLOOKUP(B853,Tableau13[ID_Antenne],Tableau13[Province_RDC],"Non répertoriées")</f>
        <v>Lualaba</v>
      </c>
      <c r="D853">
        <v>38</v>
      </c>
      <c r="E853" s="31" t="str">
        <f>_xlfn.XLOOKUP(B853,Tableau13[ID_Antenne],Tableau13[Technologie],"Non répertoriées")</f>
        <v>4G</v>
      </c>
      <c r="F853" s="3">
        <f>_xlfn.XLOOKUP(B853,Tableau13[ID_Antenne],Tableau13[Latitude],"Non répertoriées")</f>
        <v>-4.2184999999999997</v>
      </c>
      <c r="G853" s="32">
        <f>_xlfn.XLOOKUP(B853,Tableau13[ID_Antenne],Tableau13[Longitude],"Non répertoriées")</f>
        <v>23.077093999999999</v>
      </c>
      <c r="H853" t="s">
        <v>10</v>
      </c>
    </row>
    <row r="854" spans="1:8" x14ac:dyDescent="0.25">
      <c r="A854" s="1">
        <v>45200.427777777782</v>
      </c>
      <c r="B854" t="s">
        <v>115</v>
      </c>
      <c r="C854" t="str">
        <f>_xlfn.XLOOKUP(B854,Tableau13[ID_Antenne],Tableau13[Province_RDC],"Non répertoriées")</f>
        <v>Non répertoriées</v>
      </c>
      <c r="D854">
        <v>16</v>
      </c>
      <c r="E854" t="str">
        <f>_xlfn.XLOOKUP(B854,Tableau13[ID_Antenne],Tableau13[Technologie],"Non répertoriées")</f>
        <v>Non répertoriées</v>
      </c>
      <c r="F854" t="str">
        <f>_xlfn.XLOOKUP(B854,Tableau13[ID_Antenne],Tableau13[Latitude],"Non répertoriées")</f>
        <v>Non répertoriées</v>
      </c>
      <c r="G854" t="str">
        <f>_xlfn.XLOOKUP(B854,Tableau13[ID_Antenne],Tableau13[Longitude],"Non répertoriées")</f>
        <v>Non répertoriées</v>
      </c>
      <c r="H854" t="s">
        <v>8</v>
      </c>
    </row>
    <row r="855" spans="1:8" x14ac:dyDescent="0.25">
      <c r="A855" s="1">
        <v>45230.12777777778</v>
      </c>
      <c r="B855" t="s">
        <v>488</v>
      </c>
      <c r="C855" s="29" t="str">
        <f>_xlfn.XLOOKUP(B855,Tableau13[ID_Antenne],Tableau13[Province_RDC],"Non répertoriées")</f>
        <v>Haut-Katanga</v>
      </c>
      <c r="D855">
        <v>87</v>
      </c>
      <c r="E855" s="31" t="str">
        <f>_xlfn.XLOOKUP(B855,Tableau13[ID_Antenne],Tableau13[Technologie],"Non répertoriées")</f>
        <v>4G</v>
      </c>
      <c r="F855" s="3">
        <f>_xlfn.XLOOKUP(B855,Tableau13[ID_Antenne],Tableau13[Latitude],"Non répertoriées")</f>
        <v>-10.945031</v>
      </c>
      <c r="G855" s="32">
        <f>_xlfn.XLOOKUP(B855,Tableau13[ID_Antenne],Tableau13[Longitude],"Non répertoriées")</f>
        <v>27.922274000000002</v>
      </c>
      <c r="H855" t="s">
        <v>10</v>
      </c>
    </row>
    <row r="856" spans="1:8" x14ac:dyDescent="0.25">
      <c r="A856" s="1">
        <v>45210.24722222222</v>
      </c>
      <c r="B856" t="s">
        <v>548</v>
      </c>
      <c r="C856" t="str">
        <f>_xlfn.XLOOKUP(B856,Tableau13[ID_Antenne],Tableau13[Province_RDC],"Non répertoriées")</f>
        <v>Non répertoriées</v>
      </c>
      <c r="D856">
        <v>74</v>
      </c>
      <c r="E856" t="str">
        <f>_xlfn.XLOOKUP(B856,Tableau13[ID_Antenne],Tableau13[Technologie],"Non répertoriées")</f>
        <v>Non répertoriées</v>
      </c>
      <c r="F856" t="str">
        <f>_xlfn.XLOOKUP(B856,Tableau13[ID_Antenne],Tableau13[Latitude],"Non répertoriées")</f>
        <v>Non répertoriées</v>
      </c>
      <c r="G856" t="str">
        <f>_xlfn.XLOOKUP(B856,Tableau13[ID_Antenne],Tableau13[Longitude],"Non répertoriées")</f>
        <v>Non répertoriées</v>
      </c>
      <c r="H856" t="s">
        <v>5</v>
      </c>
    </row>
    <row r="857" spans="1:8" x14ac:dyDescent="0.25">
      <c r="A857" s="1">
        <v>45212.240277777782</v>
      </c>
      <c r="B857" t="s">
        <v>350</v>
      </c>
      <c r="C857" t="str">
        <f>_xlfn.XLOOKUP(B857,Tableau13[ID_Antenne],Tableau13[Province_RDC],"Non répertoriées")</f>
        <v>Non répertoriées</v>
      </c>
      <c r="D857">
        <v>54</v>
      </c>
      <c r="E857" t="str">
        <f>_xlfn.XLOOKUP(B857,Tableau13[ID_Antenne],Tableau13[Technologie],"Non répertoriées")</f>
        <v>Non répertoriées</v>
      </c>
      <c r="F857" t="str">
        <f>_xlfn.XLOOKUP(B857,Tableau13[ID_Antenne],Tableau13[Latitude],"Non répertoriées")</f>
        <v>Non répertoriées</v>
      </c>
      <c r="G857" t="str">
        <f>_xlfn.XLOOKUP(B857,Tableau13[ID_Antenne],Tableau13[Longitude],"Non répertoriées")</f>
        <v>Non répertoriées</v>
      </c>
      <c r="H857" t="s">
        <v>8</v>
      </c>
    </row>
    <row r="858" spans="1:8" x14ac:dyDescent="0.25">
      <c r="A858" s="1">
        <v>45202.747916666667</v>
      </c>
      <c r="B858" t="s">
        <v>148</v>
      </c>
      <c r="C858" s="29" t="str">
        <f>_xlfn.XLOOKUP(B858,Tableau13[ID_Antenne],Tableau13[Province_RDC],"Non répertoriées")</f>
        <v>Kasai-Central</v>
      </c>
      <c r="D858">
        <v>28</v>
      </c>
      <c r="E858" s="31" t="str">
        <f>_xlfn.XLOOKUP(B858,Tableau13[ID_Antenne],Tableau13[Technologie],"Non répertoriées")</f>
        <v>4G</v>
      </c>
      <c r="F858" s="3">
        <f>_xlfn.XLOOKUP(B858,Tableau13[ID_Antenne],Tableau13[Latitude],"Non répertoriées")</f>
        <v>-3.111418</v>
      </c>
      <c r="G858" s="32">
        <f>_xlfn.XLOOKUP(B858,Tableau13[ID_Antenne],Tableau13[Longitude],"Non répertoriées")</f>
        <v>14.144854</v>
      </c>
      <c r="H858" t="s">
        <v>8</v>
      </c>
    </row>
    <row r="859" spans="1:8" x14ac:dyDescent="0.25">
      <c r="A859" s="1">
        <v>45202.443055555559</v>
      </c>
      <c r="B859" t="s">
        <v>563</v>
      </c>
      <c r="C859" t="str">
        <f>_xlfn.XLOOKUP(B859,Tableau13[ID_Antenne],Tableau13[Province_RDC],"Non répertoriées")</f>
        <v>Non répertoriées</v>
      </c>
      <c r="D859">
        <v>52</v>
      </c>
      <c r="E859" t="str">
        <f>_xlfn.XLOOKUP(B859,Tableau13[ID_Antenne],Tableau13[Technologie],"Non répertoriées")</f>
        <v>Non répertoriées</v>
      </c>
      <c r="F859" t="str">
        <f>_xlfn.XLOOKUP(B859,Tableau13[ID_Antenne],Tableau13[Latitude],"Non répertoriées")</f>
        <v>Non répertoriées</v>
      </c>
      <c r="G859" t="str">
        <f>_xlfn.XLOOKUP(B859,Tableau13[ID_Antenne],Tableau13[Longitude],"Non répertoriées")</f>
        <v>Non répertoriées</v>
      </c>
      <c r="H859" t="s">
        <v>8</v>
      </c>
    </row>
    <row r="860" spans="1:8" x14ac:dyDescent="0.25">
      <c r="A860" s="1">
        <v>45219.65625</v>
      </c>
      <c r="B860" t="s">
        <v>283</v>
      </c>
      <c r="C860" s="29" t="str">
        <f>_xlfn.XLOOKUP(B860,Tableau13[ID_Antenne],Tableau13[Province_RDC],"Non répertoriées")</f>
        <v>Tshuapa</v>
      </c>
      <c r="D860">
        <v>118</v>
      </c>
      <c r="E860" s="31" t="str">
        <f>_xlfn.XLOOKUP(B860,Tableau13[ID_Antenne],Tableau13[Technologie],"Non répertoriées")</f>
        <v>4G</v>
      </c>
      <c r="F860" s="3">
        <f>_xlfn.XLOOKUP(B860,Tableau13[ID_Antenne],Tableau13[Latitude],"Non répertoriées")</f>
        <v>-10.577049000000001</v>
      </c>
      <c r="G860" s="32">
        <f>_xlfn.XLOOKUP(B860,Tableau13[ID_Antenne],Tableau13[Longitude],"Non répertoriées")</f>
        <v>23.721854</v>
      </c>
      <c r="H860" t="s">
        <v>8</v>
      </c>
    </row>
    <row r="861" spans="1:8" x14ac:dyDescent="0.25">
      <c r="A861" s="1">
        <v>45200.570138888892</v>
      </c>
      <c r="B861" t="s">
        <v>564</v>
      </c>
      <c r="C861" s="29" t="str">
        <f>_xlfn.XLOOKUP(B861,Tableau13[ID_Antenne],Tableau13[Province_RDC],"Non répertoriées")</f>
        <v>Kongo-Central</v>
      </c>
      <c r="D861">
        <v>53</v>
      </c>
      <c r="E861" s="31" t="str">
        <f>_xlfn.XLOOKUP(B861,Tableau13[ID_Antenne],Tableau13[Technologie],"Non répertoriées")</f>
        <v>4G</v>
      </c>
      <c r="F861" s="3">
        <f>_xlfn.XLOOKUP(B861,Tableau13[ID_Antenne],Tableau13[Latitude],"Non répertoriées")</f>
        <v>2.8552499999999998</v>
      </c>
      <c r="G861" s="32">
        <f>_xlfn.XLOOKUP(B861,Tableau13[ID_Antenne],Tableau13[Longitude],"Non répertoriées")</f>
        <v>14.077933</v>
      </c>
      <c r="H861" t="s">
        <v>10</v>
      </c>
    </row>
    <row r="862" spans="1:8" x14ac:dyDescent="0.25">
      <c r="A862" s="1">
        <v>45205.830555555563</v>
      </c>
      <c r="B862" t="s">
        <v>565</v>
      </c>
      <c r="C862" s="29" t="str">
        <f>_xlfn.XLOOKUP(B862,Tableau13[ID_Antenne],Tableau13[Province_RDC],"Non répertoriées")</f>
        <v>Haut-Uele</v>
      </c>
      <c r="D862">
        <v>52</v>
      </c>
      <c r="E862" s="31" t="str">
        <f>_xlfn.XLOOKUP(B862,Tableau13[ID_Antenne],Tableau13[Technologie],"Non répertoriées")</f>
        <v>3G</v>
      </c>
      <c r="F862" s="3">
        <f>_xlfn.XLOOKUP(B862,Tableau13[ID_Antenne],Tableau13[Latitude],"Non répertoriées")</f>
        <v>-2.2199559999999998</v>
      </c>
      <c r="G862" s="32">
        <f>_xlfn.XLOOKUP(B862,Tableau13[ID_Antenne],Tableau13[Longitude],"Non répertoriées")</f>
        <v>22.614449</v>
      </c>
      <c r="H862" t="s">
        <v>5</v>
      </c>
    </row>
    <row r="863" spans="1:8" x14ac:dyDescent="0.25">
      <c r="A863" s="1">
        <v>45213.210416666669</v>
      </c>
      <c r="B863" t="s">
        <v>566</v>
      </c>
      <c r="C863" s="29" t="str">
        <f>_xlfn.XLOOKUP(B863,Tableau13[ID_Antenne],Tableau13[Province_RDC],"Non répertoriées")</f>
        <v>Haut-Lomami</v>
      </c>
      <c r="D863">
        <v>28</v>
      </c>
      <c r="E863" s="31" t="str">
        <f>_xlfn.XLOOKUP(B863,Tableau13[ID_Antenne],Tableau13[Technologie],"Non répertoriées")</f>
        <v>3G</v>
      </c>
      <c r="F863" s="3">
        <f>_xlfn.XLOOKUP(B863,Tableau13[ID_Antenne],Tableau13[Latitude],"Non répertoriées")</f>
        <v>-3.1608390000000002</v>
      </c>
      <c r="G863" s="32">
        <f>_xlfn.XLOOKUP(B863,Tableau13[ID_Antenne],Tableau13[Longitude],"Non répertoriées")</f>
        <v>13.244503999999999</v>
      </c>
      <c r="H863" t="s">
        <v>10</v>
      </c>
    </row>
    <row r="864" spans="1:8" x14ac:dyDescent="0.25">
      <c r="A864" s="1">
        <v>45203.425694444442</v>
      </c>
      <c r="B864" t="s">
        <v>567</v>
      </c>
      <c r="C864" t="str">
        <f>_xlfn.XLOOKUP(B864,Tableau13[ID_Antenne],Tableau13[Province_RDC],"Non répertoriées")</f>
        <v>Non répertoriées</v>
      </c>
      <c r="D864">
        <v>62</v>
      </c>
      <c r="E864" t="str">
        <f>_xlfn.XLOOKUP(B864,Tableau13[ID_Antenne],Tableau13[Technologie],"Non répertoriées")</f>
        <v>Non répertoriées</v>
      </c>
      <c r="F864" t="str">
        <f>_xlfn.XLOOKUP(B864,Tableau13[ID_Antenne],Tableau13[Latitude],"Non répertoriées")</f>
        <v>Non répertoriées</v>
      </c>
      <c r="G864" t="str">
        <f>_xlfn.XLOOKUP(B864,Tableau13[ID_Antenne],Tableau13[Longitude],"Non répertoriées")</f>
        <v>Non répertoriées</v>
      </c>
      <c r="H864" t="s">
        <v>5</v>
      </c>
    </row>
    <row r="865" spans="1:8" x14ac:dyDescent="0.25">
      <c r="A865" s="1">
        <v>45206.572222222218</v>
      </c>
      <c r="B865" t="s">
        <v>348</v>
      </c>
      <c r="C865" t="str">
        <f>_xlfn.XLOOKUP(B865,Tableau13[ID_Antenne],Tableau13[Province_RDC],"Non répertoriées")</f>
        <v>Non répertoriées</v>
      </c>
      <c r="D865">
        <v>10</v>
      </c>
      <c r="E865" t="str">
        <f>_xlfn.XLOOKUP(B865,Tableau13[ID_Antenne],Tableau13[Technologie],"Non répertoriées")</f>
        <v>Non répertoriées</v>
      </c>
      <c r="F865" t="str">
        <f>_xlfn.XLOOKUP(B865,Tableau13[ID_Antenne],Tableau13[Latitude],"Non répertoriées")</f>
        <v>Non répertoriées</v>
      </c>
      <c r="G865" t="str">
        <f>_xlfn.XLOOKUP(B865,Tableau13[ID_Antenne],Tableau13[Longitude],"Non répertoriées")</f>
        <v>Non répertoriées</v>
      </c>
      <c r="H865" t="s">
        <v>5</v>
      </c>
    </row>
    <row r="866" spans="1:8" x14ac:dyDescent="0.25">
      <c r="A866" s="1">
        <v>45217.999305555553</v>
      </c>
      <c r="B866" t="s">
        <v>304</v>
      </c>
      <c r="C866" s="29" t="str">
        <f>_xlfn.XLOOKUP(B866,Tableau13[ID_Antenne],Tableau13[Province_RDC],"Non répertoriées")</f>
        <v>Lualaba</v>
      </c>
      <c r="D866">
        <v>38</v>
      </c>
      <c r="E866" s="31" t="str">
        <f>_xlfn.XLOOKUP(B866,Tableau13[ID_Antenne],Tableau13[Technologie],"Non répertoriées")</f>
        <v>4G</v>
      </c>
      <c r="F866" s="3">
        <f>_xlfn.XLOOKUP(B866,Tableau13[ID_Antenne],Tableau13[Latitude],"Non répertoriées")</f>
        <v>-10.967288</v>
      </c>
      <c r="G866" s="32">
        <f>_xlfn.XLOOKUP(B866,Tableau13[ID_Antenne],Tableau13[Longitude],"Non répertoriées")</f>
        <v>17.617781000000001</v>
      </c>
      <c r="H866" t="s">
        <v>8</v>
      </c>
    </row>
    <row r="867" spans="1:8" x14ac:dyDescent="0.25">
      <c r="A867" s="1">
        <v>45223.719444444447</v>
      </c>
      <c r="B867" t="s">
        <v>299</v>
      </c>
      <c r="C867" t="str">
        <f>_xlfn.XLOOKUP(B867,Tableau13[ID_Antenne],Tableau13[Province_RDC],"Non répertoriées")</f>
        <v>Non répertoriées</v>
      </c>
      <c r="D867">
        <v>61</v>
      </c>
      <c r="E867" t="str">
        <f>_xlfn.XLOOKUP(B867,Tableau13[ID_Antenne],Tableau13[Technologie],"Non répertoriées")</f>
        <v>Non répertoriées</v>
      </c>
      <c r="F867" t="str">
        <f>_xlfn.XLOOKUP(B867,Tableau13[ID_Antenne],Tableau13[Latitude],"Non répertoriées")</f>
        <v>Non répertoriées</v>
      </c>
      <c r="G867" t="str">
        <f>_xlfn.XLOOKUP(B867,Tableau13[ID_Antenne],Tableau13[Longitude],"Non répertoriées")</f>
        <v>Non répertoriées</v>
      </c>
      <c r="H867" t="s">
        <v>8</v>
      </c>
    </row>
    <row r="868" spans="1:8" x14ac:dyDescent="0.25">
      <c r="A868" s="1">
        <v>45221.388194444437</v>
      </c>
      <c r="B868" t="s">
        <v>568</v>
      </c>
      <c r="C868" s="29" t="str">
        <f>_xlfn.XLOOKUP(B868,Tableau13[ID_Antenne],Tableau13[Province_RDC],"Non répertoriées")</f>
        <v>Tshopo</v>
      </c>
      <c r="D868">
        <v>64</v>
      </c>
      <c r="E868" s="31" t="str">
        <f>_xlfn.XLOOKUP(B868,Tableau13[ID_Antenne],Tableau13[Technologie],"Non répertoriées")</f>
        <v>4G</v>
      </c>
      <c r="F868" s="3">
        <f>_xlfn.XLOOKUP(B868,Tableau13[ID_Antenne],Tableau13[Latitude],"Non répertoriées")</f>
        <v>-12.070842000000001</v>
      </c>
      <c r="G868" s="32">
        <f>_xlfn.XLOOKUP(B868,Tableau13[ID_Antenne],Tableau13[Longitude],"Non répertoriées")</f>
        <v>14.757847</v>
      </c>
      <c r="H868" t="s">
        <v>8</v>
      </c>
    </row>
    <row r="869" spans="1:8" x14ac:dyDescent="0.25">
      <c r="A869" s="1">
        <v>45207.127083333333</v>
      </c>
      <c r="B869" t="s">
        <v>139</v>
      </c>
      <c r="C869" s="29" t="str">
        <f>_xlfn.XLOOKUP(B869,Tableau13[ID_Antenne],Tableau13[Province_RDC],"Non répertoriées")</f>
        <v>Kwilu</v>
      </c>
      <c r="D869">
        <v>38</v>
      </c>
      <c r="E869" s="31" t="str">
        <f>_xlfn.XLOOKUP(B869,Tableau13[ID_Antenne],Tableau13[Technologie],"Non répertoriées")</f>
        <v>3G</v>
      </c>
      <c r="F869" s="3">
        <f>_xlfn.XLOOKUP(B869,Tableau13[ID_Antenne],Tableau13[Latitude],"Non répertoriées")</f>
        <v>-8.5675749999999997</v>
      </c>
      <c r="G869" s="32">
        <f>_xlfn.XLOOKUP(B869,Tableau13[ID_Antenne],Tableau13[Longitude],"Non répertoriées")</f>
        <v>26.994581</v>
      </c>
      <c r="H869" t="s">
        <v>5</v>
      </c>
    </row>
    <row r="870" spans="1:8" x14ac:dyDescent="0.25">
      <c r="A870" s="1">
        <v>45212.774305555547</v>
      </c>
      <c r="B870" t="s">
        <v>569</v>
      </c>
      <c r="C870" t="str">
        <f>_xlfn.XLOOKUP(B870,Tableau13[ID_Antenne],Tableau13[Province_RDC],"Non répertoriées")</f>
        <v>Non répertoriées</v>
      </c>
      <c r="D870">
        <v>33</v>
      </c>
      <c r="E870" t="str">
        <f>_xlfn.XLOOKUP(B870,Tableau13[ID_Antenne],Tableau13[Technologie],"Non répertoriées")</f>
        <v>Non répertoriées</v>
      </c>
      <c r="F870" t="str">
        <f>_xlfn.XLOOKUP(B870,Tableau13[ID_Antenne],Tableau13[Latitude],"Non répertoriées")</f>
        <v>Non répertoriées</v>
      </c>
      <c r="G870" t="str">
        <f>_xlfn.XLOOKUP(B870,Tableau13[ID_Antenne],Tableau13[Longitude],"Non répertoriées")</f>
        <v>Non répertoriées</v>
      </c>
      <c r="H870" t="s">
        <v>5</v>
      </c>
    </row>
    <row r="871" spans="1:8" x14ac:dyDescent="0.25">
      <c r="A871" s="1">
        <v>45226.631249999999</v>
      </c>
      <c r="B871" t="s">
        <v>570</v>
      </c>
      <c r="C871" t="str">
        <f>_xlfn.XLOOKUP(B871,Tableau13[ID_Antenne],Tableau13[Province_RDC],"Non répertoriées")</f>
        <v>Non répertoriées</v>
      </c>
      <c r="D871">
        <v>112</v>
      </c>
      <c r="E871" t="str">
        <f>_xlfn.XLOOKUP(B871,Tableau13[ID_Antenne],Tableau13[Technologie],"Non répertoriées")</f>
        <v>Non répertoriées</v>
      </c>
      <c r="F871" t="str">
        <f>_xlfn.XLOOKUP(B871,Tableau13[ID_Antenne],Tableau13[Latitude],"Non répertoriées")</f>
        <v>Non répertoriées</v>
      </c>
      <c r="G871" t="str">
        <f>_xlfn.XLOOKUP(B871,Tableau13[ID_Antenne],Tableau13[Longitude],"Non répertoriées")</f>
        <v>Non répertoriées</v>
      </c>
      <c r="H871" t="s">
        <v>8</v>
      </c>
    </row>
    <row r="872" spans="1:8" x14ac:dyDescent="0.25">
      <c r="A872" s="1">
        <v>45208.52847222222</v>
      </c>
      <c r="B872" t="s">
        <v>179</v>
      </c>
      <c r="C872" s="29" t="str">
        <f>_xlfn.XLOOKUP(B872,Tableau13[ID_Antenne],Tableau13[Province_RDC],"Non répertoriées")</f>
        <v>Lualaba</v>
      </c>
      <c r="D872">
        <v>33</v>
      </c>
      <c r="E872" s="31" t="str">
        <f>_xlfn.XLOOKUP(B872,Tableau13[ID_Antenne],Tableau13[Technologie],"Non répertoriées")</f>
        <v>3G</v>
      </c>
      <c r="F872" s="3">
        <f>_xlfn.XLOOKUP(B872,Tableau13[ID_Antenne],Tableau13[Latitude],"Non répertoriées")</f>
        <v>-10.872631999999999</v>
      </c>
      <c r="G872" s="32">
        <f>_xlfn.XLOOKUP(B872,Tableau13[ID_Antenne],Tableau13[Longitude],"Non répertoriées")</f>
        <v>12.773279</v>
      </c>
      <c r="H872" t="s">
        <v>8</v>
      </c>
    </row>
    <row r="873" spans="1:8" x14ac:dyDescent="0.25">
      <c r="A873" s="1">
        <v>45215.776388888888</v>
      </c>
      <c r="B873" t="s">
        <v>571</v>
      </c>
      <c r="C873" s="29" t="str">
        <f>_xlfn.XLOOKUP(B873,Tableau13[ID_Antenne],Tableau13[Province_RDC],"Non répertoriées")</f>
        <v>Kasai</v>
      </c>
      <c r="D873">
        <v>87</v>
      </c>
      <c r="E873" s="31" t="str">
        <f>_xlfn.XLOOKUP(B873,Tableau13[ID_Antenne],Tableau13[Technologie],"Non répertoriées")</f>
        <v>3G</v>
      </c>
      <c r="F873" s="3">
        <f>_xlfn.XLOOKUP(B873,Tableau13[ID_Antenne],Tableau13[Latitude],"Non répertoriées")</f>
        <v>2.5665840000000002</v>
      </c>
      <c r="G873" s="32">
        <f>_xlfn.XLOOKUP(B873,Tableau13[ID_Antenne],Tableau13[Longitude],"Non répertoriées")</f>
        <v>15.764796</v>
      </c>
      <c r="H873" t="s">
        <v>10</v>
      </c>
    </row>
    <row r="874" spans="1:8" x14ac:dyDescent="0.25">
      <c r="A874" s="1">
        <v>45215.049305555563</v>
      </c>
      <c r="B874" t="s">
        <v>447</v>
      </c>
      <c r="C874" s="29" t="str">
        <f>_xlfn.XLOOKUP(B874,Tableau13[ID_Antenne],Tableau13[Province_RDC],"Non répertoriées")</f>
        <v>Maniema</v>
      </c>
      <c r="D874">
        <v>33</v>
      </c>
      <c r="E874" s="31" t="str">
        <f>_xlfn.XLOOKUP(B874,Tableau13[ID_Antenne],Tableau13[Technologie],"Non répertoriées")</f>
        <v>5G</v>
      </c>
      <c r="F874" s="3">
        <f>_xlfn.XLOOKUP(B874,Tableau13[ID_Antenne],Tableau13[Latitude],"Non répertoriées")</f>
        <v>2.5458379999999998</v>
      </c>
      <c r="G874" s="32">
        <f>_xlfn.XLOOKUP(B874,Tableau13[ID_Antenne],Tableau13[Longitude],"Non répertoriées")</f>
        <v>13.308655</v>
      </c>
      <c r="H874" t="s">
        <v>8</v>
      </c>
    </row>
    <row r="875" spans="1:8" x14ac:dyDescent="0.25">
      <c r="A875" s="1">
        <v>45208.506249999999</v>
      </c>
      <c r="B875" t="s">
        <v>572</v>
      </c>
      <c r="C875" t="str">
        <f>_xlfn.XLOOKUP(B875,Tableau13[ID_Antenne],Tableau13[Province_RDC],"Non répertoriées")</f>
        <v>Non répertoriées</v>
      </c>
      <c r="D875">
        <v>91</v>
      </c>
      <c r="E875" t="str">
        <f>_xlfn.XLOOKUP(B875,Tableau13[ID_Antenne],Tableau13[Technologie],"Non répertoriées")</f>
        <v>Non répertoriées</v>
      </c>
      <c r="F875" t="str">
        <f>_xlfn.XLOOKUP(B875,Tableau13[ID_Antenne],Tableau13[Latitude],"Non répertoriées")</f>
        <v>Non répertoriées</v>
      </c>
      <c r="G875" t="str">
        <f>_xlfn.XLOOKUP(B875,Tableau13[ID_Antenne],Tableau13[Longitude],"Non répertoriées")</f>
        <v>Non répertoriées</v>
      </c>
      <c r="H875" t="s">
        <v>10</v>
      </c>
    </row>
    <row r="876" spans="1:8" x14ac:dyDescent="0.25">
      <c r="A876" s="1">
        <v>45219.821527777778</v>
      </c>
      <c r="B876" t="s">
        <v>496</v>
      </c>
      <c r="C876" t="str">
        <f>_xlfn.XLOOKUP(B876,Tableau13[ID_Antenne],Tableau13[Province_RDC],"Non répertoriées")</f>
        <v>Non répertoriées</v>
      </c>
      <c r="D876">
        <v>31</v>
      </c>
      <c r="E876" t="str">
        <f>_xlfn.XLOOKUP(B876,Tableau13[ID_Antenne],Tableau13[Technologie],"Non répertoriées")</f>
        <v>Non répertoriées</v>
      </c>
      <c r="F876" t="str">
        <f>_xlfn.XLOOKUP(B876,Tableau13[ID_Antenne],Tableau13[Latitude],"Non répertoriées")</f>
        <v>Non répertoriées</v>
      </c>
      <c r="G876" t="str">
        <f>_xlfn.XLOOKUP(B876,Tableau13[ID_Antenne],Tableau13[Longitude],"Non répertoriées")</f>
        <v>Non répertoriées</v>
      </c>
      <c r="H876" t="s">
        <v>8</v>
      </c>
    </row>
    <row r="877" spans="1:8" x14ac:dyDescent="0.25">
      <c r="A877" s="1">
        <v>45222.501388888893</v>
      </c>
      <c r="B877" t="s">
        <v>573</v>
      </c>
      <c r="C877" s="29" t="str">
        <f>_xlfn.XLOOKUP(B877,Tableau13[ID_Antenne],Tableau13[Province_RDC],"Non répertoriées")</f>
        <v>Haut-Lomami</v>
      </c>
      <c r="D877">
        <v>39</v>
      </c>
      <c r="E877" s="31" t="str">
        <f>_xlfn.XLOOKUP(B877,Tableau13[ID_Antenne],Tableau13[Technologie],"Non répertoriées")</f>
        <v>3G</v>
      </c>
      <c r="F877" s="3">
        <f>_xlfn.XLOOKUP(B877,Tableau13[ID_Antenne],Tableau13[Latitude],"Non répertoriées")</f>
        <v>-11.89448</v>
      </c>
      <c r="G877" s="32">
        <f>_xlfn.XLOOKUP(B877,Tableau13[ID_Antenne],Tableau13[Longitude],"Non répertoriées")</f>
        <v>19.216214999999998</v>
      </c>
      <c r="H877" t="s">
        <v>5</v>
      </c>
    </row>
    <row r="878" spans="1:8" x14ac:dyDescent="0.25">
      <c r="A878" s="1">
        <v>45212.447222222218</v>
      </c>
      <c r="B878" t="s">
        <v>487</v>
      </c>
      <c r="C878" s="29" t="str">
        <f>_xlfn.XLOOKUP(B878,Tableau13[ID_Antenne],Tableau13[Province_RDC],"Non répertoriées")</f>
        <v>Kwilu</v>
      </c>
      <c r="D878">
        <v>88</v>
      </c>
      <c r="E878" s="31" t="str">
        <f>_xlfn.XLOOKUP(B878,Tableau13[ID_Antenne],Tableau13[Technologie],"Non répertoriées")</f>
        <v>4G</v>
      </c>
      <c r="F878" s="3">
        <f>_xlfn.XLOOKUP(B878,Tableau13[ID_Antenne],Tableau13[Latitude],"Non répertoriées")</f>
        <v>-7.402336</v>
      </c>
      <c r="G878" s="32">
        <f>_xlfn.XLOOKUP(B878,Tableau13[ID_Antenne],Tableau13[Longitude],"Non répertoriées")</f>
        <v>27.376697</v>
      </c>
      <c r="H878" t="s">
        <v>8</v>
      </c>
    </row>
    <row r="879" spans="1:8" x14ac:dyDescent="0.25">
      <c r="A879" s="1">
        <v>45207.074305555558</v>
      </c>
      <c r="B879" t="s">
        <v>544</v>
      </c>
      <c r="C879" s="29" t="str">
        <f>_xlfn.XLOOKUP(B879,Tableau13[ID_Antenne],Tableau13[Province_RDC],"Non répertoriées")</f>
        <v>Kongo-Central</v>
      </c>
      <c r="D879">
        <v>57</v>
      </c>
      <c r="E879" s="31" t="str">
        <f>_xlfn.XLOOKUP(B879,Tableau13[ID_Antenne],Tableau13[Technologie],"Non répertoriées")</f>
        <v>5G</v>
      </c>
      <c r="F879" s="3">
        <f>_xlfn.XLOOKUP(B879,Tableau13[ID_Antenne],Tableau13[Latitude],"Non répertoriées")</f>
        <v>-7.1587569999999996</v>
      </c>
      <c r="G879" s="32">
        <f>_xlfn.XLOOKUP(B879,Tableau13[ID_Antenne],Tableau13[Longitude],"Non répertoriées")</f>
        <v>18.975141000000001</v>
      </c>
      <c r="H879" t="s">
        <v>5</v>
      </c>
    </row>
    <row r="880" spans="1:8" x14ac:dyDescent="0.25">
      <c r="A880" s="1">
        <v>45215.372916666667</v>
      </c>
      <c r="B880" t="s">
        <v>269</v>
      </c>
      <c r="C880" s="29" t="str">
        <f>_xlfn.XLOOKUP(B880,Tableau13[ID_Antenne],Tableau13[Province_RDC],"Non répertoriées")</f>
        <v>Kongo-Central</v>
      </c>
      <c r="D880">
        <v>70</v>
      </c>
      <c r="E880" s="31" t="str">
        <f>_xlfn.XLOOKUP(B880,Tableau13[ID_Antenne],Tableau13[Technologie],"Non répertoriées")</f>
        <v>4G</v>
      </c>
      <c r="F880" s="3">
        <f>_xlfn.XLOOKUP(B880,Tableau13[ID_Antenne],Tableau13[Latitude],"Non répertoriées")</f>
        <v>-12.112399999999999</v>
      </c>
      <c r="G880" s="32">
        <f>_xlfn.XLOOKUP(B880,Tableau13[ID_Antenne],Tableau13[Longitude],"Non répertoriées")</f>
        <v>15.872226</v>
      </c>
      <c r="H880" t="s">
        <v>8</v>
      </c>
    </row>
    <row r="881" spans="1:8" x14ac:dyDescent="0.25">
      <c r="A881" s="1">
        <v>45211.01458333333</v>
      </c>
      <c r="B881" t="s">
        <v>574</v>
      </c>
      <c r="C881" t="str">
        <f>_xlfn.XLOOKUP(B881,Tableau13[ID_Antenne],Tableau13[Province_RDC],"Non répertoriées")</f>
        <v>Non répertoriées</v>
      </c>
      <c r="D881">
        <v>7</v>
      </c>
      <c r="E881" t="str">
        <f>_xlfn.XLOOKUP(B881,Tableau13[ID_Antenne],Tableau13[Technologie],"Non répertoriées")</f>
        <v>Non répertoriées</v>
      </c>
      <c r="F881" t="str">
        <f>_xlfn.XLOOKUP(B881,Tableau13[ID_Antenne],Tableau13[Latitude],"Non répertoriées")</f>
        <v>Non répertoriées</v>
      </c>
      <c r="G881" t="str">
        <f>_xlfn.XLOOKUP(B881,Tableau13[ID_Antenne],Tableau13[Longitude],"Non répertoriées")</f>
        <v>Non répertoriées</v>
      </c>
      <c r="H881" t="s">
        <v>10</v>
      </c>
    </row>
    <row r="882" spans="1:8" x14ac:dyDescent="0.25">
      <c r="A882" s="1">
        <v>45226.388194444437</v>
      </c>
      <c r="B882" t="s">
        <v>575</v>
      </c>
      <c r="C882" t="str">
        <f>_xlfn.XLOOKUP(B882,Tableau13[ID_Antenne],Tableau13[Province_RDC],"Non répertoriées")</f>
        <v>Non répertoriées</v>
      </c>
      <c r="D882">
        <v>115</v>
      </c>
      <c r="E882" t="str">
        <f>_xlfn.XLOOKUP(B882,Tableau13[ID_Antenne],Tableau13[Technologie],"Non répertoriées")</f>
        <v>Non répertoriées</v>
      </c>
      <c r="F882" t="str">
        <f>_xlfn.XLOOKUP(B882,Tableau13[ID_Antenne],Tableau13[Latitude],"Non répertoriées")</f>
        <v>Non répertoriées</v>
      </c>
      <c r="G882" t="str">
        <f>_xlfn.XLOOKUP(B882,Tableau13[ID_Antenne],Tableau13[Longitude],"Non répertoriées")</f>
        <v>Non répertoriées</v>
      </c>
      <c r="H882" t="s">
        <v>10</v>
      </c>
    </row>
    <row r="883" spans="1:8" x14ac:dyDescent="0.25">
      <c r="A883" s="1">
        <v>45208.662499999999</v>
      </c>
      <c r="B883" t="s">
        <v>576</v>
      </c>
      <c r="C883" t="str">
        <f>_xlfn.XLOOKUP(B883,Tableau13[ID_Antenne],Tableau13[Province_RDC],"Non répertoriées")</f>
        <v>Non répertoriées</v>
      </c>
      <c r="D883">
        <v>104</v>
      </c>
      <c r="E883" t="str">
        <f>_xlfn.XLOOKUP(B883,Tableau13[ID_Antenne],Tableau13[Technologie],"Non répertoriées")</f>
        <v>Non répertoriées</v>
      </c>
      <c r="F883" t="str">
        <f>_xlfn.XLOOKUP(B883,Tableau13[ID_Antenne],Tableau13[Latitude],"Non répertoriées")</f>
        <v>Non répertoriées</v>
      </c>
      <c r="G883" t="str">
        <f>_xlfn.XLOOKUP(B883,Tableau13[ID_Antenne],Tableau13[Longitude],"Non répertoriées")</f>
        <v>Non répertoriées</v>
      </c>
      <c r="H883" t="s">
        <v>10</v>
      </c>
    </row>
    <row r="884" spans="1:8" x14ac:dyDescent="0.25">
      <c r="A884" s="1">
        <v>45222.879166666673</v>
      </c>
      <c r="B884" t="s">
        <v>76</v>
      </c>
      <c r="C884" t="str">
        <f>_xlfn.XLOOKUP(B884,Tableau13[ID_Antenne],Tableau13[Province_RDC],"Non répertoriées")</f>
        <v>Non répertoriées</v>
      </c>
      <c r="D884">
        <v>103</v>
      </c>
      <c r="E884" t="str">
        <f>_xlfn.XLOOKUP(B884,Tableau13[ID_Antenne],Tableau13[Technologie],"Non répertoriées")</f>
        <v>Non répertoriées</v>
      </c>
      <c r="F884" t="str">
        <f>_xlfn.XLOOKUP(B884,Tableau13[ID_Antenne],Tableau13[Latitude],"Non répertoriées")</f>
        <v>Non répertoriées</v>
      </c>
      <c r="G884" t="str">
        <f>_xlfn.XLOOKUP(B884,Tableau13[ID_Antenne],Tableau13[Longitude],"Non répertoriées")</f>
        <v>Non répertoriées</v>
      </c>
      <c r="H884" t="s">
        <v>10</v>
      </c>
    </row>
    <row r="885" spans="1:8" x14ac:dyDescent="0.25">
      <c r="A885" s="1">
        <v>45227.297222222223</v>
      </c>
      <c r="B885" t="s">
        <v>577</v>
      </c>
      <c r="C885" s="29" t="str">
        <f>_xlfn.XLOOKUP(B885,Tableau13[ID_Antenne],Tableau13[Province_RDC],"Non répertoriées")</f>
        <v>Haut-Lomami</v>
      </c>
      <c r="D885">
        <v>92</v>
      </c>
      <c r="E885" s="31" t="str">
        <f>_xlfn.XLOOKUP(B885,Tableau13[ID_Antenne],Tableau13[Technologie],"Non répertoriées")</f>
        <v>3G</v>
      </c>
      <c r="F885" s="3">
        <f>_xlfn.XLOOKUP(B885,Tableau13[ID_Antenne],Tableau13[Latitude],"Non répertoriées")</f>
        <v>-5.5559329999999996</v>
      </c>
      <c r="G885" s="32">
        <f>_xlfn.XLOOKUP(B885,Tableau13[ID_Antenne],Tableau13[Longitude],"Non répertoriées")</f>
        <v>13.508692999999999</v>
      </c>
      <c r="H885" t="s">
        <v>10</v>
      </c>
    </row>
    <row r="886" spans="1:8" x14ac:dyDescent="0.25">
      <c r="A886" s="1">
        <v>45209.977777777778</v>
      </c>
      <c r="B886" t="s">
        <v>515</v>
      </c>
      <c r="C886" t="str">
        <f>_xlfn.XLOOKUP(B886,Tableau13[ID_Antenne],Tableau13[Province_RDC],"Non répertoriées")</f>
        <v>Non répertoriées</v>
      </c>
      <c r="D886">
        <v>6</v>
      </c>
      <c r="E886" t="str">
        <f>_xlfn.XLOOKUP(B886,Tableau13[ID_Antenne],Tableau13[Technologie],"Non répertoriées")</f>
        <v>Non répertoriées</v>
      </c>
      <c r="F886" t="str">
        <f>_xlfn.XLOOKUP(B886,Tableau13[ID_Antenne],Tableau13[Latitude],"Non répertoriées")</f>
        <v>Non répertoriées</v>
      </c>
      <c r="G886" t="str">
        <f>_xlfn.XLOOKUP(B886,Tableau13[ID_Antenne],Tableau13[Longitude],"Non répertoriées")</f>
        <v>Non répertoriées</v>
      </c>
      <c r="H886" t="s">
        <v>10</v>
      </c>
    </row>
    <row r="887" spans="1:8" x14ac:dyDescent="0.25">
      <c r="A887" s="1">
        <v>45224.428472222222</v>
      </c>
      <c r="B887" t="s">
        <v>26</v>
      </c>
      <c r="C887" s="29" t="str">
        <f>_xlfn.XLOOKUP(B887,Tableau13[ID_Antenne],Tableau13[Province_RDC],"Non répertoriées")</f>
        <v>Haut-Katanga</v>
      </c>
      <c r="D887">
        <v>65</v>
      </c>
      <c r="E887" s="31" t="str">
        <f>_xlfn.XLOOKUP(B887,Tableau13[ID_Antenne],Tableau13[Technologie],"Non répertoriées")</f>
        <v>3G</v>
      </c>
      <c r="F887" s="3">
        <f>_xlfn.XLOOKUP(B887,Tableau13[ID_Antenne],Tableau13[Latitude],"Non répertoriées")</f>
        <v>0.172153</v>
      </c>
      <c r="G887" s="32">
        <f>_xlfn.XLOOKUP(B887,Tableau13[ID_Antenne],Tableau13[Longitude],"Non répertoriées")</f>
        <v>21.091376</v>
      </c>
      <c r="H887" t="s">
        <v>8</v>
      </c>
    </row>
    <row r="888" spans="1:8" x14ac:dyDescent="0.25">
      <c r="A888" s="1">
        <v>45223.568055555559</v>
      </c>
      <c r="B888" t="s">
        <v>578</v>
      </c>
      <c r="C888" t="str">
        <f>_xlfn.XLOOKUP(B888,Tableau13[ID_Antenne],Tableau13[Province_RDC],"Non répertoriées")</f>
        <v>Non répertoriées</v>
      </c>
      <c r="D888">
        <v>21</v>
      </c>
      <c r="E888" t="str">
        <f>_xlfn.XLOOKUP(B888,Tableau13[ID_Antenne],Tableau13[Technologie],"Non répertoriées")</f>
        <v>Non répertoriées</v>
      </c>
      <c r="F888" t="str">
        <f>_xlfn.XLOOKUP(B888,Tableau13[ID_Antenne],Tableau13[Latitude],"Non répertoriées")</f>
        <v>Non répertoriées</v>
      </c>
      <c r="G888" t="str">
        <f>_xlfn.XLOOKUP(B888,Tableau13[ID_Antenne],Tableau13[Longitude],"Non répertoriées")</f>
        <v>Non répertoriées</v>
      </c>
      <c r="H888" t="s">
        <v>5</v>
      </c>
    </row>
    <row r="889" spans="1:8" x14ac:dyDescent="0.25">
      <c r="A889" s="1">
        <v>45220.091666666667</v>
      </c>
      <c r="B889" t="s">
        <v>23</v>
      </c>
      <c r="C889" t="str">
        <f>_xlfn.XLOOKUP(B889,Tableau13[ID_Antenne],Tableau13[Province_RDC],"Non répertoriées")</f>
        <v>Non répertoriées</v>
      </c>
      <c r="D889">
        <v>87</v>
      </c>
      <c r="E889" t="str">
        <f>_xlfn.XLOOKUP(B889,Tableau13[ID_Antenne],Tableau13[Technologie],"Non répertoriées")</f>
        <v>Non répertoriées</v>
      </c>
      <c r="F889" t="str">
        <f>_xlfn.XLOOKUP(B889,Tableau13[ID_Antenne],Tableau13[Latitude],"Non répertoriées")</f>
        <v>Non répertoriées</v>
      </c>
      <c r="G889" t="str">
        <f>_xlfn.XLOOKUP(B889,Tableau13[ID_Antenne],Tableau13[Longitude],"Non répertoriées")</f>
        <v>Non répertoriées</v>
      </c>
      <c r="H889" t="s">
        <v>8</v>
      </c>
    </row>
    <row r="890" spans="1:8" x14ac:dyDescent="0.25">
      <c r="A890" s="1">
        <v>45214.290277777778</v>
      </c>
      <c r="B890" t="s">
        <v>453</v>
      </c>
      <c r="C890" s="29" t="str">
        <f>_xlfn.XLOOKUP(B890,Tableau13[ID_Antenne],Tableau13[Province_RDC],"Non répertoriées")</f>
        <v>Equateur</v>
      </c>
      <c r="D890">
        <v>27</v>
      </c>
      <c r="E890" s="31" t="str">
        <f>_xlfn.XLOOKUP(B890,Tableau13[ID_Antenne],Tableau13[Technologie],"Non répertoriées")</f>
        <v>3G</v>
      </c>
      <c r="F890" s="3">
        <f>_xlfn.XLOOKUP(B890,Tableau13[ID_Antenne],Tableau13[Latitude],"Non répertoriées")</f>
        <v>-12.839263000000001</v>
      </c>
      <c r="G890" s="32">
        <f>_xlfn.XLOOKUP(B890,Tableau13[ID_Antenne],Tableau13[Longitude],"Non répertoriées")</f>
        <v>12.355677</v>
      </c>
      <c r="H890" t="s">
        <v>8</v>
      </c>
    </row>
    <row r="891" spans="1:8" x14ac:dyDescent="0.25">
      <c r="A891" s="1">
        <v>45226.574305555558</v>
      </c>
      <c r="B891" t="s">
        <v>246</v>
      </c>
      <c r="C891" t="str">
        <f>_xlfn.XLOOKUP(B891,Tableau13[ID_Antenne],Tableau13[Province_RDC],"Non répertoriées")</f>
        <v>Non répertoriées</v>
      </c>
      <c r="D891">
        <v>81</v>
      </c>
      <c r="E891" t="str">
        <f>_xlfn.XLOOKUP(B891,Tableau13[ID_Antenne],Tableau13[Technologie],"Non répertoriées")</f>
        <v>Non répertoriées</v>
      </c>
      <c r="F891" t="str">
        <f>_xlfn.XLOOKUP(B891,Tableau13[ID_Antenne],Tableau13[Latitude],"Non répertoriées")</f>
        <v>Non répertoriées</v>
      </c>
      <c r="G891" t="str">
        <f>_xlfn.XLOOKUP(B891,Tableau13[ID_Antenne],Tableau13[Longitude],"Non répertoriées")</f>
        <v>Non répertoriées</v>
      </c>
      <c r="H891" t="s">
        <v>8</v>
      </c>
    </row>
    <row r="892" spans="1:8" x14ac:dyDescent="0.25">
      <c r="A892" s="1">
        <v>45215.704861111109</v>
      </c>
      <c r="B892" t="s">
        <v>243</v>
      </c>
      <c r="C892" s="29" t="str">
        <f>_xlfn.XLOOKUP(B892,Tableau13[ID_Antenne],Tableau13[Province_RDC],"Non répertoriées")</f>
        <v>Kongo-Central</v>
      </c>
      <c r="D892">
        <v>107</v>
      </c>
      <c r="E892" s="31" t="str">
        <f>_xlfn.XLOOKUP(B892,Tableau13[ID_Antenne],Tableau13[Technologie],"Non répertoriées")</f>
        <v>5G</v>
      </c>
      <c r="F892" s="3">
        <f>_xlfn.XLOOKUP(B892,Tableau13[ID_Antenne],Tableau13[Latitude],"Non répertoriées")</f>
        <v>-12.564277000000001</v>
      </c>
      <c r="G892" s="32">
        <f>_xlfn.XLOOKUP(B892,Tableau13[ID_Antenne],Tableau13[Longitude],"Non répertoriées")</f>
        <v>28.480798</v>
      </c>
      <c r="H892" t="s">
        <v>5</v>
      </c>
    </row>
    <row r="893" spans="1:8" x14ac:dyDescent="0.25">
      <c r="A893" s="1">
        <v>45211.063888888893</v>
      </c>
      <c r="B893" t="s">
        <v>579</v>
      </c>
      <c r="C893" s="29" t="str">
        <f>_xlfn.XLOOKUP(B893,Tableau13[ID_Antenne],Tableau13[Province_RDC],"Non répertoriées")</f>
        <v>Kasai-Oriental</v>
      </c>
      <c r="D893">
        <v>6</v>
      </c>
      <c r="E893" s="31" t="str">
        <f>_xlfn.XLOOKUP(B893,Tableau13[ID_Antenne],Tableau13[Technologie],"Non répertoriées")</f>
        <v>5G</v>
      </c>
      <c r="F893" s="3">
        <f>_xlfn.XLOOKUP(B893,Tableau13[ID_Antenne],Tableau13[Latitude],"Non répertoriées")</f>
        <v>1.7832440000000001</v>
      </c>
      <c r="G893" s="32">
        <f>_xlfn.XLOOKUP(B893,Tableau13[ID_Antenne],Tableau13[Longitude],"Non répertoriées")</f>
        <v>25.477405999999998</v>
      </c>
      <c r="H893" t="s">
        <v>10</v>
      </c>
    </row>
    <row r="894" spans="1:8" x14ac:dyDescent="0.25">
      <c r="A894" s="1">
        <v>45225.211111111108</v>
      </c>
      <c r="B894" t="s">
        <v>580</v>
      </c>
      <c r="C894" t="str">
        <f>_xlfn.XLOOKUP(B894,Tableau13[ID_Antenne],Tableau13[Province_RDC],"Non répertoriées")</f>
        <v>Non répertoriées</v>
      </c>
      <c r="D894">
        <v>33</v>
      </c>
      <c r="E894" t="str">
        <f>_xlfn.XLOOKUP(B894,Tableau13[ID_Antenne],Tableau13[Technologie],"Non répertoriées")</f>
        <v>Non répertoriées</v>
      </c>
      <c r="F894" t="str">
        <f>_xlfn.XLOOKUP(B894,Tableau13[ID_Antenne],Tableau13[Latitude],"Non répertoriées")</f>
        <v>Non répertoriées</v>
      </c>
      <c r="G894" t="str">
        <f>_xlfn.XLOOKUP(B894,Tableau13[ID_Antenne],Tableau13[Longitude],"Non répertoriées")</f>
        <v>Non répertoriées</v>
      </c>
      <c r="H894" t="s">
        <v>8</v>
      </c>
    </row>
    <row r="895" spans="1:8" x14ac:dyDescent="0.25">
      <c r="A895" s="1">
        <v>45209.938888888893</v>
      </c>
      <c r="B895" t="s">
        <v>64</v>
      </c>
      <c r="C895" s="29" t="str">
        <f>_xlfn.XLOOKUP(B895,Tableau13[ID_Antenne],Tableau13[Province_RDC],"Non répertoriées")</f>
        <v>Haut-Katanga</v>
      </c>
      <c r="D895">
        <v>37</v>
      </c>
      <c r="E895" s="31" t="str">
        <f>_xlfn.XLOOKUP(B895,Tableau13[ID_Antenne],Tableau13[Technologie],"Non répertoriées")</f>
        <v>4G</v>
      </c>
      <c r="F895" s="3">
        <f>_xlfn.XLOOKUP(B895,Tableau13[ID_Antenne],Tableau13[Latitude],"Non répertoriées")</f>
        <v>-5.5445120000000001</v>
      </c>
      <c r="G895" s="32">
        <f>_xlfn.XLOOKUP(B895,Tableau13[ID_Antenne],Tableau13[Longitude],"Non répertoriées")</f>
        <v>27.547335</v>
      </c>
      <c r="H895" t="s">
        <v>8</v>
      </c>
    </row>
    <row r="896" spans="1:8" x14ac:dyDescent="0.25">
      <c r="A896" s="1">
        <v>45212.200694444437</v>
      </c>
      <c r="B896" t="s">
        <v>266</v>
      </c>
      <c r="C896" t="str">
        <f>_xlfn.XLOOKUP(B896,Tableau13[ID_Antenne],Tableau13[Province_RDC],"Non répertoriées")</f>
        <v>Non répertoriées</v>
      </c>
      <c r="D896">
        <v>82</v>
      </c>
      <c r="E896" t="str">
        <f>_xlfn.XLOOKUP(B896,Tableau13[ID_Antenne],Tableau13[Technologie],"Non répertoriées")</f>
        <v>Non répertoriées</v>
      </c>
      <c r="F896" t="str">
        <f>_xlfn.XLOOKUP(B896,Tableau13[ID_Antenne],Tableau13[Latitude],"Non répertoriées")</f>
        <v>Non répertoriées</v>
      </c>
      <c r="G896" t="str">
        <f>_xlfn.XLOOKUP(B896,Tableau13[ID_Antenne],Tableau13[Longitude],"Non répertoriées")</f>
        <v>Non répertoriées</v>
      </c>
      <c r="H896" t="s">
        <v>5</v>
      </c>
    </row>
    <row r="897" spans="1:8" x14ac:dyDescent="0.25">
      <c r="A897" s="1">
        <v>45227.705555555563</v>
      </c>
      <c r="B897" t="s">
        <v>259</v>
      </c>
      <c r="C897" t="str">
        <f>_xlfn.XLOOKUP(B897,Tableau13[ID_Antenne],Tableau13[Province_RDC],"Non répertoriées")</f>
        <v>Non répertoriées</v>
      </c>
      <c r="D897">
        <v>108</v>
      </c>
      <c r="E897" t="str">
        <f>_xlfn.XLOOKUP(B897,Tableau13[ID_Antenne],Tableau13[Technologie],"Non répertoriées")</f>
        <v>Non répertoriées</v>
      </c>
      <c r="F897" t="str">
        <f>_xlfn.XLOOKUP(B897,Tableau13[ID_Antenne],Tableau13[Latitude],"Non répertoriées")</f>
        <v>Non répertoriées</v>
      </c>
      <c r="G897" t="str">
        <f>_xlfn.XLOOKUP(B897,Tableau13[ID_Antenne],Tableau13[Longitude],"Non répertoriées")</f>
        <v>Non répertoriées</v>
      </c>
      <c r="H897" t="s">
        <v>8</v>
      </c>
    </row>
    <row r="898" spans="1:8" x14ac:dyDescent="0.25">
      <c r="A898" s="1">
        <v>45218.007638888892</v>
      </c>
      <c r="B898" t="s">
        <v>114</v>
      </c>
      <c r="C898" s="29" t="str">
        <f>_xlfn.XLOOKUP(B898,Tableau13[ID_Antenne],Tableau13[Province_RDC],"Non répertoriées")</f>
        <v>Sud-Kivu</v>
      </c>
      <c r="D898">
        <v>44</v>
      </c>
      <c r="E898" s="31" t="str">
        <f>_xlfn.XLOOKUP(B898,Tableau13[ID_Antenne],Tableau13[Technologie],"Non répertoriées")</f>
        <v>3G</v>
      </c>
      <c r="F898" s="3">
        <f>_xlfn.XLOOKUP(B898,Tableau13[ID_Antenne],Tableau13[Latitude],"Non répertoriées")</f>
        <v>-9.4702129999999993</v>
      </c>
      <c r="G898" s="32">
        <f>_xlfn.XLOOKUP(B898,Tableau13[ID_Antenne],Tableau13[Longitude],"Non répertoriées")</f>
        <v>12.826158</v>
      </c>
      <c r="H898" t="s">
        <v>8</v>
      </c>
    </row>
    <row r="899" spans="1:8" x14ac:dyDescent="0.25">
      <c r="A899" s="1">
        <v>45206.286805555559</v>
      </c>
      <c r="B899" t="s">
        <v>64</v>
      </c>
      <c r="C899" s="29" t="str">
        <f>_xlfn.XLOOKUP(B899,Tableau13[ID_Antenne],Tableau13[Province_RDC],"Non répertoriées")</f>
        <v>Haut-Katanga</v>
      </c>
      <c r="D899">
        <v>96</v>
      </c>
      <c r="E899" s="31" t="str">
        <f>_xlfn.XLOOKUP(B899,Tableau13[ID_Antenne],Tableau13[Technologie],"Non répertoriées")</f>
        <v>4G</v>
      </c>
      <c r="F899" s="3">
        <f>_xlfn.XLOOKUP(B899,Tableau13[ID_Antenne],Tableau13[Latitude],"Non répertoriées")</f>
        <v>-5.5445120000000001</v>
      </c>
      <c r="G899" s="32">
        <f>_xlfn.XLOOKUP(B899,Tableau13[ID_Antenne],Tableau13[Longitude],"Non répertoriées")</f>
        <v>27.547335</v>
      </c>
      <c r="H899" t="s">
        <v>8</v>
      </c>
    </row>
    <row r="900" spans="1:8" x14ac:dyDescent="0.25">
      <c r="A900" s="1">
        <v>45201.293055555558</v>
      </c>
      <c r="B900" t="s">
        <v>546</v>
      </c>
      <c r="C900" s="29" t="str">
        <f>_xlfn.XLOOKUP(B900,Tableau13[ID_Antenne],Tableau13[Province_RDC],"Non répertoriées")</f>
        <v>Lomami</v>
      </c>
      <c r="D900">
        <v>95</v>
      </c>
      <c r="E900" s="31" t="str">
        <f>_xlfn.XLOOKUP(B900,Tableau13[ID_Antenne],Tableau13[Technologie],"Non répertoriées")</f>
        <v>4G</v>
      </c>
      <c r="F900" s="3">
        <f>_xlfn.XLOOKUP(B900,Tableau13[ID_Antenne],Tableau13[Latitude],"Non répertoriées")</f>
        <v>-9.5619429999999994</v>
      </c>
      <c r="G900" s="32">
        <f>_xlfn.XLOOKUP(B900,Tableau13[ID_Antenne],Tableau13[Longitude],"Non répertoriées")</f>
        <v>21.445726000000001</v>
      </c>
      <c r="H900" t="s">
        <v>10</v>
      </c>
    </row>
    <row r="901" spans="1:8" x14ac:dyDescent="0.25">
      <c r="A901" s="1">
        <v>45214.081944444442</v>
      </c>
      <c r="B901" t="s">
        <v>581</v>
      </c>
      <c r="C901" t="str">
        <f>_xlfn.XLOOKUP(B901,Tableau13[ID_Antenne],Tableau13[Province_RDC],"Non répertoriées")</f>
        <v>Non répertoriées</v>
      </c>
      <c r="D901">
        <v>87</v>
      </c>
      <c r="E901" t="str">
        <f>_xlfn.XLOOKUP(B901,Tableau13[ID_Antenne],Tableau13[Technologie],"Non répertoriées")</f>
        <v>Non répertoriées</v>
      </c>
      <c r="F901" t="str">
        <f>_xlfn.XLOOKUP(B901,Tableau13[ID_Antenne],Tableau13[Latitude],"Non répertoriées")</f>
        <v>Non répertoriées</v>
      </c>
      <c r="G901" t="str">
        <f>_xlfn.XLOOKUP(B901,Tableau13[ID_Antenne],Tableau13[Longitude],"Non répertoriées")</f>
        <v>Non répertoriées</v>
      </c>
      <c r="H901" t="s">
        <v>8</v>
      </c>
    </row>
    <row r="902" spans="1:8" x14ac:dyDescent="0.25">
      <c r="A902" s="1">
        <v>45211.925000000003</v>
      </c>
      <c r="B902" t="s">
        <v>150</v>
      </c>
      <c r="C902" t="str">
        <f>_xlfn.XLOOKUP(B902,Tableau13[ID_Antenne],Tableau13[Province_RDC],"Non répertoriées")</f>
        <v>Non répertoriées</v>
      </c>
      <c r="D902">
        <v>40</v>
      </c>
      <c r="E902" t="str">
        <f>_xlfn.XLOOKUP(B902,Tableau13[ID_Antenne],Tableau13[Technologie],"Non répertoriées")</f>
        <v>Non répertoriées</v>
      </c>
      <c r="F902" t="str">
        <f>_xlfn.XLOOKUP(B902,Tableau13[ID_Antenne],Tableau13[Latitude],"Non répertoriées")</f>
        <v>Non répertoriées</v>
      </c>
      <c r="G902" t="str">
        <f>_xlfn.XLOOKUP(B902,Tableau13[ID_Antenne],Tableau13[Longitude],"Non répertoriées")</f>
        <v>Non répertoriées</v>
      </c>
      <c r="H902" t="s">
        <v>10</v>
      </c>
    </row>
    <row r="903" spans="1:8" x14ac:dyDescent="0.25">
      <c r="A903" s="1">
        <v>45208.494444444441</v>
      </c>
      <c r="B903" t="s">
        <v>343</v>
      </c>
      <c r="C903" t="str">
        <f>_xlfn.XLOOKUP(B903,Tableau13[ID_Antenne],Tableau13[Province_RDC],"Non répertoriées")</f>
        <v>Non répertoriées</v>
      </c>
      <c r="D903">
        <v>59</v>
      </c>
      <c r="E903" t="str">
        <f>_xlfn.XLOOKUP(B903,Tableau13[ID_Antenne],Tableau13[Technologie],"Non répertoriées")</f>
        <v>Non répertoriées</v>
      </c>
      <c r="F903" t="str">
        <f>_xlfn.XLOOKUP(B903,Tableau13[ID_Antenne],Tableau13[Latitude],"Non répertoriées")</f>
        <v>Non répertoriées</v>
      </c>
      <c r="G903" t="str">
        <f>_xlfn.XLOOKUP(B903,Tableau13[ID_Antenne],Tableau13[Longitude],"Non répertoriées")</f>
        <v>Non répertoriées</v>
      </c>
      <c r="H903" t="s">
        <v>8</v>
      </c>
    </row>
    <row r="904" spans="1:8" x14ac:dyDescent="0.25">
      <c r="A904" s="1">
        <v>45214.684027777781</v>
      </c>
      <c r="B904" t="s">
        <v>104</v>
      </c>
      <c r="C904" s="29" t="str">
        <f>_xlfn.XLOOKUP(B904,Tableau13[ID_Antenne],Tableau13[Province_RDC],"Non répertoriées")</f>
        <v>Lomami</v>
      </c>
      <c r="D904">
        <v>119</v>
      </c>
      <c r="E904" s="31" t="str">
        <f>_xlfn.XLOOKUP(B904,Tableau13[ID_Antenne],Tableau13[Technologie],"Non répertoriées")</f>
        <v>5G</v>
      </c>
      <c r="F904" s="3">
        <f>_xlfn.XLOOKUP(B904,Tableau13[ID_Antenne],Tableau13[Latitude],"Non répertoriées")</f>
        <v>-11.218453999999999</v>
      </c>
      <c r="G904" s="32">
        <f>_xlfn.XLOOKUP(B904,Tableau13[ID_Antenne],Tableau13[Longitude],"Non répertoriées")</f>
        <v>28.230025000000001</v>
      </c>
      <c r="H904" t="s">
        <v>10</v>
      </c>
    </row>
    <row r="905" spans="1:8" x14ac:dyDescent="0.25">
      <c r="A905" s="1">
        <v>45220.154861111107</v>
      </c>
      <c r="B905" t="s">
        <v>398</v>
      </c>
      <c r="C905" s="29" t="str">
        <f>_xlfn.XLOOKUP(B905,Tableau13[ID_Antenne],Tableau13[Province_RDC],"Non répertoriées")</f>
        <v>Kongo-Central</v>
      </c>
      <c r="D905">
        <v>53</v>
      </c>
      <c r="E905" s="31" t="str">
        <f>_xlfn.XLOOKUP(B905,Tableau13[ID_Antenne],Tableau13[Technologie],"Non répertoriées")</f>
        <v>5G</v>
      </c>
      <c r="F905" s="3">
        <f>_xlfn.XLOOKUP(B905,Tableau13[ID_Antenne],Tableau13[Latitude],"Non répertoriées")</f>
        <v>-9.8208710000000004</v>
      </c>
      <c r="G905" s="32">
        <f>_xlfn.XLOOKUP(B905,Tableau13[ID_Antenne],Tableau13[Longitude],"Non répertoriées")</f>
        <v>23.229807000000001</v>
      </c>
      <c r="H905" t="s">
        <v>5</v>
      </c>
    </row>
    <row r="906" spans="1:8" x14ac:dyDescent="0.25">
      <c r="A906" s="1">
        <v>45200.307638888888</v>
      </c>
      <c r="B906" t="s">
        <v>23</v>
      </c>
      <c r="C906" t="str">
        <f>_xlfn.XLOOKUP(B906,Tableau13[ID_Antenne],Tableau13[Province_RDC],"Non répertoriées")</f>
        <v>Non répertoriées</v>
      </c>
      <c r="D906">
        <v>114</v>
      </c>
      <c r="E906" t="str">
        <f>_xlfn.XLOOKUP(B906,Tableau13[ID_Antenne],Tableau13[Technologie],"Non répertoriées")</f>
        <v>Non répertoriées</v>
      </c>
      <c r="F906" t="str">
        <f>_xlfn.XLOOKUP(B906,Tableau13[ID_Antenne],Tableau13[Latitude],"Non répertoriées")</f>
        <v>Non répertoriées</v>
      </c>
      <c r="G906" t="str">
        <f>_xlfn.XLOOKUP(B906,Tableau13[ID_Antenne],Tableau13[Longitude],"Non répertoriées")</f>
        <v>Non répertoriées</v>
      </c>
      <c r="H906" t="s">
        <v>8</v>
      </c>
    </row>
    <row r="907" spans="1:8" x14ac:dyDescent="0.25">
      <c r="A907" s="1">
        <v>45215.811111111107</v>
      </c>
      <c r="B907" t="s">
        <v>187</v>
      </c>
      <c r="C907" t="str">
        <f>_xlfn.XLOOKUP(B907,Tableau13[ID_Antenne],Tableau13[Province_RDC],"Non répertoriées")</f>
        <v>Non répertoriées</v>
      </c>
      <c r="D907">
        <v>49</v>
      </c>
      <c r="E907" t="str">
        <f>_xlfn.XLOOKUP(B907,Tableau13[ID_Antenne],Tableau13[Technologie],"Non répertoriées")</f>
        <v>Non répertoriées</v>
      </c>
      <c r="F907" t="str">
        <f>_xlfn.XLOOKUP(B907,Tableau13[ID_Antenne],Tableau13[Latitude],"Non répertoriées")</f>
        <v>Non répertoriées</v>
      </c>
      <c r="G907" t="str">
        <f>_xlfn.XLOOKUP(B907,Tableau13[ID_Antenne],Tableau13[Longitude],"Non répertoriées")</f>
        <v>Non répertoriées</v>
      </c>
      <c r="H907" t="s">
        <v>8</v>
      </c>
    </row>
    <row r="908" spans="1:8" x14ac:dyDescent="0.25">
      <c r="A908" s="1">
        <v>45205.650694444441</v>
      </c>
      <c r="B908" t="s">
        <v>582</v>
      </c>
      <c r="C908" s="29" t="str">
        <f>_xlfn.XLOOKUP(B908,Tableau13[ID_Antenne],Tableau13[Province_RDC],"Non répertoriées")</f>
        <v>Kongo-Central</v>
      </c>
      <c r="D908">
        <v>63</v>
      </c>
      <c r="E908" s="31" t="str">
        <f>_xlfn.XLOOKUP(B908,Tableau13[ID_Antenne],Tableau13[Technologie],"Non répertoriées")</f>
        <v>5G</v>
      </c>
      <c r="F908" s="3">
        <f>_xlfn.XLOOKUP(B908,Tableau13[ID_Antenne],Tableau13[Latitude],"Non répertoriées")</f>
        <v>-10.977309</v>
      </c>
      <c r="G908" s="32">
        <f>_xlfn.XLOOKUP(B908,Tableau13[ID_Antenne],Tableau13[Longitude],"Non répertoriées")</f>
        <v>12.408281000000001</v>
      </c>
      <c r="H908" t="s">
        <v>5</v>
      </c>
    </row>
    <row r="909" spans="1:8" x14ac:dyDescent="0.25">
      <c r="A909" s="1">
        <v>45217.473611111112</v>
      </c>
      <c r="B909" t="s">
        <v>139</v>
      </c>
      <c r="C909" s="29" t="str">
        <f>_xlfn.XLOOKUP(B909,Tableau13[ID_Antenne],Tableau13[Province_RDC],"Non répertoriées")</f>
        <v>Kwilu</v>
      </c>
      <c r="D909">
        <v>37</v>
      </c>
      <c r="E909" s="31" t="str">
        <f>_xlfn.XLOOKUP(B909,Tableau13[ID_Antenne],Tableau13[Technologie],"Non répertoriées")</f>
        <v>3G</v>
      </c>
      <c r="F909" s="3">
        <f>_xlfn.XLOOKUP(B909,Tableau13[ID_Antenne],Tableau13[Latitude],"Non répertoriées")</f>
        <v>-8.5675749999999997</v>
      </c>
      <c r="G909" s="32">
        <f>_xlfn.XLOOKUP(B909,Tableau13[ID_Antenne],Tableau13[Longitude],"Non répertoriées")</f>
        <v>26.994581</v>
      </c>
      <c r="H909" t="s">
        <v>10</v>
      </c>
    </row>
    <row r="910" spans="1:8" x14ac:dyDescent="0.25">
      <c r="A910" s="1">
        <v>45205.365972222222</v>
      </c>
      <c r="B910" t="s">
        <v>424</v>
      </c>
      <c r="C910" t="str">
        <f>_xlfn.XLOOKUP(B910,Tableau13[ID_Antenne],Tableau13[Province_RDC],"Non répertoriées")</f>
        <v>Non répertoriées</v>
      </c>
      <c r="D910">
        <v>32</v>
      </c>
      <c r="E910" t="str">
        <f>_xlfn.XLOOKUP(B910,Tableau13[ID_Antenne],Tableau13[Technologie],"Non répertoriées")</f>
        <v>Non répertoriées</v>
      </c>
      <c r="F910" t="str">
        <f>_xlfn.XLOOKUP(B910,Tableau13[ID_Antenne],Tableau13[Latitude],"Non répertoriées")</f>
        <v>Non répertoriées</v>
      </c>
      <c r="G910" t="str">
        <f>_xlfn.XLOOKUP(B910,Tableau13[ID_Antenne],Tableau13[Longitude],"Non répertoriées")</f>
        <v>Non répertoriées</v>
      </c>
      <c r="H910" t="s">
        <v>5</v>
      </c>
    </row>
    <row r="911" spans="1:8" x14ac:dyDescent="0.25">
      <c r="A911" s="1">
        <v>45226.920138888891</v>
      </c>
      <c r="B911" t="s">
        <v>49</v>
      </c>
      <c r="C911" t="str">
        <f>_xlfn.XLOOKUP(B911,Tableau13[ID_Antenne],Tableau13[Province_RDC],"Non répertoriées")</f>
        <v>Non répertoriées</v>
      </c>
      <c r="D911">
        <v>64</v>
      </c>
      <c r="E911" t="str">
        <f>_xlfn.XLOOKUP(B911,Tableau13[ID_Antenne],Tableau13[Technologie],"Non répertoriées")</f>
        <v>Non répertoriées</v>
      </c>
      <c r="F911" t="str">
        <f>_xlfn.XLOOKUP(B911,Tableau13[ID_Antenne],Tableau13[Latitude],"Non répertoriées")</f>
        <v>Non répertoriées</v>
      </c>
      <c r="G911" t="str">
        <f>_xlfn.XLOOKUP(B911,Tableau13[ID_Antenne],Tableau13[Longitude],"Non répertoriées")</f>
        <v>Non répertoriées</v>
      </c>
      <c r="H911" t="s">
        <v>10</v>
      </c>
    </row>
    <row r="912" spans="1:8" x14ac:dyDescent="0.25">
      <c r="A912" s="1">
        <v>45209.01666666667</v>
      </c>
      <c r="B912" t="s">
        <v>583</v>
      </c>
      <c r="C912" t="str">
        <f>_xlfn.XLOOKUP(B912,Tableau13[ID_Antenne],Tableau13[Province_RDC],"Non répertoriées")</f>
        <v>Non répertoriées</v>
      </c>
      <c r="D912">
        <v>43</v>
      </c>
      <c r="E912" t="str">
        <f>_xlfn.XLOOKUP(B912,Tableau13[ID_Antenne],Tableau13[Technologie],"Non répertoriées")</f>
        <v>Non répertoriées</v>
      </c>
      <c r="F912" t="str">
        <f>_xlfn.XLOOKUP(B912,Tableau13[ID_Antenne],Tableau13[Latitude],"Non répertoriées")</f>
        <v>Non répertoriées</v>
      </c>
      <c r="G912" t="str">
        <f>_xlfn.XLOOKUP(B912,Tableau13[ID_Antenne],Tableau13[Longitude],"Non répertoriées")</f>
        <v>Non répertoriées</v>
      </c>
      <c r="H912" t="s">
        <v>5</v>
      </c>
    </row>
    <row r="913" spans="1:8" x14ac:dyDescent="0.25">
      <c r="A913" s="1">
        <v>45201.245833333327</v>
      </c>
      <c r="B913" t="s">
        <v>334</v>
      </c>
      <c r="C913" s="29" t="str">
        <f>_xlfn.XLOOKUP(B913,Tableau13[ID_Antenne],Tableau13[Province_RDC],"Non répertoriées")</f>
        <v>Ituri</v>
      </c>
      <c r="D913">
        <v>91</v>
      </c>
      <c r="E913" s="31" t="str">
        <f>_xlfn.XLOOKUP(B913,Tableau13[ID_Antenne],Tableau13[Technologie],"Non répertoriées")</f>
        <v>5G</v>
      </c>
      <c r="F913" s="3">
        <f>_xlfn.XLOOKUP(B913,Tableau13[ID_Antenne],Tableau13[Latitude],"Non répertoriées")</f>
        <v>-0.34051900000000002</v>
      </c>
      <c r="G913" s="32">
        <f>_xlfn.XLOOKUP(B913,Tableau13[ID_Antenne],Tableau13[Longitude],"Non répertoriées")</f>
        <v>17.079799000000001</v>
      </c>
      <c r="H913" t="s">
        <v>8</v>
      </c>
    </row>
    <row r="914" spans="1:8" x14ac:dyDescent="0.25">
      <c r="A914" s="1">
        <v>45218.287499999999</v>
      </c>
      <c r="B914" t="s">
        <v>584</v>
      </c>
      <c r="C914" t="str">
        <f>_xlfn.XLOOKUP(B914,Tableau13[ID_Antenne],Tableau13[Province_RDC],"Non répertoriées")</f>
        <v>Non répertoriées</v>
      </c>
      <c r="D914">
        <v>71</v>
      </c>
      <c r="E914" t="str">
        <f>_xlfn.XLOOKUP(B914,Tableau13[ID_Antenne],Tableau13[Technologie],"Non répertoriées")</f>
        <v>Non répertoriées</v>
      </c>
      <c r="F914" t="str">
        <f>_xlfn.XLOOKUP(B914,Tableau13[ID_Antenne],Tableau13[Latitude],"Non répertoriées")</f>
        <v>Non répertoriées</v>
      </c>
      <c r="G914" t="str">
        <f>_xlfn.XLOOKUP(B914,Tableau13[ID_Antenne],Tableau13[Longitude],"Non répertoriées")</f>
        <v>Non répertoriées</v>
      </c>
      <c r="H914" t="s">
        <v>10</v>
      </c>
    </row>
    <row r="915" spans="1:8" x14ac:dyDescent="0.25">
      <c r="A915" s="1">
        <v>45220.093055555553</v>
      </c>
      <c r="B915" t="s">
        <v>549</v>
      </c>
      <c r="C915" t="str">
        <f>_xlfn.XLOOKUP(B915,Tableau13[ID_Antenne],Tableau13[Province_RDC],"Non répertoriées")</f>
        <v>Non répertoriées</v>
      </c>
      <c r="D915">
        <v>48</v>
      </c>
      <c r="E915" t="str">
        <f>_xlfn.XLOOKUP(B915,Tableau13[ID_Antenne],Tableau13[Technologie],"Non répertoriées")</f>
        <v>Non répertoriées</v>
      </c>
      <c r="F915" t="str">
        <f>_xlfn.XLOOKUP(B915,Tableau13[ID_Antenne],Tableau13[Latitude],"Non répertoriées")</f>
        <v>Non répertoriées</v>
      </c>
      <c r="G915" t="str">
        <f>_xlfn.XLOOKUP(B915,Tableau13[ID_Antenne],Tableau13[Longitude],"Non répertoriées")</f>
        <v>Non répertoriées</v>
      </c>
      <c r="H915" t="s">
        <v>5</v>
      </c>
    </row>
    <row r="916" spans="1:8" x14ac:dyDescent="0.25">
      <c r="A916" s="1">
        <v>45211.324305555558</v>
      </c>
      <c r="B916" t="s">
        <v>585</v>
      </c>
      <c r="C916" t="str">
        <f>_xlfn.XLOOKUP(B916,Tableau13[ID_Antenne],Tableau13[Province_RDC],"Non répertoriées")</f>
        <v>Non répertoriées</v>
      </c>
      <c r="D916">
        <v>120</v>
      </c>
      <c r="E916" t="str">
        <f>_xlfn.XLOOKUP(B916,Tableau13[ID_Antenne],Tableau13[Technologie],"Non répertoriées")</f>
        <v>Non répertoriées</v>
      </c>
      <c r="F916" t="str">
        <f>_xlfn.XLOOKUP(B916,Tableau13[ID_Antenne],Tableau13[Latitude],"Non répertoriées")</f>
        <v>Non répertoriées</v>
      </c>
      <c r="G916" t="str">
        <f>_xlfn.XLOOKUP(B916,Tableau13[ID_Antenne],Tableau13[Longitude],"Non répertoriées")</f>
        <v>Non répertoriées</v>
      </c>
      <c r="H916" t="s">
        <v>10</v>
      </c>
    </row>
    <row r="917" spans="1:8" x14ac:dyDescent="0.25">
      <c r="A917" s="1">
        <v>45227.393055555563</v>
      </c>
      <c r="B917" t="s">
        <v>274</v>
      </c>
      <c r="C917" t="str">
        <f>_xlfn.XLOOKUP(B917,Tableau13[ID_Antenne],Tableau13[Province_RDC],"Non répertoriées")</f>
        <v>Non répertoriées</v>
      </c>
      <c r="D917">
        <v>67</v>
      </c>
      <c r="E917" t="str">
        <f>_xlfn.XLOOKUP(B917,Tableau13[ID_Antenne],Tableau13[Technologie],"Non répertoriées")</f>
        <v>Non répertoriées</v>
      </c>
      <c r="F917" t="str">
        <f>_xlfn.XLOOKUP(B917,Tableau13[ID_Antenne],Tableau13[Latitude],"Non répertoriées")</f>
        <v>Non répertoriées</v>
      </c>
      <c r="G917" t="str">
        <f>_xlfn.XLOOKUP(B917,Tableau13[ID_Antenne],Tableau13[Longitude],"Non répertoriées")</f>
        <v>Non répertoriées</v>
      </c>
      <c r="H917" t="s">
        <v>5</v>
      </c>
    </row>
    <row r="918" spans="1:8" x14ac:dyDescent="0.25">
      <c r="A918" s="1">
        <v>45225.432638888888</v>
      </c>
      <c r="B918" t="s">
        <v>173</v>
      </c>
      <c r="C918" t="str">
        <f>_xlfn.XLOOKUP(B918,Tableau13[ID_Antenne],Tableau13[Province_RDC],"Non répertoriées")</f>
        <v>Non répertoriées</v>
      </c>
      <c r="D918">
        <v>50</v>
      </c>
      <c r="E918" t="str">
        <f>_xlfn.XLOOKUP(B918,Tableau13[ID_Antenne],Tableau13[Technologie],"Non répertoriées")</f>
        <v>Non répertoriées</v>
      </c>
      <c r="F918" t="str">
        <f>_xlfn.XLOOKUP(B918,Tableau13[ID_Antenne],Tableau13[Latitude],"Non répertoriées")</f>
        <v>Non répertoriées</v>
      </c>
      <c r="G918" t="str">
        <f>_xlfn.XLOOKUP(B918,Tableau13[ID_Antenne],Tableau13[Longitude],"Non répertoriées")</f>
        <v>Non répertoriées</v>
      </c>
      <c r="H918" t="s">
        <v>8</v>
      </c>
    </row>
    <row r="919" spans="1:8" x14ac:dyDescent="0.25">
      <c r="A919" s="1">
        <v>45208.762499999997</v>
      </c>
      <c r="B919" t="s">
        <v>586</v>
      </c>
      <c r="C919" t="str">
        <f>_xlfn.XLOOKUP(B919,Tableau13[ID_Antenne],Tableau13[Province_RDC],"Non répertoriées")</f>
        <v>Non répertoriées</v>
      </c>
      <c r="D919">
        <v>101</v>
      </c>
      <c r="E919" t="str">
        <f>_xlfn.XLOOKUP(B919,Tableau13[ID_Antenne],Tableau13[Technologie],"Non répertoriées")</f>
        <v>Non répertoriées</v>
      </c>
      <c r="F919" t="str">
        <f>_xlfn.XLOOKUP(B919,Tableau13[ID_Antenne],Tableau13[Latitude],"Non répertoriées")</f>
        <v>Non répertoriées</v>
      </c>
      <c r="G919" t="str">
        <f>_xlfn.XLOOKUP(B919,Tableau13[ID_Antenne],Tableau13[Longitude],"Non répertoriées")</f>
        <v>Non répertoriées</v>
      </c>
      <c r="H919" t="s">
        <v>5</v>
      </c>
    </row>
    <row r="920" spans="1:8" x14ac:dyDescent="0.25">
      <c r="A920" s="1">
        <v>45214.145833333343</v>
      </c>
      <c r="B920" t="s">
        <v>248</v>
      </c>
      <c r="C920" t="str">
        <f>_xlfn.XLOOKUP(B920,Tableau13[ID_Antenne],Tableau13[Province_RDC],"Non répertoriées")</f>
        <v>Non répertoriées</v>
      </c>
      <c r="D920">
        <v>29</v>
      </c>
      <c r="E920" t="str">
        <f>_xlfn.XLOOKUP(B920,Tableau13[ID_Antenne],Tableau13[Technologie],"Non répertoriées")</f>
        <v>Non répertoriées</v>
      </c>
      <c r="F920" t="str">
        <f>_xlfn.XLOOKUP(B920,Tableau13[ID_Antenne],Tableau13[Latitude],"Non répertoriées")</f>
        <v>Non répertoriées</v>
      </c>
      <c r="G920" t="str">
        <f>_xlfn.XLOOKUP(B920,Tableau13[ID_Antenne],Tableau13[Longitude],"Non répertoriées")</f>
        <v>Non répertoriées</v>
      </c>
      <c r="H920" t="s">
        <v>10</v>
      </c>
    </row>
    <row r="921" spans="1:8" x14ac:dyDescent="0.25">
      <c r="A921" s="1">
        <v>45201.859027777777</v>
      </c>
      <c r="B921" t="s">
        <v>587</v>
      </c>
      <c r="C921" t="str">
        <f>_xlfn.XLOOKUP(B921,Tableau13[ID_Antenne],Tableau13[Province_RDC],"Non répertoriées")</f>
        <v>Non répertoriées</v>
      </c>
      <c r="D921">
        <v>26</v>
      </c>
      <c r="E921" t="str">
        <f>_xlfn.XLOOKUP(B921,Tableau13[ID_Antenne],Tableau13[Technologie],"Non répertoriées")</f>
        <v>Non répertoriées</v>
      </c>
      <c r="F921" t="str">
        <f>_xlfn.XLOOKUP(B921,Tableau13[ID_Antenne],Tableau13[Latitude],"Non répertoriées")</f>
        <v>Non répertoriées</v>
      </c>
      <c r="G921" t="str">
        <f>_xlfn.XLOOKUP(B921,Tableau13[ID_Antenne],Tableau13[Longitude],"Non répertoriées")</f>
        <v>Non répertoriées</v>
      </c>
      <c r="H921" t="s">
        <v>8</v>
      </c>
    </row>
    <row r="922" spans="1:8" x14ac:dyDescent="0.25">
      <c r="A922" s="1">
        <v>45218.794444444437</v>
      </c>
      <c r="B922" t="s">
        <v>588</v>
      </c>
      <c r="C922" t="str">
        <f>_xlfn.XLOOKUP(B922,Tableau13[ID_Antenne],Tableau13[Province_RDC],"Non répertoriées")</f>
        <v>Non répertoriées</v>
      </c>
      <c r="D922">
        <v>108</v>
      </c>
      <c r="E922" t="str">
        <f>_xlfn.XLOOKUP(B922,Tableau13[ID_Antenne],Tableau13[Technologie],"Non répertoriées")</f>
        <v>Non répertoriées</v>
      </c>
      <c r="F922" t="str">
        <f>_xlfn.XLOOKUP(B922,Tableau13[ID_Antenne],Tableau13[Latitude],"Non répertoriées")</f>
        <v>Non répertoriées</v>
      </c>
      <c r="G922" t="str">
        <f>_xlfn.XLOOKUP(B922,Tableau13[ID_Antenne],Tableau13[Longitude],"Non répertoriées")</f>
        <v>Non répertoriées</v>
      </c>
      <c r="H922" t="s">
        <v>5</v>
      </c>
    </row>
    <row r="923" spans="1:8" x14ac:dyDescent="0.25">
      <c r="A923" s="1">
        <v>45215.272222222222</v>
      </c>
      <c r="B923" t="s">
        <v>589</v>
      </c>
      <c r="C923" t="str">
        <f>_xlfn.XLOOKUP(B923,Tableau13[ID_Antenne],Tableau13[Province_RDC],"Non répertoriées")</f>
        <v>Non répertoriées</v>
      </c>
      <c r="D923">
        <v>56</v>
      </c>
      <c r="E923" t="str">
        <f>_xlfn.XLOOKUP(B923,Tableau13[ID_Antenne],Tableau13[Technologie],"Non répertoriées")</f>
        <v>Non répertoriées</v>
      </c>
      <c r="F923" t="str">
        <f>_xlfn.XLOOKUP(B923,Tableau13[ID_Antenne],Tableau13[Latitude],"Non répertoriées")</f>
        <v>Non répertoriées</v>
      </c>
      <c r="G923" t="str">
        <f>_xlfn.XLOOKUP(B923,Tableau13[ID_Antenne],Tableau13[Longitude],"Non répertoriées")</f>
        <v>Non répertoriées</v>
      </c>
      <c r="H923" t="s">
        <v>10</v>
      </c>
    </row>
    <row r="924" spans="1:8" x14ac:dyDescent="0.25">
      <c r="A924" s="1">
        <v>45203.89166666667</v>
      </c>
      <c r="B924" t="s">
        <v>172</v>
      </c>
      <c r="C924" t="str">
        <f>_xlfn.XLOOKUP(B924,Tableau13[ID_Antenne],Tableau13[Province_RDC],"Non répertoriées")</f>
        <v>Non répertoriées</v>
      </c>
      <c r="D924">
        <v>7</v>
      </c>
      <c r="E924" t="str">
        <f>_xlfn.XLOOKUP(B924,Tableau13[ID_Antenne],Tableau13[Technologie],"Non répertoriées")</f>
        <v>Non répertoriées</v>
      </c>
      <c r="F924" t="str">
        <f>_xlfn.XLOOKUP(B924,Tableau13[ID_Antenne],Tableau13[Latitude],"Non répertoriées")</f>
        <v>Non répertoriées</v>
      </c>
      <c r="G924" t="str">
        <f>_xlfn.XLOOKUP(B924,Tableau13[ID_Antenne],Tableau13[Longitude],"Non répertoriées")</f>
        <v>Non répertoriées</v>
      </c>
      <c r="H924" t="s">
        <v>8</v>
      </c>
    </row>
    <row r="925" spans="1:8" x14ac:dyDescent="0.25">
      <c r="A925" s="1">
        <v>45216.393055555563</v>
      </c>
      <c r="B925" t="s">
        <v>590</v>
      </c>
      <c r="C925" t="str">
        <f>_xlfn.XLOOKUP(B925,Tableau13[ID_Antenne],Tableau13[Province_RDC],"Non répertoriées")</f>
        <v>Non répertoriées</v>
      </c>
      <c r="D925">
        <v>34</v>
      </c>
      <c r="E925" t="str">
        <f>_xlfn.XLOOKUP(B925,Tableau13[ID_Antenne],Tableau13[Technologie],"Non répertoriées")</f>
        <v>Non répertoriées</v>
      </c>
      <c r="F925" t="str">
        <f>_xlfn.XLOOKUP(B925,Tableau13[ID_Antenne],Tableau13[Latitude],"Non répertoriées")</f>
        <v>Non répertoriées</v>
      </c>
      <c r="G925" t="str">
        <f>_xlfn.XLOOKUP(B925,Tableau13[ID_Antenne],Tableau13[Longitude],"Non répertoriées")</f>
        <v>Non répertoriées</v>
      </c>
      <c r="H925" t="s">
        <v>10</v>
      </c>
    </row>
    <row r="926" spans="1:8" x14ac:dyDescent="0.25">
      <c r="A926" s="1">
        <v>45201.172222222223</v>
      </c>
      <c r="B926" t="s">
        <v>591</v>
      </c>
      <c r="C926" s="29" t="str">
        <f>_xlfn.XLOOKUP(B926,Tableau13[ID_Antenne],Tableau13[Province_RDC],"Non répertoriées")</f>
        <v>Nord-Ubangi</v>
      </c>
      <c r="D926">
        <v>33</v>
      </c>
      <c r="E926" s="31" t="str">
        <f>_xlfn.XLOOKUP(B926,Tableau13[ID_Antenne],Tableau13[Technologie],"Non répertoriées")</f>
        <v>5G</v>
      </c>
      <c r="F926" s="3">
        <f>_xlfn.XLOOKUP(B926,Tableau13[ID_Antenne],Tableau13[Latitude],"Non répertoriées")</f>
        <v>-7.9987219999999999</v>
      </c>
      <c r="G926" s="32">
        <f>_xlfn.XLOOKUP(B926,Tableau13[ID_Antenne],Tableau13[Longitude],"Non répertoriées")</f>
        <v>12.779335</v>
      </c>
      <c r="H926" t="s">
        <v>10</v>
      </c>
    </row>
    <row r="927" spans="1:8" x14ac:dyDescent="0.25">
      <c r="A927" s="1">
        <v>45206.43472222222</v>
      </c>
      <c r="B927" t="s">
        <v>28</v>
      </c>
      <c r="C927" t="str">
        <f>_xlfn.XLOOKUP(B927,Tableau13[ID_Antenne],Tableau13[Province_RDC],"Non répertoriées")</f>
        <v>Non répertoriées</v>
      </c>
      <c r="D927">
        <v>98</v>
      </c>
      <c r="E927" t="str">
        <f>_xlfn.XLOOKUP(B927,Tableau13[ID_Antenne],Tableau13[Technologie],"Non répertoriées")</f>
        <v>Non répertoriées</v>
      </c>
      <c r="F927" t="str">
        <f>_xlfn.XLOOKUP(B927,Tableau13[ID_Antenne],Tableau13[Latitude],"Non répertoriées")</f>
        <v>Non répertoriées</v>
      </c>
      <c r="G927" t="str">
        <f>_xlfn.XLOOKUP(B927,Tableau13[ID_Antenne],Tableau13[Longitude],"Non répertoriées")</f>
        <v>Non répertoriées</v>
      </c>
      <c r="H927" t="s">
        <v>5</v>
      </c>
    </row>
    <row r="928" spans="1:8" x14ac:dyDescent="0.25">
      <c r="A928" s="1">
        <v>45218.589583333327</v>
      </c>
      <c r="B928" t="s">
        <v>506</v>
      </c>
      <c r="C928" s="29" t="str">
        <f>_xlfn.XLOOKUP(B928,Tableau13[ID_Antenne],Tableau13[Province_RDC],"Non répertoriées")</f>
        <v>Sud-Kivu</v>
      </c>
      <c r="D928">
        <v>21</v>
      </c>
      <c r="E928" s="31" t="str">
        <f>_xlfn.XLOOKUP(B928,Tableau13[ID_Antenne],Tableau13[Technologie],"Non répertoriées")</f>
        <v>3G</v>
      </c>
      <c r="F928" s="3">
        <f>_xlfn.XLOOKUP(B928,Tableau13[ID_Antenne],Tableau13[Latitude],"Non répertoriées")</f>
        <v>-11.514817000000001</v>
      </c>
      <c r="G928" s="32">
        <f>_xlfn.XLOOKUP(B928,Tableau13[ID_Antenne],Tableau13[Longitude],"Non répertoriées")</f>
        <v>24.891375</v>
      </c>
      <c r="H928" t="s">
        <v>5</v>
      </c>
    </row>
    <row r="929" spans="1:8" x14ac:dyDescent="0.25">
      <c r="A929" s="1">
        <v>45210.924305555563</v>
      </c>
      <c r="B929" t="s">
        <v>592</v>
      </c>
      <c r="C929" t="str">
        <f>_xlfn.XLOOKUP(B929,Tableau13[ID_Antenne],Tableau13[Province_RDC],"Non répertoriées")</f>
        <v>Non répertoriées</v>
      </c>
      <c r="D929">
        <v>32</v>
      </c>
      <c r="E929" t="str">
        <f>_xlfn.XLOOKUP(B929,Tableau13[ID_Antenne],Tableau13[Technologie],"Non répertoriées")</f>
        <v>Non répertoriées</v>
      </c>
      <c r="F929" t="str">
        <f>_xlfn.XLOOKUP(B929,Tableau13[ID_Antenne],Tableau13[Latitude],"Non répertoriées")</f>
        <v>Non répertoriées</v>
      </c>
      <c r="G929" t="str">
        <f>_xlfn.XLOOKUP(B929,Tableau13[ID_Antenne],Tableau13[Longitude],"Non répertoriées")</f>
        <v>Non répertoriées</v>
      </c>
      <c r="H929" t="s">
        <v>8</v>
      </c>
    </row>
    <row r="930" spans="1:8" x14ac:dyDescent="0.25">
      <c r="A930" s="1">
        <v>45224.104861111111</v>
      </c>
      <c r="B930" t="s">
        <v>593</v>
      </c>
      <c r="C930" s="29" t="str">
        <f>_xlfn.XLOOKUP(B930,Tableau13[ID_Antenne],Tableau13[Province_RDC],"Non répertoriées")</f>
        <v>Tanganyika</v>
      </c>
      <c r="D930">
        <v>98</v>
      </c>
      <c r="E930" s="31" t="str">
        <f>_xlfn.XLOOKUP(B930,Tableau13[ID_Antenne],Tableau13[Technologie],"Non répertoriées")</f>
        <v>5G</v>
      </c>
      <c r="F930" s="3">
        <f>_xlfn.XLOOKUP(B930,Tableau13[ID_Antenne],Tableau13[Latitude],"Non répertoriées")</f>
        <v>-7.0007840000000003</v>
      </c>
      <c r="G930" s="32">
        <f>_xlfn.XLOOKUP(B930,Tableau13[ID_Antenne],Tableau13[Longitude],"Non répertoriées")</f>
        <v>22.787997000000001</v>
      </c>
      <c r="H930" t="s">
        <v>10</v>
      </c>
    </row>
    <row r="931" spans="1:8" x14ac:dyDescent="0.25">
      <c r="A931" s="1">
        <v>45210.84097222222</v>
      </c>
      <c r="B931" t="s">
        <v>205</v>
      </c>
      <c r="C931" t="str">
        <f>_xlfn.XLOOKUP(B931,Tableau13[ID_Antenne],Tableau13[Province_RDC],"Non répertoriées")</f>
        <v>Non répertoriées</v>
      </c>
      <c r="D931">
        <v>7</v>
      </c>
      <c r="E931" t="str">
        <f>_xlfn.XLOOKUP(B931,Tableau13[ID_Antenne],Tableau13[Technologie],"Non répertoriées")</f>
        <v>Non répertoriées</v>
      </c>
      <c r="F931" t="str">
        <f>_xlfn.XLOOKUP(B931,Tableau13[ID_Antenne],Tableau13[Latitude],"Non répertoriées")</f>
        <v>Non répertoriées</v>
      </c>
      <c r="G931" t="str">
        <f>_xlfn.XLOOKUP(B931,Tableau13[ID_Antenne],Tableau13[Longitude],"Non répertoriées")</f>
        <v>Non répertoriées</v>
      </c>
      <c r="H931" t="s">
        <v>5</v>
      </c>
    </row>
    <row r="932" spans="1:8" x14ac:dyDescent="0.25">
      <c r="A932" s="1">
        <v>45210.835416666669</v>
      </c>
      <c r="B932" t="s">
        <v>77</v>
      </c>
      <c r="C932" s="29" t="str">
        <f>_xlfn.XLOOKUP(B932,Tableau13[ID_Antenne],Tableau13[Province_RDC],"Non répertoriées")</f>
        <v>Haut-Katanga</v>
      </c>
      <c r="D932">
        <v>80</v>
      </c>
      <c r="E932" s="31" t="str">
        <f>_xlfn.XLOOKUP(B932,Tableau13[ID_Antenne],Tableau13[Technologie],"Non répertoriées")</f>
        <v>3G</v>
      </c>
      <c r="F932" s="3">
        <f>_xlfn.XLOOKUP(B932,Tableau13[ID_Antenne],Tableau13[Latitude],"Non répertoriées")</f>
        <v>4.4712560000000003</v>
      </c>
      <c r="G932" s="32">
        <f>_xlfn.XLOOKUP(B932,Tableau13[ID_Antenne],Tableau13[Longitude],"Non répertoriées")</f>
        <v>27.107028</v>
      </c>
      <c r="H932" t="s">
        <v>8</v>
      </c>
    </row>
    <row r="933" spans="1:8" x14ac:dyDescent="0.25">
      <c r="A933" s="1">
        <v>45200.595138888893</v>
      </c>
      <c r="B933" t="s">
        <v>505</v>
      </c>
      <c r="C933" t="str">
        <f>_xlfn.XLOOKUP(B933,Tableau13[ID_Antenne],Tableau13[Province_RDC],"Non répertoriées")</f>
        <v>Non répertoriées</v>
      </c>
      <c r="D933">
        <v>69</v>
      </c>
      <c r="E933" t="str">
        <f>_xlfn.XLOOKUP(B933,Tableau13[ID_Antenne],Tableau13[Technologie],"Non répertoriées")</f>
        <v>Non répertoriées</v>
      </c>
      <c r="F933" t="str">
        <f>_xlfn.XLOOKUP(B933,Tableau13[ID_Antenne],Tableau13[Latitude],"Non répertoriées")</f>
        <v>Non répertoriées</v>
      </c>
      <c r="G933" t="str">
        <f>_xlfn.XLOOKUP(B933,Tableau13[ID_Antenne],Tableau13[Longitude],"Non répertoriées")</f>
        <v>Non répertoriées</v>
      </c>
      <c r="H933" t="s">
        <v>10</v>
      </c>
    </row>
    <row r="934" spans="1:8" x14ac:dyDescent="0.25">
      <c r="A934" s="1">
        <v>45206.23333333333</v>
      </c>
      <c r="B934" t="s">
        <v>594</v>
      </c>
      <c r="C934" s="29" t="str">
        <f>_xlfn.XLOOKUP(B934,Tableau13[ID_Antenne],Tableau13[Province_RDC],"Non répertoriées")</f>
        <v>Mai-Ndombe</v>
      </c>
      <c r="D934">
        <v>26</v>
      </c>
      <c r="E934" s="31" t="str">
        <f>_xlfn.XLOOKUP(B934,Tableau13[ID_Antenne],Tableau13[Technologie],"Non répertoriées")</f>
        <v>4G</v>
      </c>
      <c r="F934" s="3">
        <f>_xlfn.XLOOKUP(B934,Tableau13[ID_Antenne],Tableau13[Latitude],"Non répertoriées")</f>
        <v>-4.6311460000000002</v>
      </c>
      <c r="G934" s="32">
        <f>_xlfn.XLOOKUP(B934,Tableau13[ID_Antenne],Tableau13[Longitude],"Non répertoriées")</f>
        <v>25.314723000000001</v>
      </c>
      <c r="H934" t="s">
        <v>10</v>
      </c>
    </row>
    <row r="935" spans="1:8" x14ac:dyDescent="0.25">
      <c r="A935" s="1">
        <v>45224.229861111111</v>
      </c>
      <c r="B935" t="s">
        <v>595</v>
      </c>
      <c r="C935" s="29" t="str">
        <f>_xlfn.XLOOKUP(B935,Tableau13[ID_Antenne],Tableau13[Province_RDC],"Non répertoriées")</f>
        <v>Nord-Kivu</v>
      </c>
      <c r="D935">
        <v>20</v>
      </c>
      <c r="E935" s="31" t="str">
        <f>_xlfn.XLOOKUP(B935,Tableau13[ID_Antenne],Tableau13[Technologie],"Non répertoriées")</f>
        <v>5G</v>
      </c>
      <c r="F935" s="3">
        <f>_xlfn.XLOOKUP(B935,Tableau13[ID_Antenne],Tableau13[Latitude],"Non répertoriées")</f>
        <v>-10.298385</v>
      </c>
      <c r="G935" s="32">
        <f>_xlfn.XLOOKUP(B935,Tableau13[ID_Antenne],Tableau13[Longitude],"Non répertoriées")</f>
        <v>29.698117</v>
      </c>
      <c r="H935" t="s">
        <v>5</v>
      </c>
    </row>
    <row r="936" spans="1:8" x14ac:dyDescent="0.25">
      <c r="A936" s="1">
        <v>45225.088888888888</v>
      </c>
      <c r="B936" t="s">
        <v>596</v>
      </c>
      <c r="C936" t="str">
        <f>_xlfn.XLOOKUP(B936,Tableau13[ID_Antenne],Tableau13[Province_RDC],"Non répertoriées")</f>
        <v>Non répertoriées</v>
      </c>
      <c r="D936">
        <v>51</v>
      </c>
      <c r="E936" t="str">
        <f>_xlfn.XLOOKUP(B936,Tableau13[ID_Antenne],Tableau13[Technologie],"Non répertoriées")</f>
        <v>Non répertoriées</v>
      </c>
      <c r="F936" t="str">
        <f>_xlfn.XLOOKUP(B936,Tableau13[ID_Antenne],Tableau13[Latitude],"Non répertoriées")</f>
        <v>Non répertoriées</v>
      </c>
      <c r="G936" t="str">
        <f>_xlfn.XLOOKUP(B936,Tableau13[ID_Antenne],Tableau13[Longitude],"Non répertoriées")</f>
        <v>Non répertoriées</v>
      </c>
      <c r="H936" t="s">
        <v>5</v>
      </c>
    </row>
    <row r="937" spans="1:8" x14ac:dyDescent="0.25">
      <c r="A937" s="1">
        <v>45219.569444444453</v>
      </c>
      <c r="B937" t="s">
        <v>544</v>
      </c>
      <c r="C937" s="29" t="str">
        <f>_xlfn.XLOOKUP(B937,Tableau13[ID_Antenne],Tableau13[Province_RDC],"Non répertoriées")</f>
        <v>Kongo-Central</v>
      </c>
      <c r="D937">
        <v>96</v>
      </c>
      <c r="E937" s="31" t="str">
        <f>_xlfn.XLOOKUP(B937,Tableau13[ID_Antenne],Tableau13[Technologie],"Non répertoriées")</f>
        <v>5G</v>
      </c>
      <c r="F937" s="3">
        <f>_xlfn.XLOOKUP(B937,Tableau13[ID_Antenne],Tableau13[Latitude],"Non répertoriées")</f>
        <v>-7.1587569999999996</v>
      </c>
      <c r="G937" s="32">
        <f>_xlfn.XLOOKUP(B937,Tableau13[ID_Antenne],Tableau13[Longitude],"Non répertoriées")</f>
        <v>18.975141000000001</v>
      </c>
      <c r="H937" t="s">
        <v>5</v>
      </c>
    </row>
    <row r="938" spans="1:8" x14ac:dyDescent="0.25">
      <c r="A938" s="1">
        <v>45213.518750000003</v>
      </c>
      <c r="B938" t="s">
        <v>529</v>
      </c>
      <c r="C938" s="29" t="str">
        <f>_xlfn.XLOOKUP(B938,Tableau13[ID_Antenne],Tableau13[Province_RDC],"Non répertoriées")</f>
        <v>Lomami</v>
      </c>
      <c r="D938">
        <v>88</v>
      </c>
      <c r="E938" s="31" t="str">
        <f>_xlfn.XLOOKUP(B938,Tableau13[ID_Antenne],Tableau13[Technologie],"Non répertoriées")</f>
        <v>3G</v>
      </c>
      <c r="F938" s="3">
        <f>_xlfn.XLOOKUP(B938,Tableau13[ID_Antenne],Tableau13[Latitude],"Non répertoriées")</f>
        <v>4.8265669999999998</v>
      </c>
      <c r="G938" s="32">
        <f>_xlfn.XLOOKUP(B938,Tableau13[ID_Antenne],Tableau13[Longitude],"Non répertoriées")</f>
        <v>28.535277000000001</v>
      </c>
      <c r="H938" t="s">
        <v>8</v>
      </c>
    </row>
    <row r="939" spans="1:8" x14ac:dyDescent="0.25">
      <c r="A939" s="1">
        <v>45230.64166666667</v>
      </c>
      <c r="B939" t="s">
        <v>597</v>
      </c>
      <c r="C939" s="29" t="str">
        <f>_xlfn.XLOOKUP(B939,Tableau13[ID_Antenne],Tableau13[Province_RDC],"Non répertoriées")</f>
        <v>Nord-Ubangi</v>
      </c>
      <c r="D939">
        <v>106</v>
      </c>
      <c r="E939" s="31" t="str">
        <f>_xlfn.XLOOKUP(B939,Tableau13[ID_Antenne],Tableau13[Technologie],"Non répertoriées")</f>
        <v>5G</v>
      </c>
      <c r="F939" s="3">
        <f>_xlfn.XLOOKUP(B939,Tableau13[ID_Antenne],Tableau13[Latitude],"Non répertoriées")</f>
        <v>-6.8149179999999996</v>
      </c>
      <c r="G939" s="32">
        <f>_xlfn.XLOOKUP(B939,Tableau13[ID_Antenne],Tableau13[Longitude],"Non répertoriées")</f>
        <v>23.258102000000001</v>
      </c>
      <c r="H939" t="s">
        <v>5</v>
      </c>
    </row>
    <row r="940" spans="1:8" x14ac:dyDescent="0.25">
      <c r="A940" s="1">
        <v>45200.06527777778</v>
      </c>
      <c r="B940" t="s">
        <v>190</v>
      </c>
      <c r="C940" t="str">
        <f>_xlfn.XLOOKUP(B940,Tableau13[ID_Antenne],Tableau13[Province_RDC],"Non répertoriées")</f>
        <v>Non répertoriées</v>
      </c>
      <c r="D940">
        <v>9</v>
      </c>
      <c r="E940" t="str">
        <f>_xlfn.XLOOKUP(B940,Tableau13[ID_Antenne],Tableau13[Technologie],"Non répertoriées")</f>
        <v>Non répertoriées</v>
      </c>
      <c r="F940" t="str">
        <f>_xlfn.XLOOKUP(B940,Tableau13[ID_Antenne],Tableau13[Latitude],"Non répertoriées")</f>
        <v>Non répertoriées</v>
      </c>
      <c r="G940" t="str">
        <f>_xlfn.XLOOKUP(B940,Tableau13[ID_Antenne],Tableau13[Longitude],"Non répertoriées")</f>
        <v>Non répertoriées</v>
      </c>
      <c r="H940" t="s">
        <v>5</v>
      </c>
    </row>
    <row r="941" spans="1:8" x14ac:dyDescent="0.25">
      <c r="A941" s="1">
        <v>45206.974305555559</v>
      </c>
      <c r="B941" t="s">
        <v>598</v>
      </c>
      <c r="C941" s="29" t="str">
        <f>_xlfn.XLOOKUP(B941,Tableau13[ID_Antenne],Tableau13[Province_RDC],"Non répertoriées")</f>
        <v>Haut-Katanga</v>
      </c>
      <c r="D941">
        <v>53</v>
      </c>
      <c r="E941" s="31" t="str">
        <f>_xlfn.XLOOKUP(B941,Tableau13[ID_Antenne],Tableau13[Technologie],"Non répertoriées")</f>
        <v>5G</v>
      </c>
      <c r="F941" s="3">
        <f>_xlfn.XLOOKUP(B941,Tableau13[ID_Antenne],Tableau13[Latitude],"Non répertoriées")</f>
        <v>-2.926736</v>
      </c>
      <c r="G941" s="32">
        <f>_xlfn.XLOOKUP(B941,Tableau13[ID_Antenne],Tableau13[Longitude],"Non répertoriées")</f>
        <v>18.170461</v>
      </c>
      <c r="H941" t="s">
        <v>8</v>
      </c>
    </row>
    <row r="942" spans="1:8" x14ac:dyDescent="0.25">
      <c r="A942" s="1">
        <v>45230.039583333331</v>
      </c>
      <c r="B942" t="s">
        <v>531</v>
      </c>
      <c r="C942" s="29" t="str">
        <f>_xlfn.XLOOKUP(B942,Tableau13[ID_Antenne],Tableau13[Province_RDC],"Non répertoriées")</f>
        <v>Kongo-Central</v>
      </c>
      <c r="D942">
        <v>117</v>
      </c>
      <c r="E942" s="31" t="str">
        <f>_xlfn.XLOOKUP(B942,Tableau13[ID_Antenne],Tableau13[Technologie],"Non répertoriées")</f>
        <v>3G</v>
      </c>
      <c r="F942" s="3">
        <f>_xlfn.XLOOKUP(B942,Tableau13[ID_Antenne],Tableau13[Latitude],"Non répertoriées")</f>
        <v>1.981107</v>
      </c>
      <c r="G942" s="32">
        <f>_xlfn.XLOOKUP(B942,Tableau13[ID_Antenne],Tableau13[Longitude],"Non répertoriées")</f>
        <v>23.932569000000001</v>
      </c>
      <c r="H942" t="s">
        <v>8</v>
      </c>
    </row>
    <row r="943" spans="1:8" x14ac:dyDescent="0.25">
      <c r="A943" s="1">
        <v>45210.675000000003</v>
      </c>
      <c r="B943" t="s">
        <v>212</v>
      </c>
      <c r="C943" t="str">
        <f>_xlfn.XLOOKUP(B943,Tableau13[ID_Antenne],Tableau13[Province_RDC],"Non répertoriées")</f>
        <v>Non répertoriées</v>
      </c>
      <c r="D943">
        <v>86</v>
      </c>
      <c r="E943" t="str">
        <f>_xlfn.XLOOKUP(B943,Tableau13[ID_Antenne],Tableau13[Technologie],"Non répertoriées")</f>
        <v>Non répertoriées</v>
      </c>
      <c r="F943" t="str">
        <f>_xlfn.XLOOKUP(B943,Tableau13[ID_Antenne],Tableau13[Latitude],"Non répertoriées")</f>
        <v>Non répertoriées</v>
      </c>
      <c r="G943" t="str">
        <f>_xlfn.XLOOKUP(B943,Tableau13[ID_Antenne],Tableau13[Longitude],"Non répertoriées")</f>
        <v>Non répertoriées</v>
      </c>
      <c r="H943" t="s">
        <v>10</v>
      </c>
    </row>
    <row r="944" spans="1:8" x14ac:dyDescent="0.25">
      <c r="A944" s="1">
        <v>45220.96875</v>
      </c>
      <c r="B944" t="s">
        <v>107</v>
      </c>
      <c r="C944" t="str">
        <f>_xlfn.XLOOKUP(B944,Tableau13[ID_Antenne],Tableau13[Province_RDC],"Non répertoriées")</f>
        <v>Non répertoriées</v>
      </c>
      <c r="D944">
        <v>103</v>
      </c>
      <c r="E944" t="str">
        <f>_xlfn.XLOOKUP(B944,Tableau13[ID_Antenne],Tableau13[Technologie],"Non répertoriées")</f>
        <v>Non répertoriées</v>
      </c>
      <c r="F944" t="str">
        <f>_xlfn.XLOOKUP(B944,Tableau13[ID_Antenne],Tableau13[Latitude],"Non répertoriées")</f>
        <v>Non répertoriées</v>
      </c>
      <c r="G944" t="str">
        <f>_xlfn.XLOOKUP(B944,Tableau13[ID_Antenne],Tableau13[Longitude],"Non répertoriées")</f>
        <v>Non répertoriées</v>
      </c>
      <c r="H944" t="s">
        <v>5</v>
      </c>
    </row>
    <row r="945" spans="1:8" x14ac:dyDescent="0.25">
      <c r="A945" s="1">
        <v>45207.955555555563</v>
      </c>
      <c r="B945" t="s">
        <v>250</v>
      </c>
      <c r="C945" s="29" t="str">
        <f>_xlfn.XLOOKUP(B945,Tableau13[ID_Antenne],Tableau13[Province_RDC],"Non répertoriées")</f>
        <v>Haut-Katanga</v>
      </c>
      <c r="D945">
        <v>73</v>
      </c>
      <c r="E945" s="31" t="str">
        <f>_xlfn.XLOOKUP(B945,Tableau13[ID_Antenne],Tableau13[Technologie],"Non répertoriées")</f>
        <v>5G</v>
      </c>
      <c r="F945" s="3">
        <f>_xlfn.XLOOKUP(B945,Tableau13[ID_Antenne],Tableau13[Latitude],"Non répertoriées")</f>
        <v>2.016505</v>
      </c>
      <c r="G945" s="32">
        <f>_xlfn.XLOOKUP(B945,Tableau13[ID_Antenne],Tableau13[Longitude],"Non répertoriées")</f>
        <v>14.294164</v>
      </c>
      <c r="H945" t="s">
        <v>8</v>
      </c>
    </row>
    <row r="946" spans="1:8" x14ac:dyDescent="0.25">
      <c r="A946" s="1">
        <v>45211.380555555559</v>
      </c>
      <c r="B946" t="s">
        <v>599</v>
      </c>
      <c r="C946" t="str">
        <f>_xlfn.XLOOKUP(B946,Tableau13[ID_Antenne],Tableau13[Province_RDC],"Non répertoriées")</f>
        <v>Non répertoriées</v>
      </c>
      <c r="D946">
        <v>84</v>
      </c>
      <c r="E946" t="str">
        <f>_xlfn.XLOOKUP(B946,Tableau13[ID_Antenne],Tableau13[Technologie],"Non répertoriées")</f>
        <v>Non répertoriées</v>
      </c>
      <c r="F946" t="str">
        <f>_xlfn.XLOOKUP(B946,Tableau13[ID_Antenne],Tableau13[Latitude],"Non répertoriées")</f>
        <v>Non répertoriées</v>
      </c>
      <c r="G946" t="str">
        <f>_xlfn.XLOOKUP(B946,Tableau13[ID_Antenne],Tableau13[Longitude],"Non répertoriées")</f>
        <v>Non répertoriées</v>
      </c>
      <c r="H946" t="s">
        <v>5</v>
      </c>
    </row>
    <row r="947" spans="1:8" x14ac:dyDescent="0.25">
      <c r="A947" s="1">
        <v>45203.522222222222</v>
      </c>
      <c r="B947" t="s">
        <v>487</v>
      </c>
      <c r="C947" s="29" t="str">
        <f>_xlfn.XLOOKUP(B947,Tableau13[ID_Antenne],Tableau13[Province_RDC],"Non répertoriées")</f>
        <v>Kwilu</v>
      </c>
      <c r="D947">
        <v>11</v>
      </c>
      <c r="E947" s="31" t="str">
        <f>_xlfn.XLOOKUP(B947,Tableau13[ID_Antenne],Tableau13[Technologie],"Non répertoriées")</f>
        <v>4G</v>
      </c>
      <c r="F947" s="3">
        <f>_xlfn.XLOOKUP(B947,Tableau13[ID_Antenne],Tableau13[Latitude],"Non répertoriées")</f>
        <v>-7.402336</v>
      </c>
      <c r="G947" s="32">
        <f>_xlfn.XLOOKUP(B947,Tableau13[ID_Antenne],Tableau13[Longitude],"Non répertoriées")</f>
        <v>27.376697</v>
      </c>
      <c r="H947" t="s">
        <v>8</v>
      </c>
    </row>
    <row r="948" spans="1:8" x14ac:dyDescent="0.25">
      <c r="A948" s="1">
        <v>45218.381944444453</v>
      </c>
      <c r="B948" t="s">
        <v>12</v>
      </c>
      <c r="C948" s="29" t="str">
        <f>_xlfn.XLOOKUP(B948,Tableau13[ID_Antenne],Tableau13[Province_RDC],"Non répertoriées")</f>
        <v>Kongo-Central</v>
      </c>
      <c r="D948">
        <v>81</v>
      </c>
      <c r="E948" s="31" t="str">
        <f>_xlfn.XLOOKUP(B948,Tableau13[ID_Antenne],Tableau13[Technologie],"Non répertoriées")</f>
        <v>5G</v>
      </c>
      <c r="F948" s="3">
        <f>_xlfn.XLOOKUP(B948,Tableau13[ID_Antenne],Tableau13[Latitude],"Non répertoriées")</f>
        <v>-2.8211520000000001</v>
      </c>
      <c r="G948" s="32">
        <f>_xlfn.XLOOKUP(B948,Tableau13[ID_Antenne],Tableau13[Longitude],"Non répertoriées")</f>
        <v>20.651419000000001</v>
      </c>
      <c r="H948" t="s">
        <v>8</v>
      </c>
    </row>
    <row r="949" spans="1:8" x14ac:dyDescent="0.25">
      <c r="A949" s="1">
        <v>45202.054861111108</v>
      </c>
      <c r="B949" t="s">
        <v>272</v>
      </c>
      <c r="C949" t="str">
        <f>_xlfn.XLOOKUP(B949,Tableau13[ID_Antenne],Tableau13[Province_RDC],"Non répertoriées")</f>
        <v>Non répertoriées</v>
      </c>
      <c r="D949">
        <v>11</v>
      </c>
      <c r="E949" t="str">
        <f>_xlfn.XLOOKUP(B949,Tableau13[ID_Antenne],Tableau13[Technologie],"Non répertoriées")</f>
        <v>Non répertoriées</v>
      </c>
      <c r="F949" t="str">
        <f>_xlfn.XLOOKUP(B949,Tableau13[ID_Antenne],Tableau13[Latitude],"Non répertoriées")</f>
        <v>Non répertoriées</v>
      </c>
      <c r="G949" t="str">
        <f>_xlfn.XLOOKUP(B949,Tableau13[ID_Antenne],Tableau13[Longitude],"Non répertoriées")</f>
        <v>Non répertoriées</v>
      </c>
      <c r="H949" t="s">
        <v>5</v>
      </c>
    </row>
    <row r="950" spans="1:8" x14ac:dyDescent="0.25">
      <c r="A950" s="1">
        <v>45230.395138888889</v>
      </c>
      <c r="B950" t="s">
        <v>600</v>
      </c>
      <c r="C950" s="29" t="str">
        <f>_xlfn.XLOOKUP(B950,Tableau13[ID_Antenne],Tableau13[Province_RDC],"Non répertoriées")</f>
        <v>Bas-Uele</v>
      </c>
      <c r="D950">
        <v>89</v>
      </c>
      <c r="E950" s="31" t="str">
        <f>_xlfn.XLOOKUP(B950,Tableau13[ID_Antenne],Tableau13[Technologie],"Non répertoriées")</f>
        <v>4G</v>
      </c>
      <c r="F950" s="3">
        <f>_xlfn.XLOOKUP(B950,Tableau13[ID_Antenne],Tableau13[Latitude],"Non répertoriées")</f>
        <v>-7.3952039999999997</v>
      </c>
      <c r="G950" s="32">
        <f>_xlfn.XLOOKUP(B950,Tableau13[ID_Antenne],Tableau13[Longitude],"Non répertoriées")</f>
        <v>21.651043999999999</v>
      </c>
      <c r="H950" t="s">
        <v>10</v>
      </c>
    </row>
    <row r="951" spans="1:8" x14ac:dyDescent="0.25">
      <c r="A951" s="1">
        <v>45223.693055555559</v>
      </c>
      <c r="B951" t="s">
        <v>578</v>
      </c>
      <c r="C951" t="str">
        <f>_xlfn.XLOOKUP(B951,Tableau13[ID_Antenne],Tableau13[Province_RDC],"Non répertoriées")</f>
        <v>Non répertoriées</v>
      </c>
      <c r="D951">
        <v>18</v>
      </c>
      <c r="E951" t="str">
        <f>_xlfn.XLOOKUP(B951,Tableau13[ID_Antenne],Tableau13[Technologie],"Non répertoriées")</f>
        <v>Non répertoriées</v>
      </c>
      <c r="F951" t="str">
        <f>_xlfn.XLOOKUP(B951,Tableau13[ID_Antenne],Tableau13[Latitude],"Non répertoriées")</f>
        <v>Non répertoriées</v>
      </c>
      <c r="G951" t="str">
        <f>_xlfn.XLOOKUP(B951,Tableau13[ID_Antenne],Tableau13[Longitude],"Non répertoriées")</f>
        <v>Non répertoriées</v>
      </c>
      <c r="H951" t="s">
        <v>8</v>
      </c>
    </row>
    <row r="952" spans="1:8" x14ac:dyDescent="0.25">
      <c r="A952" s="1">
        <v>45216.435416666667</v>
      </c>
      <c r="B952" t="s">
        <v>460</v>
      </c>
      <c r="C952" s="29" t="str">
        <f>_xlfn.XLOOKUP(B952,Tableau13[ID_Antenne],Tableau13[Province_RDC],"Non répertoriées")</f>
        <v>Maniema</v>
      </c>
      <c r="D952">
        <v>88</v>
      </c>
      <c r="E952" s="31" t="str">
        <f>_xlfn.XLOOKUP(B952,Tableau13[ID_Antenne],Tableau13[Technologie],"Non répertoriées")</f>
        <v>4G</v>
      </c>
      <c r="F952" s="3">
        <f>_xlfn.XLOOKUP(B952,Tableau13[ID_Antenne],Tableau13[Latitude],"Non répertoriées")</f>
        <v>1.938083</v>
      </c>
      <c r="G952" s="32">
        <f>_xlfn.XLOOKUP(B952,Tableau13[ID_Antenne],Tableau13[Longitude],"Non répertoriées")</f>
        <v>28.25281</v>
      </c>
      <c r="H952" t="s">
        <v>5</v>
      </c>
    </row>
    <row r="953" spans="1:8" x14ac:dyDescent="0.25">
      <c r="A953" s="1">
        <v>45228.880555555559</v>
      </c>
      <c r="B953" t="s">
        <v>293</v>
      </c>
      <c r="C953" s="29" t="str">
        <f>_xlfn.XLOOKUP(B953,Tableau13[ID_Antenne],Tableau13[Province_RDC],"Non répertoriées")</f>
        <v>Ituri</v>
      </c>
      <c r="D953">
        <v>112</v>
      </c>
      <c r="E953" s="31" t="str">
        <f>_xlfn.XLOOKUP(B953,Tableau13[ID_Antenne],Tableau13[Technologie],"Non répertoriées")</f>
        <v>3G</v>
      </c>
      <c r="F953" s="3">
        <f>_xlfn.XLOOKUP(B953,Tableau13[ID_Antenne],Tableau13[Latitude],"Non répertoriées")</f>
        <v>-4.1250960000000001</v>
      </c>
      <c r="G953" s="32">
        <f>_xlfn.XLOOKUP(B953,Tableau13[ID_Antenne],Tableau13[Longitude],"Non répertoriées")</f>
        <v>27.799897999999999</v>
      </c>
      <c r="H953" t="s">
        <v>10</v>
      </c>
    </row>
    <row r="954" spans="1:8" x14ac:dyDescent="0.25">
      <c r="A954" s="1">
        <v>45211.888888888891</v>
      </c>
      <c r="B954" t="s">
        <v>403</v>
      </c>
      <c r="C954" s="29" t="str">
        <f>_xlfn.XLOOKUP(B954,Tableau13[ID_Antenne],Tableau13[Province_RDC],"Non répertoriées")</f>
        <v>Haut-Uele</v>
      </c>
      <c r="D954">
        <v>87</v>
      </c>
      <c r="E954" s="31" t="str">
        <f>_xlfn.XLOOKUP(B954,Tableau13[ID_Antenne],Tableau13[Technologie],"Non répertoriées")</f>
        <v>5G</v>
      </c>
      <c r="F954" s="3">
        <f>_xlfn.XLOOKUP(B954,Tableau13[ID_Antenne],Tableau13[Latitude],"Non répertoriées")</f>
        <v>-7.1483749999999997</v>
      </c>
      <c r="G954" s="32">
        <f>_xlfn.XLOOKUP(B954,Tableau13[ID_Antenne],Tableau13[Longitude],"Non répertoriées")</f>
        <v>26.014271000000001</v>
      </c>
      <c r="H954" t="s">
        <v>8</v>
      </c>
    </row>
    <row r="955" spans="1:8" x14ac:dyDescent="0.25">
      <c r="A955" s="1">
        <v>45213.963194444441</v>
      </c>
      <c r="B955" t="s">
        <v>601</v>
      </c>
      <c r="C955" t="str">
        <f>_xlfn.XLOOKUP(B955,Tableau13[ID_Antenne],Tableau13[Province_RDC],"Non répertoriées")</f>
        <v>Non répertoriées</v>
      </c>
      <c r="D955">
        <v>25</v>
      </c>
      <c r="E955" t="str">
        <f>_xlfn.XLOOKUP(B955,Tableau13[ID_Antenne],Tableau13[Technologie],"Non répertoriées")</f>
        <v>Non répertoriées</v>
      </c>
      <c r="F955" t="str">
        <f>_xlfn.XLOOKUP(B955,Tableau13[ID_Antenne],Tableau13[Latitude],"Non répertoriées")</f>
        <v>Non répertoriées</v>
      </c>
      <c r="G955" t="str">
        <f>_xlfn.XLOOKUP(B955,Tableau13[ID_Antenne],Tableau13[Longitude],"Non répertoriées")</f>
        <v>Non répertoriées</v>
      </c>
      <c r="H955" t="s">
        <v>8</v>
      </c>
    </row>
    <row r="956" spans="1:8" x14ac:dyDescent="0.25">
      <c r="A956" s="1">
        <v>45203.041666666657</v>
      </c>
      <c r="B956" t="s">
        <v>319</v>
      </c>
      <c r="C956" s="29" t="str">
        <f>_xlfn.XLOOKUP(B956,Tableau13[ID_Antenne],Tableau13[Province_RDC],"Non répertoriées")</f>
        <v>Bas-Uele</v>
      </c>
      <c r="D956">
        <v>69</v>
      </c>
      <c r="E956" s="31" t="str">
        <f>_xlfn.XLOOKUP(B956,Tableau13[ID_Antenne],Tableau13[Technologie],"Non répertoriées")</f>
        <v>4G</v>
      </c>
      <c r="F956" s="3">
        <f>_xlfn.XLOOKUP(B956,Tableau13[ID_Antenne],Tableau13[Latitude],"Non répertoriées")</f>
        <v>-2.2876210000000001</v>
      </c>
      <c r="G956" s="32">
        <f>_xlfn.XLOOKUP(B956,Tableau13[ID_Antenne],Tableau13[Longitude],"Non répertoriées")</f>
        <v>27.582545</v>
      </c>
      <c r="H956" t="s">
        <v>10</v>
      </c>
    </row>
    <row r="957" spans="1:8" x14ac:dyDescent="0.25">
      <c r="A957" s="1">
        <v>45227.195833333331</v>
      </c>
      <c r="B957" t="s">
        <v>176</v>
      </c>
      <c r="C957" s="29" t="str">
        <f>_xlfn.XLOOKUP(B957,Tableau13[ID_Antenne],Tableau13[Province_RDC],"Non répertoriées")</f>
        <v>Kinshasa</v>
      </c>
      <c r="D957">
        <v>113</v>
      </c>
      <c r="E957" s="31" t="str">
        <f>_xlfn.XLOOKUP(B957,Tableau13[ID_Antenne],Tableau13[Technologie],"Non répertoriées")</f>
        <v>3G</v>
      </c>
      <c r="F957" s="3">
        <f>_xlfn.XLOOKUP(B957,Tableau13[ID_Antenne],Tableau13[Latitude],"Non répertoriées")</f>
        <v>-7.5418399999999997</v>
      </c>
      <c r="G957" s="32">
        <f>_xlfn.XLOOKUP(B957,Tableau13[ID_Antenne],Tableau13[Longitude],"Non répertoriées")</f>
        <v>16.931206</v>
      </c>
      <c r="H957" t="s">
        <v>8</v>
      </c>
    </row>
    <row r="958" spans="1:8" x14ac:dyDescent="0.25">
      <c r="A958" s="1">
        <v>45220.222916666673</v>
      </c>
      <c r="B958" t="s">
        <v>530</v>
      </c>
      <c r="C958" s="29" t="str">
        <f>_xlfn.XLOOKUP(B958,Tableau13[ID_Antenne],Tableau13[Province_RDC],"Non répertoriées")</f>
        <v>Haut-Lomami</v>
      </c>
      <c r="D958">
        <v>65</v>
      </c>
      <c r="E958" s="31" t="str">
        <f>_xlfn.XLOOKUP(B958,Tableau13[ID_Antenne],Tableau13[Technologie],"Non répertoriées")</f>
        <v>4G</v>
      </c>
      <c r="F958" s="3">
        <f>_xlfn.XLOOKUP(B958,Tableau13[ID_Antenne],Tableau13[Latitude],"Non répertoriées")</f>
        <v>-1.3938550000000001</v>
      </c>
      <c r="G958" s="32">
        <f>_xlfn.XLOOKUP(B958,Tableau13[ID_Antenne],Tableau13[Longitude],"Non répertoriées")</f>
        <v>15.097554000000001</v>
      </c>
      <c r="H958" t="s">
        <v>10</v>
      </c>
    </row>
    <row r="959" spans="1:8" x14ac:dyDescent="0.25">
      <c r="A959" s="1">
        <v>45211.61041666667</v>
      </c>
      <c r="B959" t="s">
        <v>85</v>
      </c>
      <c r="C959" s="29" t="str">
        <f>_xlfn.XLOOKUP(B959,Tableau13[ID_Antenne],Tableau13[Province_RDC],"Non répertoriées")</f>
        <v>Ituri</v>
      </c>
      <c r="D959">
        <v>114</v>
      </c>
      <c r="E959" s="31" t="str">
        <f>_xlfn.XLOOKUP(B959,Tableau13[ID_Antenne],Tableau13[Technologie],"Non répertoriées")</f>
        <v>3G</v>
      </c>
      <c r="F959" s="3">
        <f>_xlfn.XLOOKUP(B959,Tableau13[ID_Antenne],Tableau13[Latitude],"Non répertoriées")</f>
        <v>-7.0076900000000002</v>
      </c>
      <c r="G959" s="32">
        <f>_xlfn.XLOOKUP(B959,Tableau13[ID_Antenne],Tableau13[Longitude],"Non répertoriées")</f>
        <v>27.367121999999998</v>
      </c>
      <c r="H959" t="s">
        <v>5</v>
      </c>
    </row>
    <row r="960" spans="1:8" x14ac:dyDescent="0.25">
      <c r="A960" s="1">
        <v>45208.961805555547</v>
      </c>
      <c r="B960" t="s">
        <v>602</v>
      </c>
      <c r="C960" s="29" t="str">
        <f>_xlfn.XLOOKUP(B960,Tableau13[ID_Antenne],Tableau13[Province_RDC],"Non répertoriées")</f>
        <v>Bas-Uele</v>
      </c>
      <c r="D960">
        <v>68</v>
      </c>
      <c r="E960" s="31" t="str">
        <f>_xlfn.XLOOKUP(B960,Tableau13[ID_Antenne],Tableau13[Technologie],"Non répertoriées")</f>
        <v>3G</v>
      </c>
      <c r="F960" s="3">
        <f>_xlfn.XLOOKUP(B960,Tableau13[ID_Antenne],Tableau13[Latitude],"Non répertoriées")</f>
        <v>-2.3269820000000001</v>
      </c>
      <c r="G960" s="32">
        <f>_xlfn.XLOOKUP(B960,Tableau13[ID_Antenne],Tableau13[Longitude],"Non répertoriées")</f>
        <v>14.609259</v>
      </c>
      <c r="H960" t="s">
        <v>5</v>
      </c>
    </row>
    <row r="961" spans="1:8" x14ac:dyDescent="0.25">
      <c r="A961" s="1">
        <v>45211.424305555563</v>
      </c>
      <c r="B961" t="s">
        <v>196</v>
      </c>
      <c r="C961" s="29" t="str">
        <f>_xlfn.XLOOKUP(B961,Tableau13[ID_Antenne],Tableau13[Province_RDC],"Non répertoriées")</f>
        <v>Nord-Kivu</v>
      </c>
      <c r="D961">
        <v>116</v>
      </c>
      <c r="E961" s="31" t="str">
        <f>_xlfn.XLOOKUP(B961,Tableau13[ID_Antenne],Tableau13[Technologie],"Non répertoriées")</f>
        <v>3G</v>
      </c>
      <c r="F961" s="3">
        <f>_xlfn.XLOOKUP(B961,Tableau13[ID_Antenne],Tableau13[Latitude],"Non répertoriées")</f>
        <v>-1.8555980000000001</v>
      </c>
      <c r="G961" s="32">
        <f>_xlfn.XLOOKUP(B961,Tableau13[ID_Antenne],Tableau13[Longitude],"Non répertoriées")</f>
        <v>30.421918000000002</v>
      </c>
      <c r="H961" t="s">
        <v>8</v>
      </c>
    </row>
    <row r="962" spans="1:8" x14ac:dyDescent="0.25">
      <c r="A962" s="1">
        <v>45203.517361111109</v>
      </c>
      <c r="B962" t="s">
        <v>36</v>
      </c>
      <c r="C962" s="29" t="str">
        <f>_xlfn.XLOOKUP(B962,Tableau13[ID_Antenne],Tableau13[Province_RDC],"Non répertoriées")</f>
        <v>Nord-Ubangi</v>
      </c>
      <c r="D962">
        <v>26</v>
      </c>
      <c r="E962" s="31" t="str">
        <f>_xlfn.XLOOKUP(B962,Tableau13[ID_Antenne],Tableau13[Technologie],"Non répertoriées")</f>
        <v>4G</v>
      </c>
      <c r="F962" s="3">
        <f>_xlfn.XLOOKUP(B962,Tableau13[ID_Antenne],Tableau13[Latitude],"Non répertoriées")</f>
        <v>-8.1437910000000002</v>
      </c>
      <c r="G962" s="32">
        <f>_xlfn.XLOOKUP(B962,Tableau13[ID_Antenne],Tableau13[Longitude],"Non répertoriées")</f>
        <v>28.946161</v>
      </c>
      <c r="H962" t="s">
        <v>5</v>
      </c>
    </row>
    <row r="963" spans="1:8" x14ac:dyDescent="0.25">
      <c r="A963" s="1">
        <v>45230.595138888893</v>
      </c>
      <c r="B963" t="s">
        <v>603</v>
      </c>
      <c r="C963" s="29" t="str">
        <f>_xlfn.XLOOKUP(B963,Tableau13[ID_Antenne],Tableau13[Province_RDC],"Non répertoriées")</f>
        <v>Kinshasa</v>
      </c>
      <c r="D963">
        <v>14</v>
      </c>
      <c r="E963" s="31" t="str">
        <f>_xlfn.XLOOKUP(B963,Tableau13[ID_Antenne],Tableau13[Technologie],"Non répertoriées")</f>
        <v>5G</v>
      </c>
      <c r="F963" s="3">
        <f>_xlfn.XLOOKUP(B963,Tableau13[ID_Antenne],Tableau13[Latitude],"Non répertoriées")</f>
        <v>-7.1079169999999996</v>
      </c>
      <c r="G963" s="32">
        <f>_xlfn.XLOOKUP(B963,Tableau13[ID_Antenne],Tableau13[Longitude],"Non répertoriées")</f>
        <v>13.636272</v>
      </c>
      <c r="H963" t="s">
        <v>5</v>
      </c>
    </row>
    <row r="964" spans="1:8" x14ac:dyDescent="0.25">
      <c r="A964" s="1">
        <v>45226.530555555553</v>
      </c>
      <c r="B964" t="s">
        <v>604</v>
      </c>
      <c r="C964" s="29" t="str">
        <f>_xlfn.XLOOKUP(B964,Tableau13[ID_Antenne],Tableau13[Province_RDC],"Non répertoriées")</f>
        <v>Maniema</v>
      </c>
      <c r="D964">
        <v>101</v>
      </c>
      <c r="E964" s="31" t="str">
        <f>_xlfn.XLOOKUP(B964,Tableau13[ID_Antenne],Tableau13[Technologie],"Non répertoriées")</f>
        <v>4G</v>
      </c>
      <c r="F964" s="3">
        <f>_xlfn.XLOOKUP(B964,Tableau13[ID_Antenne],Tableau13[Latitude],"Non répertoriées")</f>
        <v>-10.650321</v>
      </c>
      <c r="G964" s="32">
        <f>_xlfn.XLOOKUP(B964,Tableau13[ID_Antenne],Tableau13[Longitude],"Non répertoriées")</f>
        <v>15.917044000000001</v>
      </c>
      <c r="H964" t="s">
        <v>10</v>
      </c>
    </row>
    <row r="965" spans="1:8" x14ac:dyDescent="0.25">
      <c r="A965" s="1">
        <v>45227.660416666673</v>
      </c>
      <c r="B965" t="s">
        <v>333</v>
      </c>
      <c r="C965" s="29" t="str">
        <f>_xlfn.XLOOKUP(B965,Tableau13[ID_Antenne],Tableau13[Province_RDC],"Non répertoriées")</f>
        <v>Kasai</v>
      </c>
      <c r="D965">
        <v>67</v>
      </c>
      <c r="E965" s="31" t="str">
        <f>_xlfn.XLOOKUP(B965,Tableau13[ID_Antenne],Tableau13[Technologie],"Non répertoriées")</f>
        <v>5G</v>
      </c>
      <c r="F965" s="3">
        <f>_xlfn.XLOOKUP(B965,Tableau13[ID_Antenne],Tableau13[Latitude],"Non répertoriées")</f>
        <v>-5.125</v>
      </c>
      <c r="G965" s="32">
        <f>_xlfn.XLOOKUP(B965,Tableau13[ID_Antenne],Tableau13[Longitude],"Non répertoriées")</f>
        <v>23.513119</v>
      </c>
      <c r="H965" t="s">
        <v>10</v>
      </c>
    </row>
    <row r="966" spans="1:8" x14ac:dyDescent="0.25">
      <c r="A966" s="1">
        <v>45213.87222222222</v>
      </c>
      <c r="B966" t="s">
        <v>605</v>
      </c>
      <c r="C966" s="29" t="str">
        <f>_xlfn.XLOOKUP(B966,Tableau13[ID_Antenne],Tableau13[Province_RDC],"Non répertoriées")</f>
        <v>Sankuru</v>
      </c>
      <c r="D966">
        <v>46</v>
      </c>
      <c r="E966" s="31" t="str">
        <f>_xlfn.XLOOKUP(B966,Tableau13[ID_Antenne],Tableau13[Technologie],"Non répertoriées")</f>
        <v>5G</v>
      </c>
      <c r="F966" s="3">
        <f>_xlfn.XLOOKUP(B966,Tableau13[ID_Antenne],Tableau13[Latitude],"Non répertoriées")</f>
        <v>-7.513261</v>
      </c>
      <c r="G966" s="32">
        <f>_xlfn.XLOOKUP(B966,Tableau13[ID_Antenne],Tableau13[Longitude],"Non répertoriées")</f>
        <v>24.338812000000001</v>
      </c>
      <c r="H966" t="s">
        <v>8</v>
      </c>
    </row>
    <row r="967" spans="1:8" x14ac:dyDescent="0.25">
      <c r="A967" s="1">
        <v>45225.213194444441</v>
      </c>
      <c r="B967" t="s">
        <v>606</v>
      </c>
      <c r="C967" t="str">
        <f>_xlfn.XLOOKUP(B967,Tableau13[ID_Antenne],Tableau13[Province_RDC],"Non répertoriées")</f>
        <v>Non répertoriées</v>
      </c>
      <c r="D967">
        <v>35</v>
      </c>
      <c r="E967" t="str">
        <f>_xlfn.XLOOKUP(B967,Tableau13[ID_Antenne],Tableau13[Technologie],"Non répertoriées")</f>
        <v>Non répertoriées</v>
      </c>
      <c r="F967" t="str">
        <f>_xlfn.XLOOKUP(B967,Tableau13[ID_Antenne],Tableau13[Latitude],"Non répertoriées")</f>
        <v>Non répertoriées</v>
      </c>
      <c r="G967" t="str">
        <f>_xlfn.XLOOKUP(B967,Tableau13[ID_Antenne],Tableau13[Longitude],"Non répertoriées")</f>
        <v>Non répertoriées</v>
      </c>
      <c r="H967" t="s">
        <v>10</v>
      </c>
    </row>
    <row r="968" spans="1:8" x14ac:dyDescent="0.25">
      <c r="A968" s="1">
        <v>45204.948611111111</v>
      </c>
      <c r="B968" t="s">
        <v>607</v>
      </c>
      <c r="C968" t="str">
        <f>_xlfn.XLOOKUP(B968,Tableau13[ID_Antenne],Tableau13[Province_RDC],"Non répertoriées")</f>
        <v>Non répertoriées</v>
      </c>
      <c r="D968">
        <v>47</v>
      </c>
      <c r="E968" t="str">
        <f>_xlfn.XLOOKUP(B968,Tableau13[ID_Antenne],Tableau13[Technologie],"Non répertoriées")</f>
        <v>Non répertoriées</v>
      </c>
      <c r="F968" t="str">
        <f>_xlfn.XLOOKUP(B968,Tableau13[ID_Antenne],Tableau13[Latitude],"Non répertoriées")</f>
        <v>Non répertoriées</v>
      </c>
      <c r="G968" t="str">
        <f>_xlfn.XLOOKUP(B968,Tableau13[ID_Antenne],Tableau13[Longitude],"Non répertoriées")</f>
        <v>Non répertoriées</v>
      </c>
      <c r="H968" t="s">
        <v>8</v>
      </c>
    </row>
    <row r="969" spans="1:8" x14ac:dyDescent="0.25">
      <c r="A969" s="1">
        <v>45201.212500000001</v>
      </c>
      <c r="B969" t="s">
        <v>69</v>
      </c>
      <c r="C969" s="29" t="str">
        <f>_xlfn.XLOOKUP(B969,Tableau13[ID_Antenne],Tableau13[Province_RDC],"Non répertoriées")</f>
        <v>Nord-Kivu</v>
      </c>
      <c r="D969">
        <v>40</v>
      </c>
      <c r="E969" s="31" t="str">
        <f>_xlfn.XLOOKUP(B969,Tableau13[ID_Antenne],Tableau13[Technologie],"Non répertoriées")</f>
        <v>5G</v>
      </c>
      <c r="F969" s="3">
        <f>_xlfn.XLOOKUP(B969,Tableau13[ID_Antenne],Tableau13[Latitude],"Non répertoriées")</f>
        <v>0.82868600000000003</v>
      </c>
      <c r="G969" s="32">
        <f>_xlfn.XLOOKUP(B969,Tableau13[ID_Antenne],Tableau13[Longitude],"Non répertoriées")</f>
        <v>26.958843999999999</v>
      </c>
      <c r="H969" t="s">
        <v>8</v>
      </c>
    </row>
    <row r="970" spans="1:8" x14ac:dyDescent="0.25">
      <c r="A970" s="1">
        <v>45213.770833333343</v>
      </c>
      <c r="B970" t="s">
        <v>608</v>
      </c>
      <c r="C970" t="str">
        <f>_xlfn.XLOOKUP(B970,Tableau13[ID_Antenne],Tableau13[Province_RDC],"Non répertoriées")</f>
        <v>Non répertoriées</v>
      </c>
      <c r="D970">
        <v>11</v>
      </c>
      <c r="E970" t="str">
        <f>_xlfn.XLOOKUP(B970,Tableau13[ID_Antenne],Tableau13[Technologie],"Non répertoriées")</f>
        <v>Non répertoriées</v>
      </c>
      <c r="F970" t="str">
        <f>_xlfn.XLOOKUP(B970,Tableau13[ID_Antenne],Tableau13[Latitude],"Non répertoriées")</f>
        <v>Non répertoriées</v>
      </c>
      <c r="G970" t="str">
        <f>_xlfn.XLOOKUP(B970,Tableau13[ID_Antenne],Tableau13[Longitude],"Non répertoriées")</f>
        <v>Non répertoriées</v>
      </c>
      <c r="H970" t="s">
        <v>10</v>
      </c>
    </row>
    <row r="971" spans="1:8" x14ac:dyDescent="0.25">
      <c r="A971" s="1">
        <v>45225.779861111107</v>
      </c>
      <c r="B971" t="s">
        <v>609</v>
      </c>
      <c r="C971" t="str">
        <f>_xlfn.XLOOKUP(B971,Tableau13[ID_Antenne],Tableau13[Province_RDC],"Non répertoriées")</f>
        <v>Non répertoriées</v>
      </c>
      <c r="D971">
        <v>69</v>
      </c>
      <c r="E971" t="str">
        <f>_xlfn.XLOOKUP(B971,Tableau13[ID_Antenne],Tableau13[Technologie],"Non répertoriées")</f>
        <v>Non répertoriées</v>
      </c>
      <c r="F971" t="str">
        <f>_xlfn.XLOOKUP(B971,Tableau13[ID_Antenne],Tableau13[Latitude],"Non répertoriées")</f>
        <v>Non répertoriées</v>
      </c>
      <c r="G971" t="str">
        <f>_xlfn.XLOOKUP(B971,Tableau13[ID_Antenne],Tableau13[Longitude],"Non répertoriées")</f>
        <v>Non répertoriées</v>
      </c>
      <c r="H971" t="s">
        <v>8</v>
      </c>
    </row>
    <row r="972" spans="1:8" x14ac:dyDescent="0.25">
      <c r="A972" s="1">
        <v>45214.23541666667</v>
      </c>
      <c r="B972" t="s">
        <v>610</v>
      </c>
      <c r="C972" s="29" t="str">
        <f>_xlfn.XLOOKUP(B972,Tableau13[ID_Antenne],Tableau13[Province_RDC],"Non répertoriées")</f>
        <v>Maniema</v>
      </c>
      <c r="D972">
        <v>33</v>
      </c>
      <c r="E972" s="31" t="str">
        <f>_xlfn.XLOOKUP(B972,Tableau13[ID_Antenne],Tableau13[Technologie],"Non répertoriées")</f>
        <v>4G</v>
      </c>
      <c r="F972" s="3">
        <f>_xlfn.XLOOKUP(B972,Tableau13[ID_Antenne],Tableau13[Latitude],"Non répertoriées")</f>
        <v>-10.318835</v>
      </c>
      <c r="G972" s="32">
        <f>_xlfn.XLOOKUP(B972,Tableau13[ID_Antenne],Tableau13[Longitude],"Non répertoriées")</f>
        <v>21.252382000000001</v>
      </c>
      <c r="H972" t="s">
        <v>5</v>
      </c>
    </row>
    <row r="973" spans="1:8" x14ac:dyDescent="0.25">
      <c r="A973" s="1">
        <v>45212.48541666667</v>
      </c>
      <c r="B973" t="s">
        <v>611</v>
      </c>
      <c r="C973" t="str">
        <f>_xlfn.XLOOKUP(B973,Tableau13[ID_Antenne],Tableau13[Province_RDC],"Non répertoriées")</f>
        <v>Non répertoriées</v>
      </c>
      <c r="D973">
        <v>75</v>
      </c>
      <c r="E973" t="str">
        <f>_xlfn.XLOOKUP(B973,Tableau13[ID_Antenne],Tableau13[Technologie],"Non répertoriées")</f>
        <v>Non répertoriées</v>
      </c>
      <c r="F973" t="str">
        <f>_xlfn.XLOOKUP(B973,Tableau13[ID_Antenne],Tableau13[Latitude],"Non répertoriées")</f>
        <v>Non répertoriées</v>
      </c>
      <c r="G973" t="str">
        <f>_xlfn.XLOOKUP(B973,Tableau13[ID_Antenne],Tableau13[Longitude],"Non répertoriées")</f>
        <v>Non répertoriées</v>
      </c>
      <c r="H973" t="s">
        <v>5</v>
      </c>
    </row>
    <row r="974" spans="1:8" x14ac:dyDescent="0.25">
      <c r="A974" s="1">
        <v>45200.913888888892</v>
      </c>
      <c r="B974" t="s">
        <v>612</v>
      </c>
      <c r="C974" s="29" t="str">
        <f>_xlfn.XLOOKUP(B974,Tableau13[ID_Antenne],Tableau13[Province_RDC],"Non répertoriées")</f>
        <v>Sankuru</v>
      </c>
      <c r="D974">
        <v>87</v>
      </c>
      <c r="E974" s="31" t="str">
        <f>_xlfn.XLOOKUP(B974,Tableau13[ID_Antenne],Tableau13[Technologie],"Non répertoriées")</f>
        <v>5G</v>
      </c>
      <c r="F974" s="3">
        <f>_xlfn.XLOOKUP(B974,Tableau13[ID_Antenne],Tableau13[Latitude],"Non répertoriées")</f>
        <v>3.175935</v>
      </c>
      <c r="G974" s="32">
        <f>_xlfn.XLOOKUP(B974,Tableau13[ID_Antenne],Tableau13[Longitude],"Non répertoriées")</f>
        <v>16.862832000000001</v>
      </c>
      <c r="H974" t="s">
        <v>5</v>
      </c>
    </row>
    <row r="975" spans="1:8" x14ac:dyDescent="0.25">
      <c r="A975" s="1">
        <v>45226.997916666667</v>
      </c>
      <c r="B975" t="s">
        <v>613</v>
      </c>
      <c r="C975" s="29" t="str">
        <f>_xlfn.XLOOKUP(B975,Tableau13[ID_Antenne],Tableau13[Province_RDC],"Non répertoriées")</f>
        <v>Nord-Ubangi</v>
      </c>
      <c r="D975">
        <v>53</v>
      </c>
      <c r="E975" s="31" t="str">
        <f>_xlfn.XLOOKUP(B975,Tableau13[ID_Antenne],Tableau13[Technologie],"Non répertoriées")</f>
        <v>4G</v>
      </c>
      <c r="F975" s="3">
        <f>_xlfn.XLOOKUP(B975,Tableau13[ID_Antenne],Tableau13[Latitude],"Non répertoriées")</f>
        <v>-7.8373179999999998</v>
      </c>
      <c r="G975" s="32">
        <f>_xlfn.XLOOKUP(B975,Tableau13[ID_Antenne],Tableau13[Longitude],"Non répertoriées")</f>
        <v>20.527591999999999</v>
      </c>
      <c r="H975" t="s">
        <v>10</v>
      </c>
    </row>
    <row r="976" spans="1:8" x14ac:dyDescent="0.25">
      <c r="A976" s="1">
        <v>45204.665277777778</v>
      </c>
      <c r="B976" t="s">
        <v>336</v>
      </c>
      <c r="C976" t="str">
        <f>_xlfn.XLOOKUP(B976,Tableau13[ID_Antenne],Tableau13[Province_RDC],"Non répertoriées")</f>
        <v>Non répertoriées</v>
      </c>
      <c r="D976">
        <v>56</v>
      </c>
      <c r="E976" t="str">
        <f>_xlfn.XLOOKUP(B976,Tableau13[ID_Antenne],Tableau13[Technologie],"Non répertoriées")</f>
        <v>Non répertoriées</v>
      </c>
      <c r="F976" t="str">
        <f>_xlfn.XLOOKUP(B976,Tableau13[ID_Antenne],Tableau13[Latitude],"Non répertoriées")</f>
        <v>Non répertoriées</v>
      </c>
      <c r="G976" t="str">
        <f>_xlfn.XLOOKUP(B976,Tableau13[ID_Antenne],Tableau13[Longitude],"Non répertoriées")</f>
        <v>Non répertoriées</v>
      </c>
      <c r="H976" t="s">
        <v>5</v>
      </c>
    </row>
    <row r="977" spans="1:8" x14ac:dyDescent="0.25">
      <c r="A977" s="1">
        <v>45215.163888888892</v>
      </c>
      <c r="B977" t="s">
        <v>614</v>
      </c>
      <c r="C977" t="str">
        <f>_xlfn.XLOOKUP(B977,Tableau13[ID_Antenne],Tableau13[Province_RDC],"Non répertoriées")</f>
        <v>Non répertoriées</v>
      </c>
      <c r="D977">
        <v>109</v>
      </c>
      <c r="E977" t="str">
        <f>_xlfn.XLOOKUP(B977,Tableau13[ID_Antenne],Tableau13[Technologie],"Non répertoriées")</f>
        <v>Non répertoriées</v>
      </c>
      <c r="F977" t="str">
        <f>_xlfn.XLOOKUP(B977,Tableau13[ID_Antenne],Tableau13[Latitude],"Non répertoriées")</f>
        <v>Non répertoriées</v>
      </c>
      <c r="G977" t="str">
        <f>_xlfn.XLOOKUP(B977,Tableau13[ID_Antenne],Tableau13[Longitude],"Non répertoriées")</f>
        <v>Non répertoriées</v>
      </c>
      <c r="H977" t="s">
        <v>8</v>
      </c>
    </row>
    <row r="978" spans="1:8" x14ac:dyDescent="0.25">
      <c r="A978" s="1">
        <v>45213.584722222222</v>
      </c>
      <c r="B978" t="s">
        <v>615</v>
      </c>
      <c r="C978" t="str">
        <f>_xlfn.XLOOKUP(B978,Tableau13[ID_Antenne],Tableau13[Province_RDC],"Non répertoriées")</f>
        <v>Non répertoriées</v>
      </c>
      <c r="D978">
        <v>35</v>
      </c>
      <c r="E978" t="str">
        <f>_xlfn.XLOOKUP(B978,Tableau13[ID_Antenne],Tableau13[Technologie],"Non répertoriées")</f>
        <v>Non répertoriées</v>
      </c>
      <c r="F978" t="str">
        <f>_xlfn.XLOOKUP(B978,Tableau13[ID_Antenne],Tableau13[Latitude],"Non répertoriées")</f>
        <v>Non répertoriées</v>
      </c>
      <c r="G978" t="str">
        <f>_xlfn.XLOOKUP(B978,Tableau13[ID_Antenne],Tableau13[Longitude],"Non répertoriées")</f>
        <v>Non répertoriées</v>
      </c>
      <c r="H978" t="s">
        <v>8</v>
      </c>
    </row>
    <row r="979" spans="1:8" x14ac:dyDescent="0.25">
      <c r="A979" s="1">
        <v>45202.361805555563</v>
      </c>
      <c r="B979" t="s">
        <v>616</v>
      </c>
      <c r="C979" t="str">
        <f>_xlfn.XLOOKUP(B979,Tableau13[ID_Antenne],Tableau13[Province_RDC],"Non répertoriées")</f>
        <v>Non répertoriées</v>
      </c>
      <c r="D979">
        <v>15</v>
      </c>
      <c r="E979" t="str">
        <f>_xlfn.XLOOKUP(B979,Tableau13[ID_Antenne],Tableau13[Technologie],"Non répertoriées")</f>
        <v>Non répertoriées</v>
      </c>
      <c r="F979" t="str">
        <f>_xlfn.XLOOKUP(B979,Tableau13[ID_Antenne],Tableau13[Latitude],"Non répertoriées")</f>
        <v>Non répertoriées</v>
      </c>
      <c r="G979" t="str">
        <f>_xlfn.XLOOKUP(B979,Tableau13[ID_Antenne],Tableau13[Longitude],"Non répertoriées")</f>
        <v>Non répertoriées</v>
      </c>
      <c r="H979" t="s">
        <v>8</v>
      </c>
    </row>
    <row r="980" spans="1:8" x14ac:dyDescent="0.25">
      <c r="A980" s="1">
        <v>45210.03125</v>
      </c>
      <c r="B980" t="s">
        <v>338</v>
      </c>
      <c r="C980" s="29" t="str">
        <f>_xlfn.XLOOKUP(B980,Tableau13[ID_Antenne],Tableau13[Province_RDC],"Non répertoriées")</f>
        <v>Kwango</v>
      </c>
      <c r="D980">
        <v>63</v>
      </c>
      <c r="E980" s="31" t="str">
        <f>_xlfn.XLOOKUP(B980,Tableau13[ID_Antenne],Tableau13[Technologie],"Non répertoriées")</f>
        <v>5G</v>
      </c>
      <c r="F980" s="3">
        <f>_xlfn.XLOOKUP(B980,Tableau13[ID_Antenne],Tableau13[Latitude],"Non répertoriées")</f>
        <v>-9.0798120000000004</v>
      </c>
      <c r="G980" s="32">
        <f>_xlfn.XLOOKUP(B980,Tableau13[ID_Antenne],Tableau13[Longitude],"Non répertoriées")</f>
        <v>14.945484</v>
      </c>
      <c r="H980" t="s">
        <v>10</v>
      </c>
    </row>
    <row r="981" spans="1:8" x14ac:dyDescent="0.25">
      <c r="A981" s="1">
        <v>45227.897916666669</v>
      </c>
      <c r="B981" t="s">
        <v>603</v>
      </c>
      <c r="C981" s="29" t="str">
        <f>_xlfn.XLOOKUP(B981,Tableau13[ID_Antenne],Tableau13[Province_RDC],"Non répertoriées")</f>
        <v>Kinshasa</v>
      </c>
      <c r="D981">
        <v>61</v>
      </c>
      <c r="E981" s="31" t="str">
        <f>_xlfn.XLOOKUP(B981,Tableau13[ID_Antenne],Tableau13[Technologie],"Non répertoriées")</f>
        <v>5G</v>
      </c>
      <c r="F981" s="3">
        <f>_xlfn.XLOOKUP(B981,Tableau13[ID_Antenne],Tableau13[Latitude],"Non répertoriées")</f>
        <v>-7.1079169999999996</v>
      </c>
      <c r="G981" s="32">
        <f>_xlfn.XLOOKUP(B981,Tableau13[ID_Antenne],Tableau13[Longitude],"Non répertoriées")</f>
        <v>13.636272</v>
      </c>
      <c r="H981" t="s">
        <v>5</v>
      </c>
    </row>
    <row r="982" spans="1:8" x14ac:dyDescent="0.25">
      <c r="A982" s="1">
        <v>45224.98333333333</v>
      </c>
      <c r="B982" t="s">
        <v>186</v>
      </c>
      <c r="C982" s="29" t="str">
        <f>_xlfn.XLOOKUP(B982,Tableau13[ID_Antenne],Tableau13[Province_RDC],"Non répertoriées")</f>
        <v>Mai-Ndombe</v>
      </c>
      <c r="D982">
        <v>107</v>
      </c>
      <c r="E982" s="31" t="str">
        <f>_xlfn.XLOOKUP(B982,Tableau13[ID_Antenne],Tableau13[Technologie],"Non répertoriées")</f>
        <v>4G</v>
      </c>
      <c r="F982" s="3">
        <f>_xlfn.XLOOKUP(B982,Tableau13[ID_Antenne],Tableau13[Latitude],"Non répertoriées")</f>
        <v>-9.3652280000000001</v>
      </c>
      <c r="G982" s="32">
        <f>_xlfn.XLOOKUP(B982,Tableau13[ID_Antenne],Tableau13[Longitude],"Non répertoriées")</f>
        <v>18.674116000000001</v>
      </c>
      <c r="H982" t="s">
        <v>10</v>
      </c>
    </row>
    <row r="983" spans="1:8" x14ac:dyDescent="0.25">
      <c r="A983" s="1">
        <v>45223.759722222218</v>
      </c>
      <c r="B983" t="s">
        <v>307</v>
      </c>
      <c r="C983" s="29" t="str">
        <f>_xlfn.XLOOKUP(B983,Tableau13[ID_Antenne],Tableau13[Province_RDC],"Non répertoriées")</f>
        <v>Mongala</v>
      </c>
      <c r="D983">
        <v>78</v>
      </c>
      <c r="E983" s="31" t="str">
        <f>_xlfn.XLOOKUP(B983,Tableau13[ID_Antenne],Tableau13[Technologie],"Non répertoriées")</f>
        <v>5G</v>
      </c>
      <c r="F983" s="3">
        <f>_xlfn.XLOOKUP(B983,Tableau13[ID_Antenne],Tableau13[Latitude],"Non répertoriées")</f>
        <v>-5.3762689999999997</v>
      </c>
      <c r="G983" s="32">
        <f>_xlfn.XLOOKUP(B983,Tableau13[ID_Antenne],Tableau13[Longitude],"Non répertoriées")</f>
        <v>28.189575999999999</v>
      </c>
      <c r="H983" t="s">
        <v>8</v>
      </c>
    </row>
    <row r="984" spans="1:8" x14ac:dyDescent="0.25">
      <c r="A984" s="1">
        <v>45230.913194444453</v>
      </c>
      <c r="B984" t="s">
        <v>410</v>
      </c>
      <c r="C984" s="29" t="str">
        <f>_xlfn.XLOOKUP(B984,Tableau13[ID_Antenne],Tableau13[Province_RDC],"Non répertoriées")</f>
        <v>Tshuapa</v>
      </c>
      <c r="D984">
        <v>62</v>
      </c>
      <c r="E984" s="31" t="str">
        <f>_xlfn.XLOOKUP(B984,Tableau13[ID_Antenne],Tableau13[Technologie],"Non répertoriées")</f>
        <v>4G</v>
      </c>
      <c r="F984" s="3">
        <f>_xlfn.XLOOKUP(B984,Tableau13[ID_Antenne],Tableau13[Latitude],"Non répertoriées")</f>
        <v>-1.9540519999999999</v>
      </c>
      <c r="G984" s="32">
        <f>_xlfn.XLOOKUP(B984,Tableau13[ID_Antenne],Tableau13[Longitude],"Non répertoriées")</f>
        <v>12.667945</v>
      </c>
      <c r="H984" t="s">
        <v>5</v>
      </c>
    </row>
    <row r="985" spans="1:8" x14ac:dyDescent="0.25">
      <c r="A985" s="1">
        <v>45210.689583333333</v>
      </c>
      <c r="B985" t="s">
        <v>278</v>
      </c>
      <c r="C985" s="29" t="str">
        <f>_xlfn.XLOOKUP(B985,Tableau13[ID_Antenne],Tableau13[Province_RDC],"Non répertoriées")</f>
        <v>Haut-Uele</v>
      </c>
      <c r="D985">
        <v>16</v>
      </c>
      <c r="E985" s="31" t="str">
        <f>_xlfn.XLOOKUP(B985,Tableau13[ID_Antenne],Tableau13[Technologie],"Non répertoriées")</f>
        <v>5G</v>
      </c>
      <c r="F985" s="3">
        <f>_xlfn.XLOOKUP(B985,Tableau13[ID_Antenne],Tableau13[Latitude],"Non répertoriées")</f>
        <v>-4.869434</v>
      </c>
      <c r="G985" s="32">
        <f>_xlfn.XLOOKUP(B985,Tableau13[ID_Antenne],Tableau13[Longitude],"Non répertoriées")</f>
        <v>22.326522000000001</v>
      </c>
      <c r="H985" t="s">
        <v>5</v>
      </c>
    </row>
    <row r="986" spans="1:8" x14ac:dyDescent="0.25">
      <c r="A986" s="1">
        <v>45222.943749999999</v>
      </c>
      <c r="B986" t="s">
        <v>617</v>
      </c>
      <c r="C986" s="29" t="str">
        <f>_xlfn.XLOOKUP(B986,Tableau13[ID_Antenne],Tableau13[Province_RDC],"Non répertoriées")</f>
        <v>Haut-Lomami</v>
      </c>
      <c r="D986">
        <v>114</v>
      </c>
      <c r="E986" s="31" t="str">
        <f>_xlfn.XLOOKUP(B986,Tableau13[ID_Antenne],Tableau13[Technologie],"Non répertoriées")</f>
        <v>4G</v>
      </c>
      <c r="F986" s="3">
        <f>_xlfn.XLOOKUP(B986,Tableau13[ID_Antenne],Tableau13[Latitude],"Non répertoriées")</f>
        <v>-9.6407190000000007</v>
      </c>
      <c r="G986" s="32">
        <f>_xlfn.XLOOKUP(B986,Tableau13[ID_Antenne],Tableau13[Longitude],"Non répertoriées")</f>
        <v>21.336704999999998</v>
      </c>
      <c r="H986" t="s">
        <v>5</v>
      </c>
    </row>
    <row r="987" spans="1:8" x14ac:dyDescent="0.25">
      <c r="A987" s="1">
        <v>45203.570833333331</v>
      </c>
      <c r="B987" t="s">
        <v>618</v>
      </c>
      <c r="C987" t="str">
        <f>_xlfn.XLOOKUP(B987,Tableau13[ID_Antenne],Tableau13[Province_RDC],"Non répertoriées")</f>
        <v>Non répertoriées</v>
      </c>
      <c r="D987">
        <v>68</v>
      </c>
      <c r="E987" t="str">
        <f>_xlfn.XLOOKUP(B987,Tableau13[ID_Antenne],Tableau13[Technologie],"Non répertoriées")</f>
        <v>Non répertoriées</v>
      </c>
      <c r="F987" t="str">
        <f>_xlfn.XLOOKUP(B987,Tableau13[ID_Antenne],Tableau13[Latitude],"Non répertoriées")</f>
        <v>Non répertoriées</v>
      </c>
      <c r="G987" t="str">
        <f>_xlfn.XLOOKUP(B987,Tableau13[ID_Antenne],Tableau13[Longitude],"Non répertoriées")</f>
        <v>Non répertoriées</v>
      </c>
      <c r="H987" t="s">
        <v>10</v>
      </c>
    </row>
    <row r="988" spans="1:8" x14ac:dyDescent="0.25">
      <c r="A988" s="1">
        <v>45223.3125</v>
      </c>
      <c r="B988" t="s">
        <v>619</v>
      </c>
      <c r="C988" t="str">
        <f>_xlfn.XLOOKUP(B988,Tableau13[ID_Antenne],Tableau13[Province_RDC],"Non répertoriées")</f>
        <v>Non répertoriées</v>
      </c>
      <c r="D988">
        <v>62</v>
      </c>
      <c r="E988" t="str">
        <f>_xlfn.XLOOKUP(B988,Tableau13[ID_Antenne],Tableau13[Technologie],"Non répertoriées")</f>
        <v>Non répertoriées</v>
      </c>
      <c r="F988" t="str">
        <f>_xlfn.XLOOKUP(B988,Tableau13[ID_Antenne],Tableau13[Latitude],"Non répertoriées")</f>
        <v>Non répertoriées</v>
      </c>
      <c r="G988" t="str">
        <f>_xlfn.XLOOKUP(B988,Tableau13[ID_Antenne],Tableau13[Longitude],"Non répertoriées")</f>
        <v>Non répertoriées</v>
      </c>
      <c r="H988" t="s">
        <v>5</v>
      </c>
    </row>
    <row r="989" spans="1:8" x14ac:dyDescent="0.25">
      <c r="A989" s="1">
        <v>45211.904861111107</v>
      </c>
      <c r="B989" t="s">
        <v>209</v>
      </c>
      <c r="C989" s="29" t="str">
        <f>_xlfn.XLOOKUP(B989,Tableau13[ID_Antenne],Tableau13[Province_RDC],"Non répertoriées")</f>
        <v>Sud-Ubangi</v>
      </c>
      <c r="D989">
        <v>45</v>
      </c>
      <c r="E989" s="31" t="str">
        <f>_xlfn.XLOOKUP(B989,Tableau13[ID_Antenne],Tableau13[Technologie],"Non répertoriées")</f>
        <v>3G</v>
      </c>
      <c r="F989" s="3">
        <f>_xlfn.XLOOKUP(B989,Tableau13[ID_Antenne],Tableau13[Latitude],"Non répertoriées")</f>
        <v>-12.342053999999999</v>
      </c>
      <c r="G989" s="32">
        <f>_xlfn.XLOOKUP(B989,Tableau13[ID_Antenne],Tableau13[Longitude],"Non répertoriées")</f>
        <v>18.756862000000002</v>
      </c>
      <c r="H989" t="s">
        <v>10</v>
      </c>
    </row>
    <row r="990" spans="1:8" x14ac:dyDescent="0.25">
      <c r="A990" s="1">
        <v>45220.506249999999</v>
      </c>
      <c r="B990" t="s">
        <v>443</v>
      </c>
      <c r="C990" t="str">
        <f>_xlfn.XLOOKUP(B990,Tableau13[ID_Antenne],Tableau13[Province_RDC],"Non répertoriées")</f>
        <v>Non répertoriées</v>
      </c>
      <c r="D990">
        <v>20</v>
      </c>
      <c r="E990" t="str">
        <f>_xlfn.XLOOKUP(B990,Tableau13[ID_Antenne],Tableau13[Technologie],"Non répertoriées")</f>
        <v>Non répertoriées</v>
      </c>
      <c r="F990" t="str">
        <f>_xlfn.XLOOKUP(B990,Tableau13[ID_Antenne],Tableau13[Latitude],"Non répertoriées")</f>
        <v>Non répertoriées</v>
      </c>
      <c r="G990" t="str">
        <f>_xlfn.XLOOKUP(B990,Tableau13[ID_Antenne],Tableau13[Longitude],"Non répertoriées")</f>
        <v>Non répertoriées</v>
      </c>
      <c r="H990" t="s">
        <v>5</v>
      </c>
    </row>
    <row r="991" spans="1:8" x14ac:dyDescent="0.25">
      <c r="A991" s="1">
        <v>45226.747916666667</v>
      </c>
      <c r="B991" t="s">
        <v>620</v>
      </c>
      <c r="C991" s="29">
        <f>_xlfn.XLOOKUP(B991,Tableau13[ID_Antenne],Tableau13[Province_RDC],"Non répertoriées")</f>
        <v>0</v>
      </c>
      <c r="D991">
        <v>68</v>
      </c>
      <c r="E991" s="31" t="str">
        <f>_xlfn.XLOOKUP(B991,Tableau13[ID_Antenne],Tableau13[Technologie],"Non répertoriées")</f>
        <v>3G</v>
      </c>
      <c r="F991" s="3">
        <f>_xlfn.XLOOKUP(B991,Tableau13[ID_Antenne],Tableau13[Latitude],"Non répertoriées")</f>
        <v>3.9790009999999998</v>
      </c>
      <c r="G991" s="32">
        <f>_xlfn.XLOOKUP(B991,Tableau13[ID_Antenne],Tableau13[Longitude],"Non répertoriées")</f>
        <v>28.069559000000002</v>
      </c>
      <c r="H991" t="s">
        <v>8</v>
      </c>
    </row>
    <row r="992" spans="1:8" x14ac:dyDescent="0.25">
      <c r="A992" s="1">
        <v>45219.041666666657</v>
      </c>
      <c r="B992" t="s">
        <v>165</v>
      </c>
      <c r="C992" t="str">
        <f>_xlfn.XLOOKUP(B992,Tableau13[ID_Antenne],Tableau13[Province_RDC],"Non répertoriées")</f>
        <v>Non répertoriées</v>
      </c>
      <c r="D992">
        <v>100</v>
      </c>
      <c r="E992" t="str">
        <f>_xlfn.XLOOKUP(B992,Tableau13[ID_Antenne],Tableau13[Technologie],"Non répertoriées")</f>
        <v>Non répertoriées</v>
      </c>
      <c r="F992" t="str">
        <f>_xlfn.XLOOKUP(B992,Tableau13[ID_Antenne],Tableau13[Latitude],"Non répertoriées")</f>
        <v>Non répertoriées</v>
      </c>
      <c r="G992" t="str">
        <f>_xlfn.XLOOKUP(B992,Tableau13[ID_Antenne],Tableau13[Longitude],"Non répertoriées")</f>
        <v>Non répertoriées</v>
      </c>
      <c r="H992" t="s">
        <v>10</v>
      </c>
    </row>
    <row r="993" spans="1:8" x14ac:dyDescent="0.25">
      <c r="A993" s="1">
        <v>45203.603472222218</v>
      </c>
      <c r="B993" t="s">
        <v>621</v>
      </c>
      <c r="C993" s="29" t="str">
        <f>_xlfn.XLOOKUP(B993,Tableau13[ID_Antenne],Tableau13[Province_RDC],"Non répertoriées")</f>
        <v>Haut-Katanga</v>
      </c>
      <c r="D993">
        <v>106</v>
      </c>
      <c r="E993" s="31" t="str">
        <f>_xlfn.XLOOKUP(B993,Tableau13[ID_Antenne],Tableau13[Technologie],"Non répertoriées")</f>
        <v>5G</v>
      </c>
      <c r="F993" s="3">
        <f>_xlfn.XLOOKUP(B993,Tableau13[ID_Antenne],Tableau13[Latitude],"Non répertoriées")</f>
        <v>-5.1507670000000001</v>
      </c>
      <c r="G993" s="32">
        <f>_xlfn.XLOOKUP(B993,Tableau13[ID_Antenne],Tableau13[Longitude],"Non répertoriées")</f>
        <v>28.075324999999999</v>
      </c>
      <c r="H993" t="s">
        <v>8</v>
      </c>
    </row>
    <row r="994" spans="1:8" x14ac:dyDescent="0.25">
      <c r="A994" s="1">
        <v>45221.772222222222</v>
      </c>
      <c r="B994" t="s">
        <v>178</v>
      </c>
      <c r="C994" s="29" t="str">
        <f>_xlfn.XLOOKUP(B994,Tableau13[ID_Antenne],Tableau13[Province_RDC],"Non répertoriées")</f>
        <v>Kasai-Central</v>
      </c>
      <c r="D994">
        <v>107</v>
      </c>
      <c r="E994" s="31" t="str">
        <f>_xlfn.XLOOKUP(B994,Tableau13[ID_Antenne],Tableau13[Technologie],"Non répertoriées")</f>
        <v>4G</v>
      </c>
      <c r="F994" s="3">
        <f>_xlfn.XLOOKUP(B994,Tableau13[ID_Antenne],Tableau13[Latitude],"Non répertoriées")</f>
        <v>-4.4451280000000004</v>
      </c>
      <c r="G994" s="32">
        <f>_xlfn.XLOOKUP(B994,Tableau13[ID_Antenne],Tableau13[Longitude],"Non répertoriées")</f>
        <v>16.536944999999999</v>
      </c>
      <c r="H994" t="s">
        <v>5</v>
      </c>
    </row>
    <row r="995" spans="1:8" x14ac:dyDescent="0.25">
      <c r="A995" s="1">
        <v>45204.625</v>
      </c>
      <c r="B995" t="s">
        <v>622</v>
      </c>
      <c r="C995" s="29" t="str">
        <f>_xlfn.XLOOKUP(B995,Tableau13[ID_Antenne],Tableau13[Province_RDC],"Non répertoriées")</f>
        <v>Bas-Uele</v>
      </c>
      <c r="D995">
        <v>94</v>
      </c>
      <c r="E995" s="31" t="str">
        <f>_xlfn.XLOOKUP(B995,Tableau13[ID_Antenne],Tableau13[Technologie],"Non répertoriées")</f>
        <v>4G</v>
      </c>
      <c r="F995" s="3">
        <f>_xlfn.XLOOKUP(B995,Tableau13[ID_Antenne],Tableau13[Latitude],"Non répertoriées")</f>
        <v>-1.6893210000000001</v>
      </c>
      <c r="G995" s="32">
        <f>_xlfn.XLOOKUP(B995,Tableau13[ID_Antenne],Tableau13[Longitude],"Non répertoriées")</f>
        <v>30.446543999999999</v>
      </c>
      <c r="H995" t="s">
        <v>10</v>
      </c>
    </row>
    <row r="996" spans="1:8" x14ac:dyDescent="0.25">
      <c r="A996" s="1">
        <v>45216.960416666669</v>
      </c>
      <c r="B996" t="s">
        <v>623</v>
      </c>
      <c r="C996" s="29" t="str">
        <f>_xlfn.XLOOKUP(B996,Tableau13[ID_Antenne],Tableau13[Province_RDC],"Non répertoriées")</f>
        <v>Mai-Ndombe</v>
      </c>
      <c r="D996">
        <v>41</v>
      </c>
      <c r="E996" s="31" t="str">
        <f>_xlfn.XLOOKUP(B996,Tableau13[ID_Antenne],Tableau13[Technologie],"Non répertoriées")</f>
        <v>3G</v>
      </c>
      <c r="F996" s="3">
        <f>_xlfn.XLOOKUP(B996,Tableau13[ID_Antenne],Tableau13[Latitude],"Non répertoriées")</f>
        <v>-7.5641280000000002</v>
      </c>
      <c r="G996" s="32">
        <f>_xlfn.XLOOKUP(B996,Tableau13[ID_Antenne],Tableau13[Longitude],"Non répertoriées")</f>
        <v>18.129529999999999</v>
      </c>
      <c r="H996" t="s">
        <v>8</v>
      </c>
    </row>
    <row r="997" spans="1:8" x14ac:dyDescent="0.25">
      <c r="A997" s="1">
        <v>45217.578472222223</v>
      </c>
      <c r="B997" t="s">
        <v>624</v>
      </c>
      <c r="C997" s="29" t="str">
        <f>_xlfn.XLOOKUP(B997,Tableau13[ID_Antenne],Tableau13[Province_RDC],"Non répertoriées")</f>
        <v>Kasai-Central</v>
      </c>
      <c r="D997">
        <v>93</v>
      </c>
      <c r="E997" s="31" t="str">
        <f>_xlfn.XLOOKUP(B997,Tableau13[ID_Antenne],Tableau13[Technologie],"Non répertoriées")</f>
        <v>3G</v>
      </c>
      <c r="F997" s="3">
        <f>_xlfn.XLOOKUP(B997,Tableau13[ID_Antenne],Tableau13[Latitude],"Non répertoriées")</f>
        <v>-10.735106</v>
      </c>
      <c r="G997" s="32">
        <f>_xlfn.XLOOKUP(B997,Tableau13[ID_Antenne],Tableau13[Longitude],"Non répertoriées")</f>
        <v>27.868673999999999</v>
      </c>
      <c r="H997" t="s">
        <v>8</v>
      </c>
    </row>
    <row r="998" spans="1:8" x14ac:dyDescent="0.25">
      <c r="A998" s="1">
        <v>45218.665972222218</v>
      </c>
      <c r="B998" t="s">
        <v>625</v>
      </c>
      <c r="C998" t="str">
        <f>_xlfn.XLOOKUP(B998,Tableau13[ID_Antenne],Tableau13[Province_RDC],"Non répertoriées")</f>
        <v>Non répertoriées</v>
      </c>
      <c r="D998">
        <v>90</v>
      </c>
      <c r="E998" t="str">
        <f>_xlfn.XLOOKUP(B998,Tableau13[ID_Antenne],Tableau13[Technologie],"Non répertoriées")</f>
        <v>Non répertoriées</v>
      </c>
      <c r="F998" t="str">
        <f>_xlfn.XLOOKUP(B998,Tableau13[ID_Antenne],Tableau13[Latitude],"Non répertoriées")</f>
        <v>Non répertoriées</v>
      </c>
      <c r="G998" t="str">
        <f>_xlfn.XLOOKUP(B998,Tableau13[ID_Antenne],Tableau13[Longitude],"Non répertoriées")</f>
        <v>Non répertoriées</v>
      </c>
      <c r="H998" t="s">
        <v>10</v>
      </c>
    </row>
    <row r="999" spans="1:8" x14ac:dyDescent="0.25">
      <c r="A999" t="s">
        <v>626</v>
      </c>
      <c r="B999" t="s">
        <v>627</v>
      </c>
      <c r="C999" t="str">
        <f>_xlfn.XLOOKUP(B999,Tableau13[ID_Antenne],Tableau13[Province_RDC],"Non répertoriées")</f>
        <v>Non répertoriées</v>
      </c>
      <c r="D999">
        <v>11</v>
      </c>
      <c r="E999" t="str">
        <f>_xlfn.XLOOKUP(B999,Tableau13[ID_Antenne],Tableau13[Technologie],"Non répertoriées")</f>
        <v>Non répertoriées</v>
      </c>
      <c r="F999" t="str">
        <f>_xlfn.XLOOKUP(B999,Tableau13[ID_Antenne],Tableau13[Latitude],"Non répertoriées")</f>
        <v>Non répertoriées</v>
      </c>
      <c r="G999" t="str">
        <f>_xlfn.XLOOKUP(B999,Tableau13[ID_Antenne],Tableau13[Longitude],"Non répertoriées")</f>
        <v>Non répertoriées</v>
      </c>
      <c r="H999" t="s">
        <v>5</v>
      </c>
    </row>
    <row r="1000" spans="1:8" x14ac:dyDescent="0.25">
      <c r="A1000" s="1">
        <v>45218.240277777782</v>
      </c>
      <c r="B1000" t="s">
        <v>137</v>
      </c>
      <c r="C1000" t="str">
        <f>_xlfn.XLOOKUP(B1000,Tableau13[ID_Antenne],Tableau13[Province_RDC],"Non répertoriées")</f>
        <v>Non répertoriées</v>
      </c>
      <c r="D1000">
        <v>53</v>
      </c>
      <c r="E1000" t="str">
        <f>_xlfn.XLOOKUP(B1000,Tableau13[ID_Antenne],Tableau13[Technologie],"Non répertoriées")</f>
        <v>Non répertoriées</v>
      </c>
      <c r="F1000" t="str">
        <f>_xlfn.XLOOKUP(B1000,Tableau13[ID_Antenne],Tableau13[Latitude],"Non répertoriées")</f>
        <v>Non répertoriées</v>
      </c>
      <c r="G1000" t="str">
        <f>_xlfn.XLOOKUP(B1000,Tableau13[ID_Antenne],Tableau13[Longitude],"Non répertoriées")</f>
        <v>Non répertoriées</v>
      </c>
      <c r="H1000" t="s">
        <v>10</v>
      </c>
    </row>
    <row r="1001" spans="1:8" x14ac:dyDescent="0.25">
      <c r="A1001" s="1">
        <v>45226.17083333333</v>
      </c>
      <c r="B1001" t="s">
        <v>54</v>
      </c>
      <c r="C1001" s="29" t="str">
        <f>_xlfn.XLOOKUP(B1001,Tableau13[ID_Antenne],Tableau13[Province_RDC],"Non répertoriées")</f>
        <v>Tshuapa</v>
      </c>
      <c r="D1001">
        <v>54</v>
      </c>
      <c r="E1001" s="31" t="str">
        <f>_xlfn.XLOOKUP(B1001,Tableau13[ID_Antenne],Tableau13[Technologie],"Non répertoriées")</f>
        <v>5G</v>
      </c>
      <c r="F1001" s="3">
        <f>_xlfn.XLOOKUP(B1001,Tableau13[ID_Antenne],Tableau13[Latitude],"Non répertoriées")</f>
        <v>-5.1030600000000002</v>
      </c>
      <c r="G1001" s="32">
        <f>_xlfn.XLOOKUP(B1001,Tableau13[ID_Antenne],Tableau13[Longitude],"Non répertoriées")</f>
        <v>22.849231</v>
      </c>
      <c r="H1001" t="s">
        <v>5</v>
      </c>
    </row>
    <row r="1002" spans="1:8" x14ac:dyDescent="0.25">
      <c r="A1002" s="1">
        <v>45212.901388888888</v>
      </c>
      <c r="B1002" t="s">
        <v>68</v>
      </c>
      <c r="C1002" s="29" t="str">
        <f>_xlfn.XLOOKUP(B1002,Tableau13[ID_Antenne],Tableau13[Province_RDC],"Non répertoriées")</f>
        <v>Kwango</v>
      </c>
      <c r="D1002">
        <v>58</v>
      </c>
      <c r="E1002" s="31" t="str">
        <f>_xlfn.XLOOKUP(B1002,Tableau13[ID_Antenne],Tableau13[Technologie],"Non répertoriées")</f>
        <v>4G</v>
      </c>
      <c r="F1002" s="3">
        <f>_xlfn.XLOOKUP(B1002,Tableau13[ID_Antenne],Tableau13[Latitude],"Non répertoriées")</f>
        <v>-10.963041</v>
      </c>
      <c r="G1002" s="32">
        <f>_xlfn.XLOOKUP(B1002,Tableau13[ID_Antenne],Tableau13[Longitude],"Non répertoriées")</f>
        <v>12.269857</v>
      </c>
      <c r="H1002" t="s">
        <v>5</v>
      </c>
    </row>
    <row r="1003" spans="1:8" x14ac:dyDescent="0.25">
      <c r="A1003" s="1">
        <v>45219.438888888893</v>
      </c>
      <c r="B1003" t="s">
        <v>628</v>
      </c>
      <c r="C1003" s="29" t="str">
        <f>_xlfn.XLOOKUP(B1003,Tableau13[ID_Antenne],Tableau13[Province_RDC],"Non répertoriées")</f>
        <v>Sud-Ubangi</v>
      </c>
      <c r="D1003">
        <v>105</v>
      </c>
      <c r="E1003" s="31" t="str">
        <f>_xlfn.XLOOKUP(B1003,Tableau13[ID_Antenne],Tableau13[Technologie],"Non répertoriées")</f>
        <v>5G</v>
      </c>
      <c r="F1003" s="3">
        <f>_xlfn.XLOOKUP(B1003,Tableau13[ID_Antenne],Tableau13[Latitude],"Non répertoriées")</f>
        <v>-0.54908599999999996</v>
      </c>
      <c r="G1003" s="32">
        <f>_xlfn.XLOOKUP(B1003,Tableau13[ID_Antenne],Tableau13[Longitude],"Non répertoriées")</f>
        <v>14.816867</v>
      </c>
      <c r="H1003" t="s">
        <v>8</v>
      </c>
    </row>
    <row r="1004" spans="1:8" x14ac:dyDescent="0.25">
      <c r="A1004" s="1">
        <v>45228.518055555563</v>
      </c>
      <c r="B1004" t="s">
        <v>572</v>
      </c>
      <c r="C1004" t="str">
        <f>_xlfn.XLOOKUP(B1004,Tableau13[ID_Antenne],Tableau13[Province_RDC],"Non répertoriées")</f>
        <v>Non répertoriées</v>
      </c>
      <c r="D1004">
        <v>92</v>
      </c>
      <c r="E1004" t="str">
        <f>_xlfn.XLOOKUP(B1004,Tableau13[ID_Antenne],Tableau13[Technologie],"Non répertoriées")</f>
        <v>Non répertoriées</v>
      </c>
      <c r="F1004" t="str">
        <f>_xlfn.XLOOKUP(B1004,Tableau13[ID_Antenne],Tableau13[Latitude],"Non répertoriées")</f>
        <v>Non répertoriées</v>
      </c>
      <c r="G1004" t="str">
        <f>_xlfn.XLOOKUP(B1004,Tableau13[ID_Antenne],Tableau13[Longitude],"Non répertoriées")</f>
        <v>Non répertoriées</v>
      </c>
      <c r="H1004" t="s">
        <v>10</v>
      </c>
    </row>
    <row r="1005" spans="1:8" x14ac:dyDescent="0.25">
      <c r="A1005" s="1">
        <v>45219.95</v>
      </c>
      <c r="B1005" t="s">
        <v>59</v>
      </c>
      <c r="C1005" t="str">
        <f>_xlfn.XLOOKUP(B1005,Tableau13[ID_Antenne],Tableau13[Province_RDC],"Non répertoriées")</f>
        <v>Non répertoriées</v>
      </c>
      <c r="D1005">
        <v>45</v>
      </c>
      <c r="E1005" t="str">
        <f>_xlfn.XLOOKUP(B1005,Tableau13[ID_Antenne],Tableau13[Technologie],"Non répertoriées")</f>
        <v>Non répertoriées</v>
      </c>
      <c r="F1005" t="str">
        <f>_xlfn.XLOOKUP(B1005,Tableau13[ID_Antenne],Tableau13[Latitude],"Non répertoriées")</f>
        <v>Non répertoriées</v>
      </c>
      <c r="G1005" t="str">
        <f>_xlfn.XLOOKUP(B1005,Tableau13[ID_Antenne],Tableau13[Longitude],"Non répertoriées")</f>
        <v>Non répertoriées</v>
      </c>
      <c r="H1005" t="s">
        <v>10</v>
      </c>
    </row>
    <row r="1006" spans="1:8" x14ac:dyDescent="0.25">
      <c r="A1006" s="1">
        <v>45207.350694444453</v>
      </c>
      <c r="B1006" t="s">
        <v>629</v>
      </c>
      <c r="C1006" t="str">
        <f>_xlfn.XLOOKUP(B1006,Tableau13[ID_Antenne],Tableau13[Province_RDC],"Non répertoriées")</f>
        <v>Non répertoriées</v>
      </c>
      <c r="D1006">
        <v>75</v>
      </c>
      <c r="E1006" t="str">
        <f>_xlfn.XLOOKUP(B1006,Tableau13[ID_Antenne],Tableau13[Technologie],"Non répertoriées")</f>
        <v>Non répertoriées</v>
      </c>
      <c r="F1006" t="str">
        <f>_xlfn.XLOOKUP(B1006,Tableau13[ID_Antenne],Tableau13[Latitude],"Non répertoriées")</f>
        <v>Non répertoriées</v>
      </c>
      <c r="G1006" t="str">
        <f>_xlfn.XLOOKUP(B1006,Tableau13[ID_Antenne],Tableau13[Longitude],"Non répertoriées")</f>
        <v>Non répertoriées</v>
      </c>
      <c r="H1006" t="s">
        <v>10</v>
      </c>
    </row>
    <row r="1007" spans="1:8" x14ac:dyDescent="0.25">
      <c r="A1007" s="1">
        <v>45230.429166666669</v>
      </c>
      <c r="B1007" t="s">
        <v>388</v>
      </c>
      <c r="C1007" s="29" t="str">
        <f>_xlfn.XLOOKUP(B1007,Tableau13[ID_Antenne],Tableau13[Province_RDC],"Non répertoriées")</f>
        <v>Bas-Uele</v>
      </c>
      <c r="D1007">
        <v>11</v>
      </c>
      <c r="E1007" s="31" t="str">
        <f>_xlfn.XLOOKUP(B1007,Tableau13[ID_Antenne],Tableau13[Technologie],"Non répertoriées")</f>
        <v>5G</v>
      </c>
      <c r="F1007" s="3">
        <f>_xlfn.XLOOKUP(B1007,Tableau13[ID_Antenne],Tableau13[Latitude],"Non répertoriées")</f>
        <v>-2.8532869999999999</v>
      </c>
      <c r="G1007" s="32">
        <f>_xlfn.XLOOKUP(B1007,Tableau13[ID_Antenne],Tableau13[Longitude],"Non répertoriées")</f>
        <v>22.117896000000002</v>
      </c>
      <c r="H1007" t="s">
        <v>10</v>
      </c>
    </row>
    <row r="1008" spans="1:8" x14ac:dyDescent="0.25">
      <c r="A1008" s="1">
        <v>45214.172222222223</v>
      </c>
      <c r="B1008" t="s">
        <v>171</v>
      </c>
      <c r="C1008" s="29" t="str">
        <f>_xlfn.XLOOKUP(B1008,Tableau13[ID_Antenne],Tableau13[Province_RDC],"Non répertoriées")</f>
        <v>Bas-Uele</v>
      </c>
      <c r="D1008">
        <v>6</v>
      </c>
      <c r="E1008" s="31" t="str">
        <f>_xlfn.XLOOKUP(B1008,Tableau13[ID_Antenne],Tableau13[Technologie],"Non répertoriées")</f>
        <v>5G</v>
      </c>
      <c r="F1008" s="3">
        <f>_xlfn.XLOOKUP(B1008,Tableau13[ID_Antenne],Tableau13[Latitude],"Non répertoriées")</f>
        <v>-3.6945459999999999</v>
      </c>
      <c r="G1008" s="32">
        <f>_xlfn.XLOOKUP(B1008,Tableau13[ID_Antenne],Tableau13[Longitude],"Non répertoriées")</f>
        <v>16.809108999999999</v>
      </c>
      <c r="H1008" t="s">
        <v>5</v>
      </c>
    </row>
    <row r="1009" spans="1:8" x14ac:dyDescent="0.25">
      <c r="A1009" s="1">
        <v>45213.822222222218</v>
      </c>
      <c r="B1009" t="s">
        <v>630</v>
      </c>
      <c r="C1009" t="str">
        <f>_xlfn.XLOOKUP(B1009,Tableau13[ID_Antenne],Tableau13[Province_RDC],"Non répertoriées")</f>
        <v>Non répertoriées</v>
      </c>
      <c r="D1009">
        <v>100</v>
      </c>
      <c r="E1009" t="str">
        <f>_xlfn.XLOOKUP(B1009,Tableau13[ID_Antenne],Tableau13[Technologie],"Non répertoriées")</f>
        <v>Non répertoriées</v>
      </c>
      <c r="F1009" t="str">
        <f>_xlfn.XLOOKUP(B1009,Tableau13[ID_Antenne],Tableau13[Latitude],"Non répertoriées")</f>
        <v>Non répertoriées</v>
      </c>
      <c r="G1009" t="str">
        <f>_xlfn.XLOOKUP(B1009,Tableau13[ID_Antenne],Tableau13[Longitude],"Non répertoriées")</f>
        <v>Non répertoriées</v>
      </c>
      <c r="H1009" t="s">
        <v>8</v>
      </c>
    </row>
    <row r="1010" spans="1:8" x14ac:dyDescent="0.25">
      <c r="A1010" s="1">
        <v>45228.980555555558</v>
      </c>
      <c r="B1010" t="s">
        <v>207</v>
      </c>
      <c r="C1010" t="str">
        <f>_xlfn.XLOOKUP(B1010,Tableau13[ID_Antenne],Tableau13[Province_RDC],"Non répertoriées")</f>
        <v>Non répertoriées</v>
      </c>
      <c r="D1010">
        <v>37</v>
      </c>
      <c r="E1010" t="str">
        <f>_xlfn.XLOOKUP(B1010,Tableau13[ID_Antenne],Tableau13[Technologie],"Non répertoriées")</f>
        <v>Non répertoriées</v>
      </c>
      <c r="F1010" t="str">
        <f>_xlfn.XLOOKUP(B1010,Tableau13[ID_Antenne],Tableau13[Latitude],"Non répertoriées")</f>
        <v>Non répertoriées</v>
      </c>
      <c r="G1010" t="str">
        <f>_xlfn.XLOOKUP(B1010,Tableau13[ID_Antenne],Tableau13[Longitude],"Non répertoriées")</f>
        <v>Non répertoriées</v>
      </c>
      <c r="H1010" t="s">
        <v>8</v>
      </c>
    </row>
    <row r="1011" spans="1:8" x14ac:dyDescent="0.25">
      <c r="A1011" s="1">
        <v>45209.940972222219</v>
      </c>
      <c r="B1011" t="s">
        <v>422</v>
      </c>
      <c r="C1011" t="str">
        <f>_xlfn.XLOOKUP(B1011,Tableau13[ID_Antenne],Tableau13[Province_RDC],"Non répertoriées")</f>
        <v>Non répertoriées</v>
      </c>
      <c r="D1011">
        <v>30</v>
      </c>
      <c r="E1011" t="str">
        <f>_xlfn.XLOOKUP(B1011,Tableau13[ID_Antenne],Tableau13[Technologie],"Non répertoriées")</f>
        <v>Non répertoriées</v>
      </c>
      <c r="F1011" t="str">
        <f>_xlfn.XLOOKUP(B1011,Tableau13[ID_Antenne],Tableau13[Latitude],"Non répertoriées")</f>
        <v>Non répertoriées</v>
      </c>
      <c r="G1011" t="str">
        <f>_xlfn.XLOOKUP(B1011,Tableau13[ID_Antenne],Tableau13[Longitude],"Non répertoriées")</f>
        <v>Non répertoriées</v>
      </c>
      <c r="H1011" t="s">
        <v>10</v>
      </c>
    </row>
    <row r="1012" spans="1:8" x14ac:dyDescent="0.25">
      <c r="A1012" s="1">
        <v>45227.447916666657</v>
      </c>
      <c r="B1012" t="s">
        <v>420</v>
      </c>
      <c r="C1012" s="29" t="str">
        <f>_xlfn.XLOOKUP(B1012,Tableau13[ID_Antenne],Tableau13[Province_RDC],"Non répertoriées")</f>
        <v>Sud-Kivu</v>
      </c>
      <c r="D1012">
        <v>84</v>
      </c>
      <c r="E1012" s="31" t="str">
        <f>_xlfn.XLOOKUP(B1012,Tableau13[ID_Antenne],Tableau13[Technologie],"Non répertoriées")</f>
        <v>5G</v>
      </c>
      <c r="F1012" s="3">
        <f>_xlfn.XLOOKUP(B1012,Tableau13[ID_Antenne],Tableau13[Latitude],"Non répertoriées")</f>
        <v>2.4414509999999998</v>
      </c>
      <c r="G1012" s="32">
        <f>_xlfn.XLOOKUP(B1012,Tableau13[ID_Antenne],Tableau13[Longitude],"Non répertoriées")</f>
        <v>30.167489</v>
      </c>
      <c r="H1012" t="s">
        <v>8</v>
      </c>
    </row>
    <row r="1013" spans="1:8" x14ac:dyDescent="0.25">
      <c r="A1013" s="1">
        <v>45223.736111111109</v>
      </c>
      <c r="B1013" t="s">
        <v>216</v>
      </c>
      <c r="C1013" s="29" t="str">
        <f>_xlfn.XLOOKUP(B1013,Tableau13[ID_Antenne],Tableau13[Province_RDC],"Non répertoriées")</f>
        <v>Haut-Katanga</v>
      </c>
      <c r="D1013">
        <v>116</v>
      </c>
      <c r="E1013" s="31" t="str">
        <f>_xlfn.XLOOKUP(B1013,Tableau13[ID_Antenne],Tableau13[Technologie],"Non répertoriées")</f>
        <v>5G</v>
      </c>
      <c r="F1013" s="3">
        <f>_xlfn.XLOOKUP(B1013,Tableau13[ID_Antenne],Tableau13[Latitude],"Non répertoriées")</f>
        <v>0.16841400000000001</v>
      </c>
      <c r="G1013" s="32">
        <f>_xlfn.XLOOKUP(B1013,Tableau13[ID_Antenne],Tableau13[Longitude],"Non répertoriées")</f>
        <v>30.029876999999999</v>
      </c>
      <c r="H1013" t="s">
        <v>8</v>
      </c>
    </row>
    <row r="1014" spans="1:8" x14ac:dyDescent="0.25">
      <c r="A1014" s="1">
        <v>45206.259027777778</v>
      </c>
      <c r="B1014" t="s">
        <v>631</v>
      </c>
      <c r="C1014" t="str">
        <f>_xlfn.XLOOKUP(B1014,Tableau13[ID_Antenne],Tableau13[Province_RDC],"Non répertoriées")</f>
        <v>Non répertoriées</v>
      </c>
      <c r="D1014">
        <v>104</v>
      </c>
      <c r="E1014" t="str">
        <f>_xlfn.XLOOKUP(B1014,Tableau13[ID_Antenne],Tableau13[Technologie],"Non répertoriées")</f>
        <v>Non répertoriées</v>
      </c>
      <c r="F1014" t="str">
        <f>_xlfn.XLOOKUP(B1014,Tableau13[ID_Antenne],Tableau13[Latitude],"Non répertoriées")</f>
        <v>Non répertoriées</v>
      </c>
      <c r="G1014" t="str">
        <f>_xlfn.XLOOKUP(B1014,Tableau13[ID_Antenne],Tableau13[Longitude],"Non répertoriées")</f>
        <v>Non répertoriées</v>
      </c>
      <c r="H1014" t="s">
        <v>5</v>
      </c>
    </row>
    <row r="1015" spans="1:8" x14ac:dyDescent="0.25">
      <c r="A1015" s="1">
        <v>45219.929166666669</v>
      </c>
      <c r="B1015" t="s">
        <v>632</v>
      </c>
      <c r="C1015" t="str">
        <f>_xlfn.XLOOKUP(B1015,Tableau13[ID_Antenne],Tableau13[Province_RDC],"Non répertoriées")</f>
        <v>Non répertoriées</v>
      </c>
      <c r="D1015">
        <v>115</v>
      </c>
      <c r="E1015" t="str">
        <f>_xlfn.XLOOKUP(B1015,Tableau13[ID_Antenne],Tableau13[Technologie],"Non répertoriées")</f>
        <v>Non répertoriées</v>
      </c>
      <c r="F1015" t="str">
        <f>_xlfn.XLOOKUP(B1015,Tableau13[ID_Antenne],Tableau13[Latitude],"Non répertoriées")</f>
        <v>Non répertoriées</v>
      </c>
      <c r="G1015" t="str">
        <f>_xlfn.XLOOKUP(B1015,Tableau13[ID_Antenne],Tableau13[Longitude],"Non répertoriées")</f>
        <v>Non répertoriées</v>
      </c>
      <c r="H1015" t="s">
        <v>5</v>
      </c>
    </row>
    <row r="1016" spans="1:8" x14ac:dyDescent="0.25">
      <c r="A1016" s="1">
        <v>45221.498611111107</v>
      </c>
      <c r="B1016" t="s">
        <v>633</v>
      </c>
      <c r="C1016" t="str">
        <f>_xlfn.XLOOKUP(B1016,Tableau13[ID_Antenne],Tableau13[Province_RDC],"Non répertoriées")</f>
        <v>Non répertoriées</v>
      </c>
      <c r="D1016">
        <v>116</v>
      </c>
      <c r="E1016" t="str">
        <f>_xlfn.XLOOKUP(B1016,Tableau13[ID_Antenne],Tableau13[Technologie],"Non répertoriées")</f>
        <v>Non répertoriées</v>
      </c>
      <c r="F1016" t="str">
        <f>_xlfn.XLOOKUP(B1016,Tableau13[ID_Antenne],Tableau13[Latitude],"Non répertoriées")</f>
        <v>Non répertoriées</v>
      </c>
      <c r="G1016" t="str">
        <f>_xlfn.XLOOKUP(B1016,Tableau13[ID_Antenne],Tableau13[Longitude],"Non répertoriées")</f>
        <v>Non répertoriées</v>
      </c>
      <c r="H1016" t="s">
        <v>8</v>
      </c>
    </row>
    <row r="1017" spans="1:8" x14ac:dyDescent="0.25">
      <c r="A1017" s="1">
        <v>45221.197916666657</v>
      </c>
      <c r="B1017" t="s">
        <v>261</v>
      </c>
      <c r="C1017" s="29" t="str">
        <f>_xlfn.XLOOKUP(B1017,Tableau13[ID_Antenne],Tableau13[Province_RDC],"Non répertoriées")</f>
        <v>Kwango</v>
      </c>
      <c r="D1017">
        <v>61</v>
      </c>
      <c r="E1017" s="31" t="str">
        <f>_xlfn.XLOOKUP(B1017,Tableau13[ID_Antenne],Tableau13[Technologie],"Non répertoriées")</f>
        <v>4G</v>
      </c>
      <c r="F1017" s="3">
        <f>_xlfn.XLOOKUP(B1017,Tableau13[ID_Antenne],Tableau13[Latitude],"Non répertoriées")</f>
        <v>-7.5129409999999996</v>
      </c>
      <c r="G1017" s="32">
        <f>_xlfn.XLOOKUP(B1017,Tableau13[ID_Antenne],Tableau13[Longitude],"Non répertoriées")</f>
        <v>18.701522000000001</v>
      </c>
      <c r="H1017" t="s">
        <v>10</v>
      </c>
    </row>
    <row r="1018" spans="1:8" x14ac:dyDescent="0.25">
      <c r="A1018" s="1">
        <v>45220.230555555558</v>
      </c>
      <c r="B1018" t="s">
        <v>60</v>
      </c>
      <c r="C1018" t="str">
        <f>_xlfn.XLOOKUP(B1018,Tableau13[ID_Antenne],Tableau13[Province_RDC],"Non répertoriées")</f>
        <v>Non répertoriées</v>
      </c>
      <c r="D1018">
        <v>111</v>
      </c>
      <c r="E1018" t="str">
        <f>_xlfn.XLOOKUP(B1018,Tableau13[ID_Antenne],Tableau13[Technologie],"Non répertoriées")</f>
        <v>Non répertoriées</v>
      </c>
      <c r="F1018" t="str">
        <f>_xlfn.XLOOKUP(B1018,Tableau13[ID_Antenne],Tableau13[Latitude],"Non répertoriées")</f>
        <v>Non répertoriées</v>
      </c>
      <c r="G1018" t="str">
        <f>_xlfn.XLOOKUP(B1018,Tableau13[ID_Antenne],Tableau13[Longitude],"Non répertoriées")</f>
        <v>Non répertoriées</v>
      </c>
      <c r="H1018" t="s">
        <v>10</v>
      </c>
    </row>
    <row r="1019" spans="1:8" x14ac:dyDescent="0.25">
      <c r="A1019" s="1">
        <v>45217.944444444453</v>
      </c>
      <c r="B1019" t="s">
        <v>634</v>
      </c>
      <c r="C1019" t="str">
        <f>_xlfn.XLOOKUP(B1019,Tableau13[ID_Antenne],Tableau13[Province_RDC],"Non répertoriées")</f>
        <v>Non répertoriées</v>
      </c>
      <c r="D1019">
        <v>33</v>
      </c>
      <c r="E1019" t="str">
        <f>_xlfn.XLOOKUP(B1019,Tableau13[ID_Antenne],Tableau13[Technologie],"Non répertoriées")</f>
        <v>Non répertoriées</v>
      </c>
      <c r="F1019" t="str">
        <f>_xlfn.XLOOKUP(B1019,Tableau13[ID_Antenne],Tableau13[Latitude],"Non répertoriées")</f>
        <v>Non répertoriées</v>
      </c>
      <c r="G1019" t="str">
        <f>_xlfn.XLOOKUP(B1019,Tableau13[ID_Antenne],Tableau13[Longitude],"Non répertoriées")</f>
        <v>Non répertoriées</v>
      </c>
      <c r="H1019" t="s">
        <v>5</v>
      </c>
    </row>
    <row r="1020" spans="1:8" x14ac:dyDescent="0.25">
      <c r="A1020" s="1">
        <v>45210.921527777777</v>
      </c>
      <c r="B1020" t="s">
        <v>461</v>
      </c>
      <c r="C1020" t="str">
        <f>_xlfn.XLOOKUP(B1020,Tableau13[ID_Antenne],Tableau13[Province_RDC],"Non répertoriées")</f>
        <v>Non répertoriées</v>
      </c>
      <c r="D1020">
        <v>86</v>
      </c>
      <c r="E1020" t="str">
        <f>_xlfn.XLOOKUP(B1020,Tableau13[ID_Antenne],Tableau13[Technologie],"Non répertoriées")</f>
        <v>Non répertoriées</v>
      </c>
      <c r="F1020" t="str">
        <f>_xlfn.XLOOKUP(B1020,Tableau13[ID_Antenne],Tableau13[Latitude],"Non répertoriées")</f>
        <v>Non répertoriées</v>
      </c>
      <c r="G1020" t="str">
        <f>_xlfn.XLOOKUP(B1020,Tableau13[ID_Antenne],Tableau13[Longitude],"Non répertoriées")</f>
        <v>Non répertoriées</v>
      </c>
      <c r="H1020" t="s">
        <v>8</v>
      </c>
    </row>
    <row r="1021" spans="1:8" x14ac:dyDescent="0.25">
      <c r="A1021" s="1">
        <v>45224.482638888891</v>
      </c>
      <c r="B1021" t="s">
        <v>22</v>
      </c>
      <c r="C1021" s="29" t="str">
        <f>_xlfn.XLOOKUP(B1021,Tableau13[ID_Antenne],Tableau13[Province_RDC],"Non répertoriées")</f>
        <v>Lomami</v>
      </c>
      <c r="D1021">
        <v>95</v>
      </c>
      <c r="E1021" s="31" t="str">
        <f>_xlfn.XLOOKUP(B1021,Tableau13[ID_Antenne],Tableau13[Technologie],"Non répertoriées")</f>
        <v>3G</v>
      </c>
      <c r="F1021" s="3">
        <f>_xlfn.XLOOKUP(B1021,Tableau13[ID_Antenne],Tableau13[Latitude],"Non répertoriées")</f>
        <v>-2.2371569999999998</v>
      </c>
      <c r="G1021" s="32">
        <f>_xlfn.XLOOKUP(B1021,Tableau13[ID_Antenne],Tableau13[Longitude],"Non répertoriées")</f>
        <v>25.926188</v>
      </c>
      <c r="H1021" t="s">
        <v>8</v>
      </c>
    </row>
    <row r="1022" spans="1:8" x14ac:dyDescent="0.25">
      <c r="A1022" s="1">
        <v>45215.775000000001</v>
      </c>
      <c r="B1022" t="s">
        <v>359</v>
      </c>
      <c r="C1022" s="29" t="str">
        <f>_xlfn.XLOOKUP(B1022,Tableau13[ID_Antenne],Tableau13[Province_RDC],"Non répertoriées")</f>
        <v>Tshopo</v>
      </c>
      <c r="D1022">
        <v>95</v>
      </c>
      <c r="E1022" s="31" t="str">
        <f>_xlfn.XLOOKUP(B1022,Tableau13[ID_Antenne],Tableau13[Technologie],"Non répertoriées")</f>
        <v>3G</v>
      </c>
      <c r="F1022" s="3">
        <f>_xlfn.XLOOKUP(B1022,Tableau13[ID_Antenne],Tableau13[Latitude],"Non répertoriées")</f>
        <v>-0.85624699999999998</v>
      </c>
      <c r="G1022" s="32">
        <f>_xlfn.XLOOKUP(B1022,Tableau13[ID_Antenne],Tableau13[Longitude],"Non répertoriées")</f>
        <v>28.624870000000001</v>
      </c>
      <c r="H1022" t="s">
        <v>8</v>
      </c>
    </row>
    <row r="1023" spans="1:8" x14ac:dyDescent="0.25">
      <c r="A1023" s="1">
        <v>45230.90625</v>
      </c>
      <c r="B1023" t="s">
        <v>574</v>
      </c>
      <c r="C1023" t="str">
        <f>_xlfn.XLOOKUP(B1023,Tableau13[ID_Antenne],Tableau13[Province_RDC],"Non répertoriées")</f>
        <v>Non répertoriées</v>
      </c>
      <c r="D1023">
        <v>87</v>
      </c>
      <c r="E1023" t="str">
        <f>_xlfn.XLOOKUP(B1023,Tableau13[ID_Antenne],Tableau13[Technologie],"Non répertoriées")</f>
        <v>Non répertoriées</v>
      </c>
      <c r="F1023" t="str">
        <f>_xlfn.XLOOKUP(B1023,Tableau13[ID_Antenne],Tableau13[Latitude],"Non répertoriées")</f>
        <v>Non répertoriées</v>
      </c>
      <c r="G1023" t="str">
        <f>_xlfn.XLOOKUP(B1023,Tableau13[ID_Antenne],Tableau13[Longitude],"Non répertoriées")</f>
        <v>Non répertoriées</v>
      </c>
      <c r="H1023" t="s">
        <v>5</v>
      </c>
    </row>
    <row r="1024" spans="1:8" x14ac:dyDescent="0.25">
      <c r="A1024" s="1">
        <v>45213.907638888893</v>
      </c>
      <c r="B1024" t="s">
        <v>595</v>
      </c>
      <c r="C1024" s="29" t="str">
        <f>_xlfn.XLOOKUP(B1024,Tableau13[ID_Antenne],Tableau13[Province_RDC],"Non répertoriées")</f>
        <v>Nord-Kivu</v>
      </c>
      <c r="D1024">
        <v>52</v>
      </c>
      <c r="E1024" s="31" t="str">
        <f>_xlfn.XLOOKUP(B1024,Tableau13[ID_Antenne],Tableau13[Technologie],"Non répertoriées")</f>
        <v>5G</v>
      </c>
      <c r="F1024" s="3">
        <f>_xlfn.XLOOKUP(B1024,Tableau13[ID_Antenne],Tableau13[Latitude],"Non répertoriées")</f>
        <v>-10.298385</v>
      </c>
      <c r="G1024" s="32">
        <f>_xlfn.XLOOKUP(B1024,Tableau13[ID_Antenne],Tableau13[Longitude],"Non répertoriées")</f>
        <v>29.698117</v>
      </c>
      <c r="H1024" t="s">
        <v>5</v>
      </c>
    </row>
    <row r="1025" spans="1:8" x14ac:dyDescent="0.25">
      <c r="A1025" s="1">
        <v>45228.720833333333</v>
      </c>
      <c r="B1025" t="s">
        <v>635</v>
      </c>
      <c r="C1025" t="str">
        <f>_xlfn.XLOOKUP(B1025,Tableau13[ID_Antenne],Tableau13[Province_RDC],"Non répertoriées")</f>
        <v>Non répertoriées</v>
      </c>
      <c r="D1025">
        <v>101</v>
      </c>
      <c r="E1025" t="str">
        <f>_xlfn.XLOOKUP(B1025,Tableau13[ID_Antenne],Tableau13[Technologie],"Non répertoriées")</f>
        <v>Non répertoriées</v>
      </c>
      <c r="F1025" t="str">
        <f>_xlfn.XLOOKUP(B1025,Tableau13[ID_Antenne],Tableau13[Latitude],"Non répertoriées")</f>
        <v>Non répertoriées</v>
      </c>
      <c r="G1025" t="str">
        <f>_xlfn.XLOOKUP(B1025,Tableau13[ID_Antenne],Tableau13[Longitude],"Non répertoriées")</f>
        <v>Non répertoriées</v>
      </c>
      <c r="H1025" t="s">
        <v>8</v>
      </c>
    </row>
    <row r="1026" spans="1:8" x14ac:dyDescent="0.25">
      <c r="A1026" s="1">
        <v>45228.57708333333</v>
      </c>
      <c r="B1026" t="s">
        <v>151</v>
      </c>
      <c r="C1026" s="29" t="str">
        <f>_xlfn.XLOOKUP(B1026,Tableau13[ID_Antenne],Tableau13[Province_RDC],"Non répertoriées")</f>
        <v>Haut-Uele</v>
      </c>
      <c r="D1026">
        <v>80</v>
      </c>
      <c r="E1026" s="31" t="str">
        <f>_xlfn.XLOOKUP(B1026,Tableau13[ID_Antenne],Tableau13[Technologie],"Non répertoriées")</f>
        <v>3G</v>
      </c>
      <c r="F1026" s="3">
        <f>_xlfn.XLOOKUP(B1026,Tableau13[ID_Antenne],Tableau13[Latitude],"Non répertoriées")</f>
        <v>-1.8045979999999999</v>
      </c>
      <c r="G1026" s="32">
        <f>_xlfn.XLOOKUP(B1026,Tableau13[ID_Antenne],Tableau13[Longitude],"Non répertoriées")</f>
        <v>12.511096999999999</v>
      </c>
      <c r="H1026" t="s">
        <v>10</v>
      </c>
    </row>
    <row r="1027" spans="1:8" x14ac:dyDescent="0.25">
      <c r="A1027" s="1">
        <v>45200.67083333333</v>
      </c>
      <c r="B1027" t="s">
        <v>636</v>
      </c>
      <c r="C1027" s="29" t="str">
        <f>_xlfn.XLOOKUP(B1027,Tableau13[ID_Antenne],Tableau13[Province_RDC],"Non répertoriées")</f>
        <v>Ituri</v>
      </c>
      <c r="D1027">
        <v>74</v>
      </c>
      <c r="E1027" s="31" t="str">
        <f>_xlfn.XLOOKUP(B1027,Tableau13[ID_Antenne],Tableau13[Technologie],"Non répertoriées")</f>
        <v>4G</v>
      </c>
      <c r="F1027" s="3">
        <f>_xlfn.XLOOKUP(B1027,Tableau13[ID_Antenne],Tableau13[Latitude],"Non répertoriées")</f>
        <v>-4.6426759999999998</v>
      </c>
      <c r="G1027" s="32">
        <f>_xlfn.XLOOKUP(B1027,Tableau13[ID_Antenne],Tableau13[Longitude],"Non répertoriées")</f>
        <v>22.124254000000001</v>
      </c>
      <c r="H1027" t="s">
        <v>10</v>
      </c>
    </row>
    <row r="1028" spans="1:8" x14ac:dyDescent="0.25">
      <c r="A1028" s="1">
        <v>45200.506249999999</v>
      </c>
      <c r="B1028" t="s">
        <v>488</v>
      </c>
      <c r="C1028" s="29" t="str">
        <f>_xlfn.XLOOKUP(B1028,Tableau13[ID_Antenne],Tableau13[Province_RDC],"Non répertoriées")</f>
        <v>Haut-Katanga</v>
      </c>
      <c r="D1028">
        <v>99</v>
      </c>
      <c r="E1028" s="31" t="str">
        <f>_xlfn.XLOOKUP(B1028,Tableau13[ID_Antenne],Tableau13[Technologie],"Non répertoriées")</f>
        <v>4G</v>
      </c>
      <c r="F1028" s="3">
        <f>_xlfn.XLOOKUP(B1028,Tableau13[ID_Antenne],Tableau13[Latitude],"Non répertoriées")</f>
        <v>-10.945031</v>
      </c>
      <c r="G1028" s="32">
        <f>_xlfn.XLOOKUP(B1028,Tableau13[ID_Antenne],Tableau13[Longitude],"Non répertoriées")</f>
        <v>27.922274000000002</v>
      </c>
      <c r="H1028" t="s">
        <v>5</v>
      </c>
    </row>
    <row r="1029" spans="1:8" x14ac:dyDescent="0.25">
      <c r="A1029" s="1">
        <v>45201.877083333333</v>
      </c>
      <c r="B1029" t="s">
        <v>170</v>
      </c>
      <c r="C1029" s="29" t="str">
        <f>_xlfn.XLOOKUP(B1029,Tableau13[ID_Antenne],Tableau13[Province_RDC],"Non répertoriées")</f>
        <v>Nord-Kivu</v>
      </c>
      <c r="D1029">
        <v>82</v>
      </c>
      <c r="E1029" s="31" t="str">
        <f>_xlfn.XLOOKUP(B1029,Tableau13[ID_Antenne],Tableau13[Technologie],"Non répertoriées")</f>
        <v>5G</v>
      </c>
      <c r="F1029" s="3">
        <f>_xlfn.XLOOKUP(B1029,Tableau13[ID_Antenne],Tableau13[Latitude],"Non répertoriées")</f>
        <v>-12.336202</v>
      </c>
      <c r="G1029" s="32">
        <f>_xlfn.XLOOKUP(B1029,Tableau13[ID_Antenne],Tableau13[Longitude],"Non répertoriées")</f>
        <v>13.693683999999999</v>
      </c>
      <c r="H1029" t="s">
        <v>10</v>
      </c>
    </row>
    <row r="1030" spans="1:8" x14ac:dyDescent="0.25">
      <c r="A1030" s="1">
        <v>45206.366666666669</v>
      </c>
      <c r="B1030" t="s">
        <v>637</v>
      </c>
      <c r="C1030" t="str">
        <f>_xlfn.XLOOKUP(B1030,Tableau13[ID_Antenne],Tableau13[Province_RDC],"Non répertoriées")</f>
        <v>Non répertoriées</v>
      </c>
      <c r="D1030">
        <v>30</v>
      </c>
      <c r="E1030" t="str">
        <f>_xlfn.XLOOKUP(B1030,Tableau13[ID_Antenne],Tableau13[Technologie],"Non répertoriées")</f>
        <v>Non répertoriées</v>
      </c>
      <c r="F1030" t="str">
        <f>_xlfn.XLOOKUP(B1030,Tableau13[ID_Antenne],Tableau13[Latitude],"Non répertoriées")</f>
        <v>Non répertoriées</v>
      </c>
      <c r="G1030" t="str">
        <f>_xlfn.XLOOKUP(B1030,Tableau13[ID_Antenne],Tableau13[Longitude],"Non répertoriées")</f>
        <v>Non répertoriées</v>
      </c>
      <c r="H1030" t="s">
        <v>10</v>
      </c>
    </row>
    <row r="1031" spans="1:8" x14ac:dyDescent="0.25">
      <c r="A1031" s="1">
        <v>45225.220833333333</v>
      </c>
      <c r="B1031" t="s">
        <v>638</v>
      </c>
      <c r="C1031" s="29" t="str">
        <f>_xlfn.XLOOKUP(B1031,Tableau13[ID_Antenne],Tableau13[Province_RDC],"Non répertoriées")</f>
        <v>Kasai-Central</v>
      </c>
      <c r="D1031">
        <v>104</v>
      </c>
      <c r="E1031" s="31" t="str">
        <f>_xlfn.XLOOKUP(B1031,Tableau13[ID_Antenne],Tableau13[Technologie],"Non répertoriées")</f>
        <v>5G</v>
      </c>
      <c r="F1031" s="3">
        <f>_xlfn.XLOOKUP(B1031,Tableau13[ID_Antenne],Tableau13[Latitude],"Non répertoriées")</f>
        <v>-8.0800809999999998</v>
      </c>
      <c r="G1031" s="32">
        <f>_xlfn.XLOOKUP(B1031,Tableau13[ID_Antenne],Tableau13[Longitude],"Non répertoriées")</f>
        <v>30.147970999999998</v>
      </c>
      <c r="H1031" t="s">
        <v>8</v>
      </c>
    </row>
    <row r="1032" spans="1:8" x14ac:dyDescent="0.25">
      <c r="A1032" s="1">
        <v>45221.339583333327</v>
      </c>
      <c r="B1032" t="s">
        <v>510</v>
      </c>
      <c r="C1032" t="str">
        <f>_xlfn.XLOOKUP(B1032,Tableau13[ID_Antenne],Tableau13[Province_RDC],"Non répertoriées")</f>
        <v>Non répertoriées</v>
      </c>
      <c r="D1032">
        <v>97</v>
      </c>
      <c r="E1032" t="str">
        <f>_xlfn.XLOOKUP(B1032,Tableau13[ID_Antenne],Tableau13[Technologie],"Non répertoriées")</f>
        <v>Non répertoriées</v>
      </c>
      <c r="F1032" t="str">
        <f>_xlfn.XLOOKUP(B1032,Tableau13[ID_Antenne],Tableau13[Latitude],"Non répertoriées")</f>
        <v>Non répertoriées</v>
      </c>
      <c r="G1032" t="str">
        <f>_xlfn.XLOOKUP(B1032,Tableau13[ID_Antenne],Tableau13[Longitude],"Non répertoriées")</f>
        <v>Non répertoriées</v>
      </c>
      <c r="H1032" t="s">
        <v>8</v>
      </c>
    </row>
    <row r="1033" spans="1:8" x14ac:dyDescent="0.25">
      <c r="A1033" s="1">
        <v>45226.072222222218</v>
      </c>
      <c r="B1033" t="s">
        <v>639</v>
      </c>
      <c r="C1033" t="str">
        <f>_xlfn.XLOOKUP(B1033,Tableau13[ID_Antenne],Tableau13[Province_RDC],"Non répertoriées")</f>
        <v>Non répertoriées</v>
      </c>
      <c r="D1033">
        <v>29</v>
      </c>
      <c r="E1033" t="str">
        <f>_xlfn.XLOOKUP(B1033,Tableau13[ID_Antenne],Tableau13[Technologie],"Non répertoriées")</f>
        <v>Non répertoriées</v>
      </c>
      <c r="F1033" t="str">
        <f>_xlfn.XLOOKUP(B1033,Tableau13[ID_Antenne],Tableau13[Latitude],"Non répertoriées")</f>
        <v>Non répertoriées</v>
      </c>
      <c r="G1033" t="str">
        <f>_xlfn.XLOOKUP(B1033,Tableau13[ID_Antenne],Tableau13[Longitude],"Non répertoriées")</f>
        <v>Non répertoriées</v>
      </c>
      <c r="H1033" t="s">
        <v>10</v>
      </c>
    </row>
    <row r="1034" spans="1:8" x14ac:dyDescent="0.25">
      <c r="A1034" s="1">
        <v>45225.384027777778</v>
      </c>
      <c r="B1034" t="s">
        <v>547</v>
      </c>
      <c r="C1034" t="str">
        <f>_xlfn.XLOOKUP(B1034,Tableau13[ID_Antenne],Tableau13[Province_RDC],"Non répertoriées")</f>
        <v>Non répertoriées</v>
      </c>
      <c r="D1034">
        <v>42</v>
      </c>
      <c r="E1034" t="str">
        <f>_xlfn.XLOOKUP(B1034,Tableau13[ID_Antenne],Tableau13[Technologie],"Non répertoriées")</f>
        <v>Non répertoriées</v>
      </c>
      <c r="F1034" t="str">
        <f>_xlfn.XLOOKUP(B1034,Tableau13[ID_Antenne],Tableau13[Latitude],"Non répertoriées")</f>
        <v>Non répertoriées</v>
      </c>
      <c r="G1034" t="str">
        <f>_xlfn.XLOOKUP(B1034,Tableau13[ID_Antenne],Tableau13[Longitude],"Non répertoriées")</f>
        <v>Non répertoriées</v>
      </c>
      <c r="H1034" t="s">
        <v>5</v>
      </c>
    </row>
    <row r="1035" spans="1:8" x14ac:dyDescent="0.25">
      <c r="A1035" s="1">
        <v>45224.709722222222</v>
      </c>
      <c r="B1035" t="s">
        <v>640</v>
      </c>
      <c r="C1035" t="str">
        <f>_xlfn.XLOOKUP(B1035,Tableau13[ID_Antenne],Tableau13[Province_RDC],"Non répertoriées")</f>
        <v>Non répertoriées</v>
      </c>
      <c r="D1035">
        <v>62</v>
      </c>
      <c r="E1035" t="str">
        <f>_xlfn.XLOOKUP(B1035,Tableau13[ID_Antenne],Tableau13[Technologie],"Non répertoriées")</f>
        <v>Non répertoriées</v>
      </c>
      <c r="F1035" t="str">
        <f>_xlfn.XLOOKUP(B1035,Tableau13[ID_Antenne],Tableau13[Latitude],"Non répertoriées")</f>
        <v>Non répertoriées</v>
      </c>
      <c r="G1035" t="str">
        <f>_xlfn.XLOOKUP(B1035,Tableau13[ID_Antenne],Tableau13[Longitude],"Non répertoriées")</f>
        <v>Non répertoriées</v>
      </c>
      <c r="H1035" t="s">
        <v>8</v>
      </c>
    </row>
    <row r="1036" spans="1:8" x14ac:dyDescent="0.25">
      <c r="A1036" s="1">
        <v>45211.587500000001</v>
      </c>
      <c r="B1036" t="s">
        <v>641</v>
      </c>
      <c r="C1036" s="29" t="str">
        <f>_xlfn.XLOOKUP(B1036,Tableau13[ID_Antenne],Tableau13[Province_RDC],"Non répertoriées")</f>
        <v>Equateur</v>
      </c>
      <c r="D1036">
        <v>27</v>
      </c>
      <c r="E1036" s="31" t="str">
        <f>_xlfn.XLOOKUP(B1036,Tableau13[ID_Antenne],Tableau13[Technologie],"Non répertoriées")</f>
        <v>3G</v>
      </c>
      <c r="F1036" s="3">
        <f>_xlfn.XLOOKUP(B1036,Tableau13[ID_Antenne],Tableau13[Latitude],"Non répertoriées")</f>
        <v>-7.8215969999999997</v>
      </c>
      <c r="G1036" s="32">
        <f>_xlfn.XLOOKUP(B1036,Tableau13[ID_Antenne],Tableau13[Longitude],"Non répertoriées")</f>
        <v>26.797349000000001</v>
      </c>
      <c r="H1036" t="s">
        <v>10</v>
      </c>
    </row>
    <row r="1037" spans="1:8" x14ac:dyDescent="0.25">
      <c r="A1037" s="1">
        <v>45219.907638888893</v>
      </c>
      <c r="B1037" t="s">
        <v>642</v>
      </c>
      <c r="C1037" t="str">
        <f>_xlfn.XLOOKUP(B1037,Tableau13[ID_Antenne],Tableau13[Province_RDC],"Non répertoriées")</f>
        <v>Non répertoriées</v>
      </c>
      <c r="D1037">
        <v>92</v>
      </c>
      <c r="E1037" t="str">
        <f>_xlfn.XLOOKUP(B1037,Tableau13[ID_Antenne],Tableau13[Technologie],"Non répertoriées")</f>
        <v>Non répertoriées</v>
      </c>
      <c r="F1037" t="str">
        <f>_xlfn.XLOOKUP(B1037,Tableau13[ID_Antenne],Tableau13[Latitude],"Non répertoriées")</f>
        <v>Non répertoriées</v>
      </c>
      <c r="G1037" t="str">
        <f>_xlfn.XLOOKUP(B1037,Tableau13[ID_Antenne],Tableau13[Longitude],"Non répertoriées")</f>
        <v>Non répertoriées</v>
      </c>
      <c r="H1037" t="s">
        <v>8</v>
      </c>
    </row>
    <row r="1038" spans="1:8" x14ac:dyDescent="0.25">
      <c r="A1038" s="1">
        <v>45217.324305555558</v>
      </c>
      <c r="B1038" t="s">
        <v>643</v>
      </c>
      <c r="C1038" t="str">
        <f>_xlfn.XLOOKUP(B1038,Tableau13[ID_Antenne],Tableau13[Province_RDC],"Non répertoriées")</f>
        <v>Non répertoriées</v>
      </c>
      <c r="D1038">
        <v>14</v>
      </c>
      <c r="E1038" t="str">
        <f>_xlfn.XLOOKUP(B1038,Tableau13[ID_Antenne],Tableau13[Technologie],"Non répertoriées")</f>
        <v>Non répertoriées</v>
      </c>
      <c r="F1038" t="str">
        <f>_xlfn.XLOOKUP(B1038,Tableau13[ID_Antenne],Tableau13[Latitude],"Non répertoriées")</f>
        <v>Non répertoriées</v>
      </c>
      <c r="G1038" t="str">
        <f>_xlfn.XLOOKUP(B1038,Tableau13[ID_Antenne],Tableau13[Longitude],"Non répertoriées")</f>
        <v>Non répertoriées</v>
      </c>
      <c r="H1038" t="s">
        <v>8</v>
      </c>
    </row>
    <row r="1039" spans="1:8" x14ac:dyDescent="0.25">
      <c r="A1039" s="1">
        <v>45220.724999999999</v>
      </c>
      <c r="B1039" t="s">
        <v>123</v>
      </c>
      <c r="C1039" s="29" t="str">
        <f>_xlfn.XLOOKUP(B1039,Tableau13[ID_Antenne],Tableau13[Province_RDC],"Non répertoriées")</f>
        <v>Tanganyika</v>
      </c>
      <c r="D1039">
        <v>28</v>
      </c>
      <c r="E1039" s="31" t="str">
        <f>_xlfn.XLOOKUP(B1039,Tableau13[ID_Antenne],Tableau13[Technologie],"Non répertoriées")</f>
        <v>5G</v>
      </c>
      <c r="F1039" s="3">
        <f>_xlfn.XLOOKUP(B1039,Tableau13[ID_Antenne],Tableau13[Latitude],"Non répertoriées")</f>
        <v>-9.002459</v>
      </c>
      <c r="G1039" s="32">
        <f>_xlfn.XLOOKUP(B1039,Tableau13[ID_Antenne],Tableau13[Longitude],"Non répertoriées")</f>
        <v>25.182109000000001</v>
      </c>
      <c r="H1039" t="s">
        <v>10</v>
      </c>
    </row>
    <row r="1040" spans="1:8" x14ac:dyDescent="0.25">
      <c r="A1040" s="1">
        <v>45207.701388888891</v>
      </c>
      <c r="B1040" t="s">
        <v>644</v>
      </c>
      <c r="C1040" s="29" t="str">
        <f>_xlfn.XLOOKUP(B1040,Tableau13[ID_Antenne],Tableau13[Province_RDC],"Non répertoriées")</f>
        <v>Sankuru</v>
      </c>
      <c r="D1040">
        <v>27</v>
      </c>
      <c r="E1040" s="31" t="str">
        <f>_xlfn.XLOOKUP(B1040,Tableau13[ID_Antenne],Tableau13[Technologie],"Non répertoriées")</f>
        <v>4G</v>
      </c>
      <c r="F1040" s="3">
        <f>_xlfn.XLOOKUP(B1040,Tableau13[ID_Antenne],Tableau13[Latitude],"Non répertoriées")</f>
        <v>-10.764815</v>
      </c>
      <c r="G1040" s="32">
        <f>_xlfn.XLOOKUP(B1040,Tableau13[ID_Antenne],Tableau13[Longitude],"Non répertoriées")</f>
        <v>14.602039</v>
      </c>
      <c r="H1040" t="s">
        <v>10</v>
      </c>
    </row>
    <row r="1041" spans="1:8" x14ac:dyDescent="0.25">
      <c r="A1041" s="1">
        <v>45230.731944444437</v>
      </c>
      <c r="B1041" t="s">
        <v>296</v>
      </c>
      <c r="C1041" t="str">
        <f>_xlfn.XLOOKUP(B1041,Tableau13[ID_Antenne],Tableau13[Province_RDC],"Non répertoriées")</f>
        <v>Non répertoriées</v>
      </c>
      <c r="D1041">
        <v>52</v>
      </c>
      <c r="E1041" t="str">
        <f>_xlfn.XLOOKUP(B1041,Tableau13[ID_Antenne],Tableau13[Technologie],"Non répertoriées")</f>
        <v>Non répertoriées</v>
      </c>
      <c r="F1041" t="str">
        <f>_xlfn.XLOOKUP(B1041,Tableau13[ID_Antenne],Tableau13[Latitude],"Non répertoriées")</f>
        <v>Non répertoriées</v>
      </c>
      <c r="G1041" t="str">
        <f>_xlfn.XLOOKUP(B1041,Tableau13[ID_Antenne],Tableau13[Longitude],"Non répertoriées")</f>
        <v>Non répertoriées</v>
      </c>
      <c r="H1041" t="s">
        <v>5</v>
      </c>
    </row>
    <row r="1042" spans="1:8" x14ac:dyDescent="0.25">
      <c r="A1042" s="1">
        <v>45200.836111111108</v>
      </c>
      <c r="B1042" t="s">
        <v>265</v>
      </c>
      <c r="C1042" t="str">
        <f>_xlfn.XLOOKUP(B1042,Tableau13[ID_Antenne],Tableau13[Province_RDC],"Non répertoriées")</f>
        <v>Non répertoriées</v>
      </c>
      <c r="D1042">
        <v>6</v>
      </c>
      <c r="E1042" t="str">
        <f>_xlfn.XLOOKUP(B1042,Tableau13[ID_Antenne],Tableau13[Technologie],"Non répertoriées")</f>
        <v>Non répertoriées</v>
      </c>
      <c r="F1042" t="str">
        <f>_xlfn.XLOOKUP(B1042,Tableau13[ID_Antenne],Tableau13[Latitude],"Non répertoriées")</f>
        <v>Non répertoriées</v>
      </c>
      <c r="G1042" t="str">
        <f>_xlfn.XLOOKUP(B1042,Tableau13[ID_Antenne],Tableau13[Longitude],"Non répertoriées")</f>
        <v>Non répertoriées</v>
      </c>
      <c r="H1042" t="s">
        <v>5</v>
      </c>
    </row>
    <row r="1043" spans="1:8" x14ac:dyDescent="0.25">
      <c r="A1043" s="1">
        <v>45206.902777777781</v>
      </c>
      <c r="B1043" t="s">
        <v>645</v>
      </c>
      <c r="C1043" t="str">
        <f>_xlfn.XLOOKUP(B1043,Tableau13[ID_Antenne],Tableau13[Province_RDC],"Non répertoriées")</f>
        <v>Non répertoriées</v>
      </c>
      <c r="D1043">
        <v>75</v>
      </c>
      <c r="E1043" t="str">
        <f>_xlfn.XLOOKUP(B1043,Tableau13[ID_Antenne],Tableau13[Technologie],"Non répertoriées")</f>
        <v>Non répertoriées</v>
      </c>
      <c r="F1043" t="str">
        <f>_xlfn.XLOOKUP(B1043,Tableau13[ID_Antenne],Tableau13[Latitude],"Non répertoriées")</f>
        <v>Non répertoriées</v>
      </c>
      <c r="G1043" t="str">
        <f>_xlfn.XLOOKUP(B1043,Tableau13[ID_Antenne],Tableau13[Longitude],"Non répertoriées")</f>
        <v>Non répertoriées</v>
      </c>
      <c r="H1043" t="s">
        <v>10</v>
      </c>
    </row>
    <row r="1044" spans="1:8" x14ac:dyDescent="0.25">
      <c r="A1044" s="1">
        <v>45224.288194444453</v>
      </c>
      <c r="B1044" t="s">
        <v>336</v>
      </c>
      <c r="C1044" t="str">
        <f>_xlfn.XLOOKUP(B1044,Tableau13[ID_Antenne],Tableau13[Province_RDC],"Non répertoriées")</f>
        <v>Non répertoriées</v>
      </c>
      <c r="D1044">
        <v>116</v>
      </c>
      <c r="E1044" t="str">
        <f>_xlfn.XLOOKUP(B1044,Tableau13[ID_Antenne],Tableau13[Technologie],"Non répertoriées")</f>
        <v>Non répertoriées</v>
      </c>
      <c r="F1044" t="str">
        <f>_xlfn.XLOOKUP(B1044,Tableau13[ID_Antenne],Tableau13[Latitude],"Non répertoriées")</f>
        <v>Non répertoriées</v>
      </c>
      <c r="G1044" t="str">
        <f>_xlfn.XLOOKUP(B1044,Tableau13[ID_Antenne],Tableau13[Longitude],"Non répertoriées")</f>
        <v>Non répertoriées</v>
      </c>
      <c r="H1044" t="s">
        <v>10</v>
      </c>
    </row>
    <row r="1045" spans="1:8" x14ac:dyDescent="0.25">
      <c r="A1045" s="1">
        <v>45221.578472222223</v>
      </c>
      <c r="B1045" t="s">
        <v>206</v>
      </c>
      <c r="C1045" t="str">
        <f>_xlfn.XLOOKUP(B1045,Tableau13[ID_Antenne],Tableau13[Province_RDC],"Non répertoriées")</f>
        <v>Non répertoriées</v>
      </c>
      <c r="D1045">
        <v>76</v>
      </c>
      <c r="E1045" t="str">
        <f>_xlfn.XLOOKUP(B1045,Tableau13[ID_Antenne],Tableau13[Technologie],"Non répertoriées")</f>
        <v>Non répertoriées</v>
      </c>
      <c r="F1045" t="str">
        <f>_xlfn.XLOOKUP(B1045,Tableau13[ID_Antenne],Tableau13[Latitude],"Non répertoriées")</f>
        <v>Non répertoriées</v>
      </c>
      <c r="G1045" t="str">
        <f>_xlfn.XLOOKUP(B1045,Tableau13[ID_Antenne],Tableau13[Longitude],"Non répertoriées")</f>
        <v>Non répertoriées</v>
      </c>
      <c r="H1045" t="s">
        <v>10</v>
      </c>
    </row>
    <row r="1046" spans="1:8" x14ac:dyDescent="0.25">
      <c r="A1046" s="1">
        <v>45203.273611111108</v>
      </c>
      <c r="B1046" t="s">
        <v>50</v>
      </c>
      <c r="C1046" t="str">
        <f>_xlfn.XLOOKUP(B1046,Tableau13[ID_Antenne],Tableau13[Province_RDC],"Non répertoriées")</f>
        <v>Non répertoriées</v>
      </c>
      <c r="D1046">
        <v>23</v>
      </c>
      <c r="E1046" t="str">
        <f>_xlfn.XLOOKUP(B1046,Tableau13[ID_Antenne],Tableau13[Technologie],"Non répertoriées")</f>
        <v>Non répertoriées</v>
      </c>
      <c r="F1046" t="str">
        <f>_xlfn.XLOOKUP(B1046,Tableau13[ID_Antenne],Tableau13[Latitude],"Non répertoriées")</f>
        <v>Non répertoriées</v>
      </c>
      <c r="G1046" t="str">
        <f>_xlfn.XLOOKUP(B1046,Tableau13[ID_Antenne],Tableau13[Longitude],"Non répertoriées")</f>
        <v>Non répertoriées</v>
      </c>
      <c r="H1046" t="s">
        <v>10</v>
      </c>
    </row>
    <row r="1047" spans="1:8" x14ac:dyDescent="0.25">
      <c r="A1047" s="1">
        <v>45226.955555555563</v>
      </c>
      <c r="B1047" t="s">
        <v>646</v>
      </c>
      <c r="C1047" t="str">
        <f>_xlfn.XLOOKUP(B1047,Tableau13[ID_Antenne],Tableau13[Province_RDC],"Non répertoriées")</f>
        <v>Non répertoriées</v>
      </c>
      <c r="D1047">
        <v>20</v>
      </c>
      <c r="E1047" t="str">
        <f>_xlfn.XLOOKUP(B1047,Tableau13[ID_Antenne],Tableau13[Technologie],"Non répertoriées")</f>
        <v>Non répertoriées</v>
      </c>
      <c r="F1047" t="str">
        <f>_xlfn.XLOOKUP(B1047,Tableau13[ID_Antenne],Tableau13[Latitude],"Non répertoriées")</f>
        <v>Non répertoriées</v>
      </c>
      <c r="G1047" t="str">
        <f>_xlfn.XLOOKUP(B1047,Tableau13[ID_Antenne],Tableau13[Longitude],"Non répertoriées")</f>
        <v>Non répertoriées</v>
      </c>
      <c r="H1047" t="s">
        <v>8</v>
      </c>
    </row>
    <row r="1048" spans="1:8" x14ac:dyDescent="0.25">
      <c r="A1048" s="1">
        <v>45223.570138888892</v>
      </c>
      <c r="B1048" t="s">
        <v>186</v>
      </c>
      <c r="C1048" s="29" t="str">
        <f>_xlfn.XLOOKUP(B1048,Tableau13[ID_Antenne],Tableau13[Province_RDC],"Non répertoriées")</f>
        <v>Mai-Ndombe</v>
      </c>
      <c r="D1048">
        <v>10</v>
      </c>
      <c r="E1048" s="31" t="str">
        <f>_xlfn.XLOOKUP(B1048,Tableau13[ID_Antenne],Tableau13[Technologie],"Non répertoriées")</f>
        <v>4G</v>
      </c>
      <c r="F1048" s="3">
        <f>_xlfn.XLOOKUP(B1048,Tableau13[ID_Antenne],Tableau13[Latitude],"Non répertoriées")</f>
        <v>-9.3652280000000001</v>
      </c>
      <c r="G1048" s="32">
        <f>_xlfn.XLOOKUP(B1048,Tableau13[ID_Antenne],Tableau13[Longitude],"Non répertoriées")</f>
        <v>18.674116000000001</v>
      </c>
      <c r="H1048" t="s">
        <v>8</v>
      </c>
    </row>
    <row r="1049" spans="1:8" x14ac:dyDescent="0.25">
      <c r="A1049" s="1">
        <v>45226.115972222222</v>
      </c>
      <c r="B1049" t="s">
        <v>321</v>
      </c>
      <c r="C1049" s="29" t="str">
        <f>_xlfn.XLOOKUP(B1049,Tableau13[ID_Antenne],Tableau13[Province_RDC],"Non répertoriées")</f>
        <v>Kasai-Oriental</v>
      </c>
      <c r="D1049">
        <v>5</v>
      </c>
      <c r="E1049" s="31" t="str">
        <f>_xlfn.XLOOKUP(B1049,Tableau13[ID_Antenne],Tableau13[Technologie],"Non répertoriées")</f>
        <v>5G</v>
      </c>
      <c r="F1049" s="3">
        <f>_xlfn.XLOOKUP(B1049,Tableau13[ID_Antenne],Tableau13[Latitude],"Non répertoriées")</f>
        <v>2.486888</v>
      </c>
      <c r="G1049" s="32">
        <f>_xlfn.XLOOKUP(B1049,Tableau13[ID_Antenne],Tableau13[Longitude],"Non répertoriées")</f>
        <v>23.798074</v>
      </c>
      <c r="H1049" t="s">
        <v>10</v>
      </c>
    </row>
    <row r="1050" spans="1:8" x14ac:dyDescent="0.25">
      <c r="A1050" s="1">
        <v>45221.167361111111</v>
      </c>
      <c r="B1050" t="s">
        <v>118</v>
      </c>
      <c r="C1050" s="29" t="str">
        <f>_xlfn.XLOOKUP(B1050,Tableau13[ID_Antenne],Tableau13[Province_RDC],"Non répertoriées")</f>
        <v>Kwilu</v>
      </c>
      <c r="D1050">
        <v>78</v>
      </c>
      <c r="E1050" s="31" t="str">
        <f>_xlfn.XLOOKUP(B1050,Tableau13[ID_Antenne],Tableau13[Technologie],"Non répertoriées")</f>
        <v>4G</v>
      </c>
      <c r="F1050" s="3">
        <f>_xlfn.XLOOKUP(B1050,Tableau13[ID_Antenne],Tableau13[Latitude],"Non répertoriées")</f>
        <v>2.4741019999999998</v>
      </c>
      <c r="G1050" s="32">
        <f>_xlfn.XLOOKUP(B1050,Tableau13[ID_Antenne],Tableau13[Longitude],"Non répertoriées")</f>
        <v>29.297391000000001</v>
      </c>
      <c r="H1050" t="s">
        <v>8</v>
      </c>
    </row>
    <row r="1051" spans="1:8" x14ac:dyDescent="0.25">
      <c r="A1051" s="1">
        <v>45214.931250000001</v>
      </c>
      <c r="B1051" t="s">
        <v>461</v>
      </c>
      <c r="C1051" t="str">
        <f>_xlfn.XLOOKUP(B1051,Tableau13[ID_Antenne],Tableau13[Province_RDC],"Non répertoriées")</f>
        <v>Non répertoriées</v>
      </c>
      <c r="D1051">
        <v>81</v>
      </c>
      <c r="E1051" t="str">
        <f>_xlfn.XLOOKUP(B1051,Tableau13[ID_Antenne],Tableau13[Technologie],"Non répertoriées")</f>
        <v>Non répertoriées</v>
      </c>
      <c r="F1051" t="str">
        <f>_xlfn.XLOOKUP(B1051,Tableau13[ID_Antenne],Tableau13[Latitude],"Non répertoriées")</f>
        <v>Non répertoriées</v>
      </c>
      <c r="G1051" t="str">
        <f>_xlfn.XLOOKUP(B1051,Tableau13[ID_Antenne],Tableau13[Longitude],"Non répertoriées")</f>
        <v>Non répertoriées</v>
      </c>
      <c r="H1051" t="s">
        <v>8</v>
      </c>
    </row>
    <row r="1052" spans="1:8" x14ac:dyDescent="0.25">
      <c r="A1052" s="1">
        <v>45201.086111111108</v>
      </c>
      <c r="B1052" t="s">
        <v>196</v>
      </c>
      <c r="C1052" s="29" t="str">
        <f>_xlfn.XLOOKUP(B1052,Tableau13[ID_Antenne],Tableau13[Province_RDC],"Non répertoriées")</f>
        <v>Nord-Kivu</v>
      </c>
      <c r="D1052">
        <v>55</v>
      </c>
      <c r="E1052" s="31" t="str">
        <f>_xlfn.XLOOKUP(B1052,Tableau13[ID_Antenne],Tableau13[Technologie],"Non répertoriées")</f>
        <v>3G</v>
      </c>
      <c r="F1052" s="3">
        <f>_xlfn.XLOOKUP(B1052,Tableau13[ID_Antenne],Tableau13[Latitude],"Non répertoriées")</f>
        <v>-1.8555980000000001</v>
      </c>
      <c r="G1052" s="32">
        <f>_xlfn.XLOOKUP(B1052,Tableau13[ID_Antenne],Tableau13[Longitude],"Non répertoriées")</f>
        <v>30.421918000000002</v>
      </c>
      <c r="H1052" t="s">
        <v>5</v>
      </c>
    </row>
    <row r="1053" spans="1:8" x14ac:dyDescent="0.25">
      <c r="A1053" s="1">
        <v>45201.243055555547</v>
      </c>
      <c r="B1053" t="s">
        <v>300</v>
      </c>
      <c r="C1053" t="str">
        <f>_xlfn.XLOOKUP(B1053,Tableau13[ID_Antenne],Tableau13[Province_RDC],"Non répertoriées")</f>
        <v>Non répertoriées</v>
      </c>
      <c r="D1053">
        <v>73</v>
      </c>
      <c r="E1053" t="str">
        <f>_xlfn.XLOOKUP(B1053,Tableau13[ID_Antenne],Tableau13[Technologie],"Non répertoriées")</f>
        <v>Non répertoriées</v>
      </c>
      <c r="F1053" t="str">
        <f>_xlfn.XLOOKUP(B1053,Tableau13[ID_Antenne],Tableau13[Latitude],"Non répertoriées")</f>
        <v>Non répertoriées</v>
      </c>
      <c r="G1053" t="str">
        <f>_xlfn.XLOOKUP(B1053,Tableau13[ID_Antenne],Tableau13[Longitude],"Non répertoriées")</f>
        <v>Non répertoriées</v>
      </c>
      <c r="H1053" t="s">
        <v>8</v>
      </c>
    </row>
    <row r="1054" spans="1:8" x14ac:dyDescent="0.25">
      <c r="A1054" s="1">
        <v>45208.711111111108</v>
      </c>
      <c r="B1054" t="s">
        <v>351</v>
      </c>
      <c r="C1054" t="str">
        <f>_xlfn.XLOOKUP(B1054,Tableau13[ID_Antenne],Tableau13[Province_RDC],"Non répertoriées")</f>
        <v>Non répertoriées</v>
      </c>
      <c r="D1054">
        <v>75</v>
      </c>
      <c r="E1054" t="str">
        <f>_xlfn.XLOOKUP(B1054,Tableau13[ID_Antenne],Tableau13[Technologie],"Non répertoriées")</f>
        <v>Non répertoriées</v>
      </c>
      <c r="F1054" t="str">
        <f>_xlfn.XLOOKUP(B1054,Tableau13[ID_Antenne],Tableau13[Latitude],"Non répertoriées")</f>
        <v>Non répertoriées</v>
      </c>
      <c r="G1054" t="str">
        <f>_xlfn.XLOOKUP(B1054,Tableau13[ID_Antenne],Tableau13[Longitude],"Non répertoriées")</f>
        <v>Non répertoriées</v>
      </c>
      <c r="H1054" t="s">
        <v>8</v>
      </c>
    </row>
    <row r="1055" spans="1:8" x14ac:dyDescent="0.25">
      <c r="A1055" s="1">
        <v>45218.331944444442</v>
      </c>
      <c r="B1055" t="s">
        <v>196</v>
      </c>
      <c r="C1055" s="29" t="str">
        <f>_xlfn.XLOOKUP(B1055,Tableau13[ID_Antenne],Tableau13[Province_RDC],"Non répertoriées")</f>
        <v>Nord-Kivu</v>
      </c>
      <c r="D1055">
        <v>15</v>
      </c>
      <c r="E1055" s="31" t="str">
        <f>_xlfn.XLOOKUP(B1055,Tableau13[ID_Antenne],Tableau13[Technologie],"Non répertoriées")</f>
        <v>3G</v>
      </c>
      <c r="F1055" s="3">
        <f>_xlfn.XLOOKUP(B1055,Tableau13[ID_Antenne],Tableau13[Latitude],"Non répertoriées")</f>
        <v>-1.8555980000000001</v>
      </c>
      <c r="G1055" s="32">
        <f>_xlfn.XLOOKUP(B1055,Tableau13[ID_Antenne],Tableau13[Longitude],"Non répertoriées")</f>
        <v>30.421918000000002</v>
      </c>
      <c r="H1055" t="s">
        <v>10</v>
      </c>
    </row>
    <row r="1056" spans="1:8" x14ac:dyDescent="0.25">
      <c r="A1056" s="1">
        <v>45208.558333333327</v>
      </c>
      <c r="B1056" t="s">
        <v>638</v>
      </c>
      <c r="C1056" s="29" t="str">
        <f>_xlfn.XLOOKUP(B1056,Tableau13[ID_Antenne],Tableau13[Province_RDC],"Non répertoriées")</f>
        <v>Kasai-Central</v>
      </c>
      <c r="D1056">
        <v>44</v>
      </c>
      <c r="E1056" s="31" t="str">
        <f>_xlfn.XLOOKUP(B1056,Tableau13[ID_Antenne],Tableau13[Technologie],"Non répertoriées")</f>
        <v>5G</v>
      </c>
      <c r="F1056" s="3">
        <f>_xlfn.XLOOKUP(B1056,Tableau13[ID_Antenne],Tableau13[Latitude],"Non répertoriées")</f>
        <v>-8.0800809999999998</v>
      </c>
      <c r="G1056" s="32">
        <f>_xlfn.XLOOKUP(B1056,Tableau13[ID_Antenne],Tableau13[Longitude],"Non répertoriées")</f>
        <v>30.147970999999998</v>
      </c>
      <c r="H1056" t="s">
        <v>10</v>
      </c>
    </row>
    <row r="1057" spans="1:8" x14ac:dyDescent="0.25">
      <c r="A1057" s="1">
        <v>45214.850694444453</v>
      </c>
      <c r="B1057" t="s">
        <v>355</v>
      </c>
      <c r="C1057" s="29" t="str">
        <f>_xlfn.XLOOKUP(B1057,Tableau13[ID_Antenne],Tableau13[Province_RDC],"Non répertoriées")</f>
        <v>Kasai-Oriental</v>
      </c>
      <c r="D1057">
        <v>31</v>
      </c>
      <c r="E1057" s="31" t="str">
        <f>_xlfn.XLOOKUP(B1057,Tableau13[ID_Antenne],Tableau13[Technologie],"Non répertoriées")</f>
        <v>3G</v>
      </c>
      <c r="F1057" s="3">
        <f>_xlfn.XLOOKUP(B1057,Tableau13[ID_Antenne],Tableau13[Latitude],"Non répertoriées")</f>
        <v>-5.4073029999999997</v>
      </c>
      <c r="G1057" s="32">
        <f>_xlfn.XLOOKUP(B1057,Tableau13[ID_Antenne],Tableau13[Longitude],"Non répertoriées")</f>
        <v>29.762294000000001</v>
      </c>
      <c r="H1057" t="s">
        <v>10</v>
      </c>
    </row>
    <row r="1058" spans="1:8" x14ac:dyDescent="0.25">
      <c r="A1058" s="1">
        <v>45213.417361111111</v>
      </c>
      <c r="B1058" t="s">
        <v>336</v>
      </c>
      <c r="C1058" t="str">
        <f>_xlfn.XLOOKUP(B1058,Tableau13[ID_Antenne],Tableau13[Province_RDC],"Non répertoriées")</f>
        <v>Non répertoriées</v>
      </c>
      <c r="D1058">
        <v>100</v>
      </c>
      <c r="E1058" t="str">
        <f>_xlfn.XLOOKUP(B1058,Tableau13[ID_Antenne],Tableau13[Technologie],"Non répertoriées")</f>
        <v>Non répertoriées</v>
      </c>
      <c r="F1058" t="str">
        <f>_xlfn.XLOOKUP(B1058,Tableau13[ID_Antenne],Tableau13[Latitude],"Non répertoriées")</f>
        <v>Non répertoriées</v>
      </c>
      <c r="G1058" t="str">
        <f>_xlfn.XLOOKUP(B1058,Tableau13[ID_Antenne],Tableau13[Longitude],"Non répertoriées")</f>
        <v>Non répertoriées</v>
      </c>
      <c r="H1058" t="s">
        <v>5</v>
      </c>
    </row>
    <row r="1059" spans="1:8" x14ac:dyDescent="0.25">
      <c r="A1059" s="1">
        <v>45212.879861111112</v>
      </c>
      <c r="B1059" t="s">
        <v>349</v>
      </c>
      <c r="C1059" t="str">
        <f>_xlfn.XLOOKUP(B1059,Tableau13[ID_Antenne],Tableau13[Province_RDC],"Non répertoriées")</f>
        <v>Non répertoriées</v>
      </c>
      <c r="D1059">
        <v>99</v>
      </c>
      <c r="E1059" t="str">
        <f>_xlfn.XLOOKUP(B1059,Tableau13[ID_Antenne],Tableau13[Technologie],"Non répertoriées")</f>
        <v>Non répertoriées</v>
      </c>
      <c r="F1059" t="str">
        <f>_xlfn.XLOOKUP(B1059,Tableau13[ID_Antenne],Tableau13[Latitude],"Non répertoriées")</f>
        <v>Non répertoriées</v>
      </c>
      <c r="G1059" t="str">
        <f>_xlfn.XLOOKUP(B1059,Tableau13[ID_Antenne],Tableau13[Longitude],"Non répertoriées")</f>
        <v>Non répertoriées</v>
      </c>
      <c r="H1059" t="s">
        <v>5</v>
      </c>
    </row>
    <row r="1060" spans="1:8" x14ac:dyDescent="0.25">
      <c r="A1060" s="1">
        <v>45217.02847222222</v>
      </c>
      <c r="B1060" t="s">
        <v>311</v>
      </c>
      <c r="C1060" s="29" t="str">
        <f>_xlfn.XLOOKUP(B1060,Tableau13[ID_Antenne],Tableau13[Province_RDC],"Non répertoriées")</f>
        <v>Sud-Kivu</v>
      </c>
      <c r="D1060">
        <v>120</v>
      </c>
      <c r="E1060" s="31" t="str">
        <f>_xlfn.XLOOKUP(B1060,Tableau13[ID_Antenne],Tableau13[Technologie],"Non répertoriées")</f>
        <v>3G</v>
      </c>
      <c r="F1060" s="3">
        <f>_xlfn.XLOOKUP(B1060,Tableau13[ID_Antenne],Tableau13[Latitude],"Non répertoriées")</f>
        <v>-4.1694589999999998</v>
      </c>
      <c r="G1060" s="32">
        <f>_xlfn.XLOOKUP(B1060,Tableau13[ID_Antenne],Tableau13[Longitude],"Non répertoriées")</f>
        <v>23.376487000000001</v>
      </c>
      <c r="H1060" t="s">
        <v>10</v>
      </c>
    </row>
    <row r="1061" spans="1:8" x14ac:dyDescent="0.25">
      <c r="A1061" s="1">
        <v>45223.794444444437</v>
      </c>
      <c r="B1061" t="s">
        <v>647</v>
      </c>
      <c r="C1061" s="29" t="str">
        <f>_xlfn.XLOOKUP(B1061,Tableau13[ID_Antenne],Tableau13[Province_RDC],"Non répertoriées")</f>
        <v>Haut-Uele</v>
      </c>
      <c r="D1061">
        <v>97</v>
      </c>
      <c r="E1061" s="31" t="str">
        <f>_xlfn.XLOOKUP(B1061,Tableau13[ID_Antenne],Tableau13[Technologie],"Non répertoriées")</f>
        <v>4G</v>
      </c>
      <c r="F1061" s="3">
        <f>_xlfn.XLOOKUP(B1061,Tableau13[ID_Antenne],Tableau13[Latitude],"Non répertoriées")</f>
        <v>1.0134879999999999</v>
      </c>
      <c r="G1061" s="32">
        <f>_xlfn.XLOOKUP(B1061,Tableau13[ID_Antenne],Tableau13[Longitude],"Non répertoriées")</f>
        <v>20.363515</v>
      </c>
      <c r="H1061" t="s">
        <v>5</v>
      </c>
    </row>
    <row r="1062" spans="1:8" x14ac:dyDescent="0.25">
      <c r="A1062" s="1">
        <v>45224.984027777777</v>
      </c>
      <c r="B1062" t="s">
        <v>648</v>
      </c>
      <c r="C1062" t="str">
        <f>_xlfn.XLOOKUP(B1062,Tableau13[ID_Antenne],Tableau13[Province_RDC],"Non répertoriées")</f>
        <v>Non répertoriées</v>
      </c>
      <c r="D1062">
        <v>49</v>
      </c>
      <c r="E1062" t="str">
        <f>_xlfn.XLOOKUP(B1062,Tableau13[ID_Antenne],Tableau13[Technologie],"Non répertoriées")</f>
        <v>Non répertoriées</v>
      </c>
      <c r="F1062" t="str">
        <f>_xlfn.XLOOKUP(B1062,Tableau13[ID_Antenne],Tableau13[Latitude],"Non répertoriées")</f>
        <v>Non répertoriées</v>
      </c>
      <c r="G1062" t="str">
        <f>_xlfn.XLOOKUP(B1062,Tableau13[ID_Antenne],Tableau13[Longitude],"Non répertoriées")</f>
        <v>Non répertoriées</v>
      </c>
      <c r="H1062" t="s">
        <v>5</v>
      </c>
    </row>
    <row r="1063" spans="1:8" x14ac:dyDescent="0.25">
      <c r="A1063" s="1">
        <v>45201.95416666667</v>
      </c>
      <c r="B1063" t="s">
        <v>649</v>
      </c>
      <c r="C1063" t="str">
        <f>_xlfn.XLOOKUP(B1063,Tableau13[ID_Antenne],Tableau13[Province_RDC],"Non répertoriées")</f>
        <v>Non répertoriées</v>
      </c>
      <c r="D1063">
        <v>32</v>
      </c>
      <c r="E1063" t="str">
        <f>_xlfn.XLOOKUP(B1063,Tableau13[ID_Antenne],Tableau13[Technologie],"Non répertoriées")</f>
        <v>Non répertoriées</v>
      </c>
      <c r="F1063" t="str">
        <f>_xlfn.XLOOKUP(B1063,Tableau13[ID_Antenne],Tableau13[Latitude],"Non répertoriées")</f>
        <v>Non répertoriées</v>
      </c>
      <c r="G1063" t="str">
        <f>_xlfn.XLOOKUP(B1063,Tableau13[ID_Antenne],Tableau13[Longitude],"Non répertoriées")</f>
        <v>Non répertoriées</v>
      </c>
      <c r="H1063" t="s">
        <v>8</v>
      </c>
    </row>
    <row r="1064" spans="1:8" x14ac:dyDescent="0.25">
      <c r="A1064" s="1">
        <v>45202.499305555553</v>
      </c>
      <c r="B1064" t="s">
        <v>537</v>
      </c>
      <c r="C1064" t="str">
        <f>_xlfn.XLOOKUP(B1064,Tableau13[ID_Antenne],Tableau13[Province_RDC],"Non répertoriées")</f>
        <v>Non répertoriées</v>
      </c>
      <c r="D1064">
        <v>57</v>
      </c>
      <c r="E1064" t="str">
        <f>_xlfn.XLOOKUP(B1064,Tableau13[ID_Antenne],Tableau13[Technologie],"Non répertoriées")</f>
        <v>Non répertoriées</v>
      </c>
      <c r="F1064" t="str">
        <f>_xlfn.XLOOKUP(B1064,Tableau13[ID_Antenne],Tableau13[Latitude],"Non répertoriées")</f>
        <v>Non répertoriées</v>
      </c>
      <c r="G1064" t="str">
        <f>_xlfn.XLOOKUP(B1064,Tableau13[ID_Antenne],Tableau13[Longitude],"Non répertoriées")</f>
        <v>Non répertoriées</v>
      </c>
      <c r="H1064" t="s">
        <v>8</v>
      </c>
    </row>
    <row r="1065" spans="1:8" x14ac:dyDescent="0.25">
      <c r="A1065" s="1">
        <v>45216.137499999997</v>
      </c>
      <c r="B1065" t="s">
        <v>650</v>
      </c>
      <c r="C1065" s="29" t="str">
        <f>_xlfn.XLOOKUP(B1065,Tableau13[ID_Antenne],Tableau13[Province_RDC],"Non répertoriées")</f>
        <v>Mongala</v>
      </c>
      <c r="D1065">
        <v>120</v>
      </c>
      <c r="E1065" s="31" t="str">
        <f>_xlfn.XLOOKUP(B1065,Tableau13[ID_Antenne],Tableau13[Technologie],"Non répertoriées")</f>
        <v>5G</v>
      </c>
      <c r="F1065" s="3">
        <f>_xlfn.XLOOKUP(B1065,Tableau13[ID_Antenne],Tableau13[Latitude],"Non répertoriées")</f>
        <v>-7.2267089999999996</v>
      </c>
      <c r="G1065" s="32">
        <f>_xlfn.XLOOKUP(B1065,Tableau13[ID_Antenne],Tableau13[Longitude],"Non répertoriées")</f>
        <v>28.421362999999999</v>
      </c>
      <c r="H1065" t="s">
        <v>8</v>
      </c>
    </row>
    <row r="1066" spans="1:8" x14ac:dyDescent="0.25">
      <c r="A1066" s="1">
        <v>45225.888194444437</v>
      </c>
      <c r="B1066" t="s">
        <v>651</v>
      </c>
      <c r="C1066" s="29" t="str">
        <f>_xlfn.XLOOKUP(B1066,Tableau13[ID_Antenne],Tableau13[Province_RDC],"Non répertoriées")</f>
        <v>Haut-Lomami</v>
      </c>
      <c r="D1066">
        <v>87</v>
      </c>
      <c r="E1066" s="31" t="str">
        <f>_xlfn.XLOOKUP(B1066,Tableau13[ID_Antenne],Tableau13[Technologie],"Non répertoriées")</f>
        <v>5G</v>
      </c>
      <c r="F1066" s="3">
        <f>_xlfn.XLOOKUP(B1066,Tableau13[ID_Antenne],Tableau13[Latitude],"Non répertoriées")</f>
        <v>-5.8145569999999998</v>
      </c>
      <c r="G1066" s="32">
        <f>_xlfn.XLOOKUP(B1066,Tableau13[ID_Antenne],Tableau13[Longitude],"Non répertoriées")</f>
        <v>21.942052</v>
      </c>
      <c r="H1066" t="s">
        <v>10</v>
      </c>
    </row>
    <row r="1067" spans="1:8" x14ac:dyDescent="0.25">
      <c r="A1067" s="1">
        <v>45219.095833333333</v>
      </c>
      <c r="B1067" t="s">
        <v>171</v>
      </c>
      <c r="C1067" s="29" t="str">
        <f>_xlfn.XLOOKUP(B1067,Tableau13[ID_Antenne],Tableau13[Province_RDC],"Non répertoriées")</f>
        <v>Bas-Uele</v>
      </c>
      <c r="D1067">
        <v>113</v>
      </c>
      <c r="E1067" s="31" t="str">
        <f>_xlfn.XLOOKUP(B1067,Tableau13[ID_Antenne],Tableau13[Technologie],"Non répertoriées")</f>
        <v>5G</v>
      </c>
      <c r="F1067" s="3">
        <f>_xlfn.XLOOKUP(B1067,Tableau13[ID_Antenne],Tableau13[Latitude],"Non répertoriées")</f>
        <v>-3.6945459999999999</v>
      </c>
      <c r="G1067" s="32">
        <f>_xlfn.XLOOKUP(B1067,Tableau13[ID_Antenne],Tableau13[Longitude],"Non répertoriées")</f>
        <v>16.809108999999999</v>
      </c>
      <c r="H1067" t="s">
        <v>10</v>
      </c>
    </row>
    <row r="1068" spans="1:8" x14ac:dyDescent="0.25">
      <c r="A1068" s="1">
        <v>45224.6</v>
      </c>
      <c r="B1068" t="s">
        <v>652</v>
      </c>
      <c r="C1068" t="str">
        <f>_xlfn.XLOOKUP(B1068,Tableau13[ID_Antenne],Tableau13[Province_RDC],"Non répertoriées")</f>
        <v>Non répertoriées</v>
      </c>
      <c r="D1068">
        <v>70</v>
      </c>
      <c r="E1068" t="str">
        <f>_xlfn.XLOOKUP(B1068,Tableau13[ID_Antenne],Tableau13[Technologie],"Non répertoriées")</f>
        <v>Non répertoriées</v>
      </c>
      <c r="F1068" t="str">
        <f>_xlfn.XLOOKUP(B1068,Tableau13[ID_Antenne],Tableau13[Latitude],"Non répertoriées")</f>
        <v>Non répertoriées</v>
      </c>
      <c r="G1068" t="str">
        <f>_xlfn.XLOOKUP(B1068,Tableau13[ID_Antenne],Tableau13[Longitude],"Non répertoriées")</f>
        <v>Non répertoriées</v>
      </c>
      <c r="H1068" t="s">
        <v>10</v>
      </c>
    </row>
    <row r="1069" spans="1:8" x14ac:dyDescent="0.25">
      <c r="A1069" s="1">
        <v>45212.875694444447</v>
      </c>
      <c r="B1069" t="s">
        <v>653</v>
      </c>
      <c r="C1069" s="29" t="str">
        <f>_xlfn.XLOOKUP(B1069,Tableau13[ID_Antenne],Tableau13[Province_RDC],"Non répertoriées")</f>
        <v>Kwilu</v>
      </c>
      <c r="D1069">
        <v>23</v>
      </c>
      <c r="E1069" s="31" t="str">
        <f>_xlfn.XLOOKUP(B1069,Tableau13[ID_Antenne],Tableau13[Technologie],"Non répertoriées")</f>
        <v>3G</v>
      </c>
      <c r="F1069" s="3">
        <f>_xlfn.XLOOKUP(B1069,Tableau13[ID_Antenne],Tableau13[Latitude],"Non répertoriées")</f>
        <v>1.2691650000000001</v>
      </c>
      <c r="G1069" s="32">
        <f>_xlfn.XLOOKUP(B1069,Tableau13[ID_Antenne],Tableau13[Longitude],"Non répertoriées")</f>
        <v>18.789956</v>
      </c>
      <c r="H1069" t="s">
        <v>5</v>
      </c>
    </row>
    <row r="1070" spans="1:8" x14ac:dyDescent="0.25">
      <c r="A1070" s="1">
        <v>45215.231944444437</v>
      </c>
      <c r="B1070" t="s">
        <v>336</v>
      </c>
      <c r="C1070" t="str">
        <f>_xlfn.XLOOKUP(B1070,Tableau13[ID_Antenne],Tableau13[Province_RDC],"Non répertoriées")</f>
        <v>Non répertoriées</v>
      </c>
      <c r="D1070">
        <v>25</v>
      </c>
      <c r="E1070" t="str">
        <f>_xlfn.XLOOKUP(B1070,Tableau13[ID_Antenne],Tableau13[Technologie],"Non répertoriées")</f>
        <v>Non répertoriées</v>
      </c>
      <c r="F1070" t="str">
        <f>_xlfn.XLOOKUP(B1070,Tableau13[ID_Antenne],Tableau13[Latitude],"Non répertoriées")</f>
        <v>Non répertoriées</v>
      </c>
      <c r="G1070" t="str">
        <f>_xlfn.XLOOKUP(B1070,Tableau13[ID_Antenne],Tableau13[Longitude],"Non répertoriées")</f>
        <v>Non répertoriées</v>
      </c>
      <c r="H1070" t="s">
        <v>8</v>
      </c>
    </row>
    <row r="1071" spans="1:8" x14ac:dyDescent="0.25">
      <c r="A1071" s="1">
        <v>45207.199305555558</v>
      </c>
      <c r="B1071" t="s">
        <v>581</v>
      </c>
      <c r="C1071" t="str">
        <f>_xlfn.XLOOKUP(B1071,Tableau13[ID_Antenne],Tableau13[Province_RDC],"Non répertoriées")</f>
        <v>Non répertoriées</v>
      </c>
      <c r="D1071">
        <v>28</v>
      </c>
      <c r="E1071" t="str">
        <f>_xlfn.XLOOKUP(B1071,Tableau13[ID_Antenne],Tableau13[Technologie],"Non répertoriées")</f>
        <v>Non répertoriées</v>
      </c>
      <c r="F1071" t="str">
        <f>_xlfn.XLOOKUP(B1071,Tableau13[ID_Antenne],Tableau13[Latitude],"Non répertoriées")</f>
        <v>Non répertoriées</v>
      </c>
      <c r="G1071" t="str">
        <f>_xlfn.XLOOKUP(B1071,Tableau13[ID_Antenne],Tableau13[Longitude],"Non répertoriées")</f>
        <v>Non répertoriées</v>
      </c>
      <c r="H1071" t="s">
        <v>8</v>
      </c>
    </row>
    <row r="1072" spans="1:8" x14ac:dyDescent="0.25">
      <c r="A1072" s="1">
        <v>45212.720833333333</v>
      </c>
      <c r="B1072" t="s">
        <v>654</v>
      </c>
      <c r="C1072" s="29" t="str">
        <f>_xlfn.XLOOKUP(B1072,Tableau13[ID_Antenne],Tableau13[Province_RDC],"Non répertoriées")</f>
        <v>Tshuapa</v>
      </c>
      <c r="D1072">
        <v>33</v>
      </c>
      <c r="E1072" s="31" t="str">
        <f>_xlfn.XLOOKUP(B1072,Tableau13[ID_Antenne],Tableau13[Technologie],"Non répertoriées")</f>
        <v>5G</v>
      </c>
      <c r="F1072" s="3">
        <f>_xlfn.XLOOKUP(B1072,Tableau13[ID_Antenne],Tableau13[Latitude],"Non répertoriées")</f>
        <v>-5.7957599999999996</v>
      </c>
      <c r="G1072" s="32">
        <f>_xlfn.XLOOKUP(B1072,Tableau13[ID_Antenne],Tableau13[Longitude],"Non répertoriées")</f>
        <v>14.078258</v>
      </c>
      <c r="H1072" t="s">
        <v>10</v>
      </c>
    </row>
    <row r="1073" spans="1:8" x14ac:dyDescent="0.25">
      <c r="A1073" s="1">
        <v>45230.839583333327</v>
      </c>
      <c r="B1073" t="s">
        <v>385</v>
      </c>
      <c r="C1073" s="29" t="str">
        <f>_xlfn.XLOOKUP(B1073,Tableau13[ID_Antenne],Tableau13[Province_RDC],"Non répertoriées")</f>
        <v>Equateur</v>
      </c>
      <c r="D1073">
        <v>83</v>
      </c>
      <c r="E1073" s="31" t="str">
        <f>_xlfn.XLOOKUP(B1073,Tableau13[ID_Antenne],Tableau13[Technologie],"Non répertoriées")</f>
        <v>5G</v>
      </c>
      <c r="F1073" s="3">
        <f>_xlfn.XLOOKUP(B1073,Tableau13[ID_Antenne],Tableau13[Latitude],"Non répertoriées")</f>
        <v>-0.79459900000000006</v>
      </c>
      <c r="G1073" s="32">
        <f>_xlfn.XLOOKUP(B1073,Tableau13[ID_Antenne],Tableau13[Longitude],"Non répertoriées")</f>
        <v>26.775570999999999</v>
      </c>
      <c r="H1073" t="s">
        <v>10</v>
      </c>
    </row>
    <row r="1074" spans="1:8" x14ac:dyDescent="0.25">
      <c r="A1074" s="1">
        <v>45209.913888888892</v>
      </c>
      <c r="B1074" t="s">
        <v>323</v>
      </c>
      <c r="C1074" s="29" t="str">
        <f>_xlfn.XLOOKUP(B1074,Tableau13[ID_Antenne],Tableau13[Province_RDC],"Non répertoriées")</f>
        <v>Bas-Uele</v>
      </c>
      <c r="D1074">
        <v>111</v>
      </c>
      <c r="E1074" s="31" t="str">
        <f>_xlfn.XLOOKUP(B1074,Tableau13[ID_Antenne],Tableau13[Technologie],"Non répertoriées")</f>
        <v>3G</v>
      </c>
      <c r="F1074" s="3">
        <f>_xlfn.XLOOKUP(B1074,Tableau13[ID_Antenne],Tableau13[Latitude],"Non répertoriées")</f>
        <v>-6.4197189999999997</v>
      </c>
      <c r="G1074" s="32">
        <f>_xlfn.XLOOKUP(B1074,Tableau13[ID_Antenne],Tableau13[Longitude],"Non répertoriées")</f>
        <v>22.287264</v>
      </c>
      <c r="H1074" t="s">
        <v>10</v>
      </c>
    </row>
    <row r="1075" spans="1:8" x14ac:dyDescent="0.25">
      <c r="A1075" s="1">
        <v>45229.986805555563</v>
      </c>
      <c r="B1075" t="s">
        <v>443</v>
      </c>
      <c r="C1075" t="str">
        <f>_xlfn.XLOOKUP(B1075,Tableau13[ID_Antenne],Tableau13[Province_RDC],"Non répertoriées")</f>
        <v>Non répertoriées</v>
      </c>
      <c r="D1075">
        <v>37</v>
      </c>
      <c r="E1075" t="str">
        <f>_xlfn.XLOOKUP(B1075,Tableau13[ID_Antenne],Tableau13[Technologie],"Non répertoriées")</f>
        <v>Non répertoriées</v>
      </c>
      <c r="F1075" t="str">
        <f>_xlfn.XLOOKUP(B1075,Tableau13[ID_Antenne],Tableau13[Latitude],"Non répertoriées")</f>
        <v>Non répertoriées</v>
      </c>
      <c r="G1075" t="str">
        <f>_xlfn.XLOOKUP(B1075,Tableau13[ID_Antenne],Tableau13[Longitude],"Non répertoriées")</f>
        <v>Non répertoriées</v>
      </c>
      <c r="H1075" t="s">
        <v>10</v>
      </c>
    </row>
    <row r="1076" spans="1:8" x14ac:dyDescent="0.25">
      <c r="A1076" s="1">
        <v>45220.125694444447</v>
      </c>
      <c r="B1076" t="s">
        <v>579</v>
      </c>
      <c r="C1076" s="29" t="str">
        <f>_xlfn.XLOOKUP(B1076,Tableau13[ID_Antenne],Tableau13[Province_RDC],"Non répertoriées")</f>
        <v>Kasai-Oriental</v>
      </c>
      <c r="D1076">
        <v>109</v>
      </c>
      <c r="E1076" s="31" t="str">
        <f>_xlfn.XLOOKUP(B1076,Tableau13[ID_Antenne],Tableau13[Technologie],"Non répertoriées")</f>
        <v>5G</v>
      </c>
      <c r="F1076" s="3">
        <f>_xlfn.XLOOKUP(B1076,Tableau13[ID_Antenne],Tableau13[Latitude],"Non répertoriées")</f>
        <v>1.7832440000000001</v>
      </c>
      <c r="G1076" s="32">
        <f>_xlfn.XLOOKUP(B1076,Tableau13[ID_Antenne],Tableau13[Longitude],"Non répertoriées")</f>
        <v>25.477405999999998</v>
      </c>
      <c r="H1076" t="s">
        <v>10</v>
      </c>
    </row>
    <row r="1077" spans="1:8" x14ac:dyDescent="0.25">
      <c r="A1077" s="1">
        <v>45223.34375</v>
      </c>
      <c r="B1077" t="s">
        <v>36</v>
      </c>
      <c r="C1077" s="29" t="str">
        <f>_xlfn.XLOOKUP(B1077,Tableau13[ID_Antenne],Tableau13[Province_RDC],"Non répertoriées")</f>
        <v>Nord-Ubangi</v>
      </c>
      <c r="D1077">
        <v>74</v>
      </c>
      <c r="E1077" s="31" t="str">
        <f>_xlfn.XLOOKUP(B1077,Tableau13[ID_Antenne],Tableau13[Technologie],"Non répertoriées")</f>
        <v>4G</v>
      </c>
      <c r="F1077" s="3">
        <f>_xlfn.XLOOKUP(B1077,Tableau13[ID_Antenne],Tableau13[Latitude],"Non répertoriées")</f>
        <v>-8.1437910000000002</v>
      </c>
      <c r="G1077" s="32">
        <f>_xlfn.XLOOKUP(B1077,Tableau13[ID_Antenne],Tableau13[Longitude],"Non répertoriées")</f>
        <v>28.946161</v>
      </c>
      <c r="H1077" t="s">
        <v>5</v>
      </c>
    </row>
    <row r="1078" spans="1:8" x14ac:dyDescent="0.25">
      <c r="A1078" s="1">
        <v>45207.199305555558</v>
      </c>
      <c r="B1078" t="s">
        <v>671</v>
      </c>
      <c r="C1078" t="str">
        <f>_xlfn.XLOOKUP(B1078,Tableau13[ID_Antenne],Tableau13[Province_RDC],"Non répertoriées")</f>
        <v>Non répertoriées</v>
      </c>
      <c r="D1078">
        <v>65</v>
      </c>
      <c r="E1078" t="str">
        <f>_xlfn.XLOOKUP(B1078,Tableau13[ID_Antenne],Tableau13[Technologie],"Non répertoriées")</f>
        <v>Non répertoriées</v>
      </c>
      <c r="F1078" t="str">
        <f>_xlfn.XLOOKUP(B1078,Tableau13[ID_Antenne],Tableau13[Latitude],"Non répertoriées")</f>
        <v>Non répertoriées</v>
      </c>
      <c r="G1078" t="str">
        <f>_xlfn.XLOOKUP(B1078,Tableau13[ID_Antenne],Tableau13[Longitude],"Non répertoriées")</f>
        <v>Non répertoriées</v>
      </c>
      <c r="H1078" t="s">
        <v>10</v>
      </c>
    </row>
    <row r="1079" spans="1:8" x14ac:dyDescent="0.25">
      <c r="A1079" s="1">
        <v>45203.907638888893</v>
      </c>
      <c r="B1079" t="s">
        <v>186</v>
      </c>
      <c r="C1079" s="29" t="str">
        <f>_xlfn.XLOOKUP(B1079,Tableau13[ID_Antenne],Tableau13[Province_RDC],"Non répertoriées")</f>
        <v>Mai-Ndombe</v>
      </c>
      <c r="D1079">
        <v>37</v>
      </c>
      <c r="E1079" s="31" t="str">
        <f>_xlfn.XLOOKUP(B1079,Tableau13[ID_Antenne],Tableau13[Technologie],"Non répertoriées")</f>
        <v>4G</v>
      </c>
      <c r="F1079" s="3">
        <f>_xlfn.XLOOKUP(B1079,Tableau13[ID_Antenne],Tableau13[Latitude],"Non répertoriées")</f>
        <v>-9.3652280000000001</v>
      </c>
      <c r="G1079" s="32">
        <f>_xlfn.XLOOKUP(B1079,Tableau13[ID_Antenne],Tableau13[Longitude],"Non répertoriées")</f>
        <v>18.674116000000001</v>
      </c>
      <c r="H1079" t="s">
        <v>5</v>
      </c>
    </row>
    <row r="1080" spans="1:8" x14ac:dyDescent="0.25">
      <c r="A1080" s="1">
        <v>45228.711805555547</v>
      </c>
      <c r="B1080" t="s">
        <v>672</v>
      </c>
      <c r="C1080" s="29" t="str">
        <f>_xlfn.XLOOKUP(B1080,Tableau13[ID_Antenne],Tableau13[Province_RDC],"Non répertoriées")</f>
        <v>Kwango</v>
      </c>
      <c r="D1080">
        <v>9</v>
      </c>
      <c r="E1080" s="31" t="str">
        <f>_xlfn.XLOOKUP(B1080,Tableau13[ID_Antenne],Tableau13[Technologie],"Non répertoriées")</f>
        <v>4G</v>
      </c>
      <c r="F1080" s="3">
        <f>_xlfn.XLOOKUP(B1080,Tableau13[ID_Antenne],Tableau13[Latitude],"Non répertoriées")</f>
        <v>-9.8995180000000005</v>
      </c>
      <c r="G1080" s="32">
        <f>_xlfn.XLOOKUP(B1080,Tableau13[ID_Antenne],Tableau13[Longitude],"Non répertoriées")</f>
        <v>24.156687999999999</v>
      </c>
      <c r="H1080" t="s">
        <v>5</v>
      </c>
    </row>
    <row r="1081" spans="1:8" x14ac:dyDescent="0.25">
      <c r="A1081" s="1">
        <v>45218.543055555558</v>
      </c>
      <c r="B1081" t="s">
        <v>601</v>
      </c>
      <c r="C1081" t="str">
        <f>_xlfn.XLOOKUP(B1081,Tableau13[ID_Antenne],Tableau13[Province_RDC],"Non répertoriées")</f>
        <v>Non répertoriées</v>
      </c>
      <c r="D1081">
        <v>101</v>
      </c>
      <c r="E1081" t="str">
        <f>_xlfn.XLOOKUP(B1081,Tableau13[ID_Antenne],Tableau13[Technologie],"Non répertoriées")</f>
        <v>Non répertoriées</v>
      </c>
      <c r="F1081" t="str">
        <f>_xlfn.XLOOKUP(B1081,Tableau13[ID_Antenne],Tableau13[Latitude],"Non répertoriées")</f>
        <v>Non répertoriées</v>
      </c>
      <c r="G1081" t="str">
        <f>_xlfn.XLOOKUP(B1081,Tableau13[ID_Antenne],Tableau13[Longitude],"Non répertoriées")</f>
        <v>Non répertoriées</v>
      </c>
      <c r="H1081" t="s">
        <v>5</v>
      </c>
    </row>
    <row r="1082" spans="1:8" x14ac:dyDescent="0.25">
      <c r="A1082" s="1">
        <v>45200.092361111107</v>
      </c>
      <c r="B1082" t="s">
        <v>673</v>
      </c>
      <c r="C1082" t="str">
        <f>_xlfn.XLOOKUP(B1082,Tableau13[ID_Antenne],Tableau13[Province_RDC],"Non répertoriées")</f>
        <v>Non répertoriées</v>
      </c>
      <c r="D1082">
        <v>87</v>
      </c>
      <c r="E1082" t="str">
        <f>_xlfn.XLOOKUP(B1082,Tableau13[ID_Antenne],Tableau13[Technologie],"Non répertoriées")</f>
        <v>Non répertoriées</v>
      </c>
      <c r="F1082" t="str">
        <f>_xlfn.XLOOKUP(B1082,Tableau13[ID_Antenne],Tableau13[Latitude],"Non répertoriées")</f>
        <v>Non répertoriées</v>
      </c>
      <c r="G1082" t="str">
        <f>_xlfn.XLOOKUP(B1082,Tableau13[ID_Antenne],Tableau13[Longitude],"Non répertoriées")</f>
        <v>Non répertoriées</v>
      </c>
      <c r="H1082" t="s">
        <v>8</v>
      </c>
    </row>
    <row r="1083" spans="1:8" x14ac:dyDescent="0.25">
      <c r="A1083" s="1">
        <v>45207.693055555559</v>
      </c>
      <c r="B1083" t="s">
        <v>20</v>
      </c>
      <c r="C1083" t="str">
        <f>_xlfn.XLOOKUP(B1083,Tableau13[ID_Antenne],Tableau13[Province_RDC],"Non répertoriées")</f>
        <v>Non répertoriées</v>
      </c>
      <c r="D1083">
        <v>29</v>
      </c>
      <c r="E1083" t="str">
        <f>_xlfn.XLOOKUP(B1083,Tableau13[ID_Antenne],Tableau13[Technologie],"Non répertoriées")</f>
        <v>Non répertoriées</v>
      </c>
      <c r="F1083" t="str">
        <f>_xlfn.XLOOKUP(B1083,Tableau13[ID_Antenne],Tableau13[Latitude],"Non répertoriées")</f>
        <v>Non répertoriées</v>
      </c>
      <c r="G1083" t="str">
        <f>_xlfn.XLOOKUP(B1083,Tableau13[ID_Antenne],Tableau13[Longitude],"Non répertoriées")</f>
        <v>Non répertoriées</v>
      </c>
      <c r="H1083" t="s">
        <v>8</v>
      </c>
    </row>
    <row r="1084" spans="1:8" x14ac:dyDescent="0.25">
      <c r="A1084" s="1">
        <v>45200.716666666667</v>
      </c>
      <c r="B1084" t="s">
        <v>674</v>
      </c>
      <c r="C1084" t="str">
        <f>_xlfn.XLOOKUP(B1084,Tableau13[ID_Antenne],Tableau13[Province_RDC],"Non répertoriées")</f>
        <v>Non répertoriées</v>
      </c>
      <c r="D1084">
        <v>41</v>
      </c>
      <c r="E1084" t="str">
        <f>_xlfn.XLOOKUP(B1084,Tableau13[ID_Antenne],Tableau13[Technologie],"Non répertoriées")</f>
        <v>Non répertoriées</v>
      </c>
      <c r="F1084" t="str">
        <f>_xlfn.XLOOKUP(B1084,Tableau13[ID_Antenne],Tableau13[Latitude],"Non répertoriées")</f>
        <v>Non répertoriées</v>
      </c>
      <c r="G1084" t="str">
        <f>_xlfn.XLOOKUP(B1084,Tableau13[ID_Antenne],Tableau13[Longitude],"Non répertoriées")</f>
        <v>Non répertoriées</v>
      </c>
      <c r="H1084" t="s">
        <v>8</v>
      </c>
    </row>
    <row r="1085" spans="1:8" x14ac:dyDescent="0.25">
      <c r="A1085" s="1">
        <v>45222.863888888889</v>
      </c>
      <c r="B1085" t="s">
        <v>230</v>
      </c>
      <c r="C1085" s="29" t="str">
        <f>_xlfn.XLOOKUP(B1085,Tableau13[ID_Antenne],Tableau13[Province_RDC],"Non répertoriées")</f>
        <v>Tshopo</v>
      </c>
      <c r="D1085">
        <v>50</v>
      </c>
      <c r="E1085" s="31" t="str">
        <f>_xlfn.XLOOKUP(B1085,Tableau13[ID_Antenne],Tableau13[Technologie],"Non répertoriées")</f>
        <v>5G</v>
      </c>
      <c r="F1085" s="3">
        <f>_xlfn.XLOOKUP(B1085,Tableau13[ID_Antenne],Tableau13[Latitude],"Non répertoriées")</f>
        <v>2.4425979999999998</v>
      </c>
      <c r="G1085" s="32">
        <f>_xlfn.XLOOKUP(B1085,Tableau13[ID_Antenne],Tableau13[Longitude],"Non répertoriées")</f>
        <v>24.924308</v>
      </c>
      <c r="H1085" t="s">
        <v>10</v>
      </c>
    </row>
    <row r="1086" spans="1:8" x14ac:dyDescent="0.25">
      <c r="A1086" s="1">
        <v>45217.551388888889</v>
      </c>
      <c r="B1086" t="s">
        <v>675</v>
      </c>
      <c r="C1086" s="29" t="str">
        <f>_xlfn.XLOOKUP(B1086,Tableau13[ID_Antenne],Tableau13[Province_RDC],"Non répertoriées")</f>
        <v>Sankuru</v>
      </c>
      <c r="D1086">
        <v>115</v>
      </c>
      <c r="E1086" s="31" t="str">
        <f>_xlfn.XLOOKUP(B1086,Tableau13[ID_Antenne],Tableau13[Technologie],"Non répertoriées")</f>
        <v>5G</v>
      </c>
      <c r="F1086" s="3">
        <f>_xlfn.XLOOKUP(B1086,Tableau13[ID_Antenne],Tableau13[Latitude],"Non répertoriées")</f>
        <v>-3.419035</v>
      </c>
      <c r="G1086" s="32">
        <f>_xlfn.XLOOKUP(B1086,Tableau13[ID_Antenne],Tableau13[Longitude],"Non répertoriées")</f>
        <v>29.018315999999999</v>
      </c>
      <c r="H1086" t="s">
        <v>8</v>
      </c>
    </row>
    <row r="1087" spans="1:8" x14ac:dyDescent="0.25">
      <c r="A1087" s="1">
        <v>45214.761805555558</v>
      </c>
      <c r="B1087" t="s">
        <v>676</v>
      </c>
      <c r="C1087" t="str">
        <f>_xlfn.XLOOKUP(B1087,Tableau13[ID_Antenne],Tableau13[Province_RDC],"Non répertoriées")</f>
        <v>Non répertoriées</v>
      </c>
      <c r="D1087">
        <v>104</v>
      </c>
      <c r="E1087" t="str">
        <f>_xlfn.XLOOKUP(B1087,Tableau13[ID_Antenne],Tableau13[Technologie],"Non répertoriées")</f>
        <v>Non répertoriées</v>
      </c>
      <c r="F1087" t="str">
        <f>_xlfn.XLOOKUP(B1087,Tableau13[ID_Antenne],Tableau13[Latitude],"Non répertoriées")</f>
        <v>Non répertoriées</v>
      </c>
      <c r="G1087" t="str">
        <f>_xlfn.XLOOKUP(B1087,Tableau13[ID_Antenne],Tableau13[Longitude],"Non répertoriées")</f>
        <v>Non répertoriées</v>
      </c>
      <c r="H1087" t="s">
        <v>8</v>
      </c>
    </row>
    <row r="1088" spans="1:8" x14ac:dyDescent="0.25">
      <c r="A1088" s="1">
        <v>45225.033333333333</v>
      </c>
      <c r="B1088" t="s">
        <v>677</v>
      </c>
      <c r="C1088" s="29" t="str">
        <f>_xlfn.XLOOKUP(B1088,Tableau13[ID_Antenne],Tableau13[Province_RDC],"Non répertoriées")</f>
        <v>Kongo-Central</v>
      </c>
      <c r="D1088">
        <v>11</v>
      </c>
      <c r="E1088" s="31" t="str">
        <f>_xlfn.XLOOKUP(B1088,Tableau13[ID_Antenne],Tableau13[Technologie],"Non répertoriées")</f>
        <v>5G</v>
      </c>
      <c r="F1088" s="3">
        <f>_xlfn.XLOOKUP(B1088,Tableau13[ID_Antenne],Tableau13[Latitude],"Non répertoriées")</f>
        <v>2.9836019999999999</v>
      </c>
      <c r="G1088" s="32">
        <f>_xlfn.XLOOKUP(B1088,Tableau13[ID_Antenne],Tableau13[Longitude],"Non répertoriées")</f>
        <v>21.893065</v>
      </c>
      <c r="H1088" t="s">
        <v>8</v>
      </c>
    </row>
    <row r="1089" spans="1:8" x14ac:dyDescent="0.25">
      <c r="A1089" s="1">
        <v>45225.238888888889</v>
      </c>
      <c r="B1089" t="s">
        <v>154</v>
      </c>
      <c r="C1089" t="str">
        <f>_xlfn.XLOOKUP(B1089,Tableau13[ID_Antenne],Tableau13[Province_RDC],"Non répertoriées")</f>
        <v>Non répertoriées</v>
      </c>
      <c r="D1089">
        <v>115</v>
      </c>
      <c r="E1089" t="str">
        <f>_xlfn.XLOOKUP(B1089,Tableau13[ID_Antenne],Tableau13[Technologie],"Non répertoriées")</f>
        <v>Non répertoriées</v>
      </c>
      <c r="F1089" t="str">
        <f>_xlfn.XLOOKUP(B1089,Tableau13[ID_Antenne],Tableau13[Latitude],"Non répertoriées")</f>
        <v>Non répertoriées</v>
      </c>
      <c r="G1089" t="str">
        <f>_xlfn.XLOOKUP(B1089,Tableau13[ID_Antenne],Tableau13[Longitude],"Non répertoriées")</f>
        <v>Non répertoriées</v>
      </c>
      <c r="H1089" t="s">
        <v>10</v>
      </c>
    </row>
    <row r="1090" spans="1:8" x14ac:dyDescent="0.25">
      <c r="A1090" s="1">
        <v>45213.428472222222</v>
      </c>
      <c r="B1090" t="s">
        <v>600</v>
      </c>
      <c r="C1090" s="29" t="str">
        <f>_xlfn.XLOOKUP(B1090,Tableau13[ID_Antenne],Tableau13[Province_RDC],"Non répertoriées")</f>
        <v>Bas-Uele</v>
      </c>
      <c r="D1090">
        <v>88</v>
      </c>
      <c r="E1090" s="31" t="str">
        <f>_xlfn.XLOOKUP(B1090,Tableau13[ID_Antenne],Tableau13[Technologie],"Non répertoriées")</f>
        <v>4G</v>
      </c>
      <c r="F1090" s="3">
        <f>_xlfn.XLOOKUP(B1090,Tableau13[ID_Antenne],Tableau13[Latitude],"Non répertoriées")</f>
        <v>-7.3952039999999997</v>
      </c>
      <c r="G1090" s="32">
        <f>_xlfn.XLOOKUP(B1090,Tableau13[ID_Antenne],Tableau13[Longitude],"Non répertoriées")</f>
        <v>21.651043999999999</v>
      </c>
      <c r="H1090" t="s">
        <v>5</v>
      </c>
    </row>
    <row r="1091" spans="1:8" x14ac:dyDescent="0.25">
      <c r="A1091" s="1">
        <v>45204.283333333333</v>
      </c>
      <c r="B1091" t="s">
        <v>678</v>
      </c>
      <c r="C1091" t="str">
        <f>_xlfn.XLOOKUP(B1091,Tableau13[ID_Antenne],Tableau13[Province_RDC],"Non répertoriées")</f>
        <v>Non répertoriées</v>
      </c>
      <c r="D1091">
        <v>47</v>
      </c>
      <c r="E1091" t="str">
        <f>_xlfn.XLOOKUP(B1091,Tableau13[ID_Antenne],Tableau13[Technologie],"Non répertoriées")</f>
        <v>Non répertoriées</v>
      </c>
      <c r="F1091" t="str">
        <f>_xlfn.XLOOKUP(B1091,Tableau13[ID_Antenne],Tableau13[Latitude],"Non répertoriées")</f>
        <v>Non répertoriées</v>
      </c>
      <c r="G1091" t="str">
        <f>_xlfn.XLOOKUP(B1091,Tableau13[ID_Antenne],Tableau13[Longitude],"Non répertoriées")</f>
        <v>Non répertoriées</v>
      </c>
      <c r="H1091" t="s">
        <v>8</v>
      </c>
    </row>
    <row r="1092" spans="1:8" x14ac:dyDescent="0.25">
      <c r="A1092" s="1">
        <v>45210.128472222219</v>
      </c>
      <c r="B1092" t="s">
        <v>679</v>
      </c>
      <c r="C1092" t="str">
        <f>_xlfn.XLOOKUP(B1092,Tableau13[ID_Antenne],Tableau13[Province_RDC],"Non répertoriées")</f>
        <v>Non répertoriées</v>
      </c>
      <c r="D1092">
        <v>39</v>
      </c>
      <c r="E1092" t="str">
        <f>_xlfn.XLOOKUP(B1092,Tableau13[ID_Antenne],Tableau13[Technologie],"Non répertoriées")</f>
        <v>Non répertoriées</v>
      </c>
      <c r="F1092" t="str">
        <f>_xlfn.XLOOKUP(B1092,Tableau13[ID_Antenne],Tableau13[Latitude],"Non répertoriées")</f>
        <v>Non répertoriées</v>
      </c>
      <c r="G1092" t="str">
        <f>_xlfn.XLOOKUP(B1092,Tableau13[ID_Antenne],Tableau13[Longitude],"Non répertoriées")</f>
        <v>Non répertoriées</v>
      </c>
      <c r="H1092" t="s">
        <v>5</v>
      </c>
    </row>
    <row r="1093" spans="1:8" x14ac:dyDescent="0.25">
      <c r="A1093" s="1">
        <v>45212.140277777777</v>
      </c>
      <c r="B1093" t="s">
        <v>496</v>
      </c>
      <c r="C1093" t="str">
        <f>_xlfn.XLOOKUP(B1093,Tableau13[ID_Antenne],Tableau13[Province_RDC],"Non répertoriées")</f>
        <v>Non répertoriées</v>
      </c>
      <c r="D1093">
        <v>20</v>
      </c>
      <c r="E1093" t="str">
        <f>_xlfn.XLOOKUP(B1093,Tableau13[ID_Antenne],Tableau13[Technologie],"Non répertoriées")</f>
        <v>Non répertoriées</v>
      </c>
      <c r="F1093" t="str">
        <f>_xlfn.XLOOKUP(B1093,Tableau13[ID_Antenne],Tableau13[Latitude],"Non répertoriées")</f>
        <v>Non répertoriées</v>
      </c>
      <c r="G1093" t="str">
        <f>_xlfn.XLOOKUP(B1093,Tableau13[ID_Antenne],Tableau13[Longitude],"Non répertoriées")</f>
        <v>Non répertoriées</v>
      </c>
      <c r="H1093" t="s">
        <v>5</v>
      </c>
    </row>
    <row r="1094" spans="1:8" x14ac:dyDescent="0.25">
      <c r="A1094" s="1">
        <v>45227.484722222223</v>
      </c>
      <c r="B1094" t="s">
        <v>680</v>
      </c>
      <c r="C1094" t="str">
        <f>_xlfn.XLOOKUP(B1094,Tableau13[ID_Antenne],Tableau13[Province_RDC],"Non répertoriées")</f>
        <v>Non répertoriées</v>
      </c>
      <c r="D1094">
        <v>107</v>
      </c>
      <c r="E1094" t="str">
        <f>_xlfn.XLOOKUP(B1094,Tableau13[ID_Antenne],Tableau13[Technologie],"Non répertoriées")</f>
        <v>Non répertoriées</v>
      </c>
      <c r="F1094" t="str">
        <f>_xlfn.XLOOKUP(B1094,Tableau13[ID_Antenne],Tableau13[Latitude],"Non répertoriées")</f>
        <v>Non répertoriées</v>
      </c>
      <c r="G1094" t="str">
        <f>_xlfn.XLOOKUP(B1094,Tableau13[ID_Antenne],Tableau13[Longitude],"Non répertoriées")</f>
        <v>Non répertoriées</v>
      </c>
      <c r="H1094" t="s">
        <v>5</v>
      </c>
    </row>
    <row r="1095" spans="1:8" x14ac:dyDescent="0.25">
      <c r="A1095" s="1">
        <v>45208.073611111111</v>
      </c>
      <c r="B1095" t="s">
        <v>442</v>
      </c>
      <c r="C1095" t="str">
        <f>_xlfn.XLOOKUP(B1095,Tableau13[ID_Antenne],Tableau13[Province_RDC],"Non répertoriées")</f>
        <v>Non répertoriées</v>
      </c>
      <c r="D1095">
        <v>52</v>
      </c>
      <c r="E1095" t="str">
        <f>_xlfn.XLOOKUP(B1095,Tableau13[ID_Antenne],Tableau13[Technologie],"Non répertoriées")</f>
        <v>Non répertoriées</v>
      </c>
      <c r="F1095" t="str">
        <f>_xlfn.XLOOKUP(B1095,Tableau13[ID_Antenne],Tableau13[Latitude],"Non répertoriées")</f>
        <v>Non répertoriées</v>
      </c>
      <c r="G1095" t="str">
        <f>_xlfn.XLOOKUP(B1095,Tableau13[ID_Antenne],Tableau13[Longitude],"Non répertoriées")</f>
        <v>Non répertoriées</v>
      </c>
      <c r="H1095" t="s">
        <v>5</v>
      </c>
    </row>
    <row r="1096" spans="1:8" x14ac:dyDescent="0.25">
      <c r="A1096" s="1">
        <v>45214.713194444441</v>
      </c>
      <c r="B1096" t="s">
        <v>220</v>
      </c>
      <c r="C1096" s="29" t="str">
        <f>_xlfn.XLOOKUP(B1096,Tableau13[ID_Antenne],Tableau13[Province_RDC],"Non répertoriées")</f>
        <v>Haut-Lomami</v>
      </c>
      <c r="D1096">
        <v>60</v>
      </c>
      <c r="E1096" s="31" t="str">
        <f>_xlfn.XLOOKUP(B1096,Tableau13[ID_Antenne],Tableau13[Technologie],"Non répertoriées")</f>
        <v>4G</v>
      </c>
      <c r="F1096" s="3">
        <f>_xlfn.XLOOKUP(B1096,Tableau13[ID_Antenne],Tableau13[Latitude],"Non répertoriées")</f>
        <v>-6.3324319999999998</v>
      </c>
      <c r="G1096" s="32">
        <f>_xlfn.XLOOKUP(B1096,Tableau13[ID_Antenne],Tableau13[Longitude],"Non répertoriées")</f>
        <v>24.887858000000001</v>
      </c>
      <c r="H1096" t="s">
        <v>8</v>
      </c>
    </row>
    <row r="1097" spans="1:8" x14ac:dyDescent="0.25">
      <c r="A1097" s="1">
        <v>45229.503472222219</v>
      </c>
      <c r="B1097" t="s">
        <v>442</v>
      </c>
      <c r="C1097" t="str">
        <f>_xlfn.XLOOKUP(B1097,Tableau13[ID_Antenne],Tableau13[Province_RDC],"Non répertoriées")</f>
        <v>Non répertoriées</v>
      </c>
      <c r="D1097">
        <v>118</v>
      </c>
      <c r="E1097" t="str">
        <f>_xlfn.XLOOKUP(B1097,Tableau13[ID_Antenne],Tableau13[Technologie],"Non répertoriées")</f>
        <v>Non répertoriées</v>
      </c>
      <c r="F1097" t="str">
        <f>_xlfn.XLOOKUP(B1097,Tableau13[ID_Antenne],Tableau13[Latitude],"Non répertoriées")</f>
        <v>Non répertoriées</v>
      </c>
      <c r="G1097" t="str">
        <f>_xlfn.XLOOKUP(B1097,Tableau13[ID_Antenne],Tableau13[Longitude],"Non répertoriées")</f>
        <v>Non répertoriées</v>
      </c>
      <c r="H1097" t="s">
        <v>10</v>
      </c>
    </row>
    <row r="1098" spans="1:8" x14ac:dyDescent="0.25">
      <c r="A1098" s="1">
        <v>45217.411805555559</v>
      </c>
      <c r="B1098" t="s">
        <v>628</v>
      </c>
      <c r="C1098" s="29" t="str">
        <f>_xlfn.XLOOKUP(B1098,Tableau13[ID_Antenne],Tableau13[Province_RDC],"Non répertoriées")</f>
        <v>Sud-Ubangi</v>
      </c>
      <c r="D1098">
        <v>56</v>
      </c>
      <c r="E1098" s="31" t="str">
        <f>_xlfn.XLOOKUP(B1098,Tableau13[ID_Antenne],Tableau13[Technologie],"Non répertoriées")</f>
        <v>5G</v>
      </c>
      <c r="F1098" s="3">
        <f>_xlfn.XLOOKUP(B1098,Tableau13[ID_Antenne],Tableau13[Latitude],"Non répertoriées")</f>
        <v>-0.54908599999999996</v>
      </c>
      <c r="G1098" s="32">
        <f>_xlfn.XLOOKUP(B1098,Tableau13[ID_Antenne],Tableau13[Longitude],"Non répertoriées")</f>
        <v>14.816867</v>
      </c>
      <c r="H1098" t="s">
        <v>8</v>
      </c>
    </row>
    <row r="1099" spans="1:8" x14ac:dyDescent="0.25">
      <c r="A1099" s="1">
        <v>45220.830555555563</v>
      </c>
      <c r="B1099" t="s">
        <v>681</v>
      </c>
      <c r="C1099" s="29" t="str">
        <f>_xlfn.XLOOKUP(B1099,Tableau13[ID_Antenne],Tableau13[Province_RDC],"Non répertoriées")</f>
        <v>Nord-Kivu</v>
      </c>
      <c r="D1099">
        <v>100</v>
      </c>
      <c r="E1099" s="31" t="str">
        <f>_xlfn.XLOOKUP(B1099,Tableau13[ID_Antenne],Tableau13[Technologie],"Non répertoriées")</f>
        <v>5G</v>
      </c>
      <c r="F1099" s="3">
        <f>_xlfn.XLOOKUP(B1099,Tableau13[ID_Antenne],Tableau13[Latitude],"Non répertoriées")</f>
        <v>-6.0234120000000004</v>
      </c>
      <c r="G1099" s="32">
        <f>_xlfn.XLOOKUP(B1099,Tableau13[ID_Antenne],Tableau13[Longitude],"Non répertoriées")</f>
        <v>18.314309999999999</v>
      </c>
      <c r="H1099" t="s">
        <v>10</v>
      </c>
    </row>
    <row r="1100" spans="1:8" x14ac:dyDescent="0.25">
      <c r="A1100" s="1">
        <v>45227.48333333333</v>
      </c>
      <c r="B1100" t="s">
        <v>30</v>
      </c>
      <c r="C1100" s="29" t="str">
        <f>_xlfn.XLOOKUP(B1100,Tableau13[ID_Antenne],Tableau13[Province_RDC],"Non répertoriées")</f>
        <v>Sud-Ubangi</v>
      </c>
      <c r="D1100">
        <v>61</v>
      </c>
      <c r="E1100" s="31" t="str">
        <f>_xlfn.XLOOKUP(B1100,Tableau13[ID_Antenne],Tableau13[Technologie],"Non répertoriées")</f>
        <v>5G</v>
      </c>
      <c r="F1100" s="3">
        <f>_xlfn.XLOOKUP(B1100,Tableau13[ID_Antenne],Tableau13[Latitude],"Non répertoriées")</f>
        <v>-10.56448</v>
      </c>
      <c r="G1100" s="32">
        <f>_xlfn.XLOOKUP(B1100,Tableau13[ID_Antenne],Tableau13[Longitude],"Non répertoriées")</f>
        <v>19.792876</v>
      </c>
      <c r="H1100" t="s">
        <v>8</v>
      </c>
    </row>
    <row r="1101" spans="1:8" x14ac:dyDescent="0.25">
      <c r="A1101" s="1">
        <v>45224.378472222219</v>
      </c>
      <c r="B1101" t="s">
        <v>538</v>
      </c>
      <c r="C1101" t="str">
        <f>_xlfn.XLOOKUP(B1101,Tableau13[ID_Antenne],Tableau13[Province_RDC],"Non répertoriées")</f>
        <v>Non répertoriées</v>
      </c>
      <c r="D1101">
        <v>48</v>
      </c>
      <c r="E1101" t="str">
        <f>_xlfn.XLOOKUP(B1101,Tableau13[ID_Antenne],Tableau13[Technologie],"Non répertoriées")</f>
        <v>Non répertoriées</v>
      </c>
      <c r="F1101" t="str">
        <f>_xlfn.XLOOKUP(B1101,Tableau13[ID_Antenne],Tableau13[Latitude],"Non répertoriées")</f>
        <v>Non répertoriées</v>
      </c>
      <c r="G1101" t="str">
        <f>_xlfn.XLOOKUP(B1101,Tableau13[ID_Antenne],Tableau13[Longitude],"Non répertoriées")</f>
        <v>Non répertoriées</v>
      </c>
      <c r="H1101" t="s">
        <v>10</v>
      </c>
    </row>
    <row r="1102" spans="1:8" x14ac:dyDescent="0.25">
      <c r="A1102" s="1">
        <v>45227.329861111109</v>
      </c>
      <c r="B1102" t="s">
        <v>41</v>
      </c>
      <c r="C1102" t="str">
        <f>_xlfn.XLOOKUP(B1102,Tableau13[ID_Antenne],Tableau13[Province_RDC],"Non répertoriées")</f>
        <v>Non répertoriées</v>
      </c>
      <c r="D1102">
        <v>28</v>
      </c>
      <c r="E1102" t="str">
        <f>_xlfn.XLOOKUP(B1102,Tableau13[ID_Antenne],Tableau13[Technologie],"Non répertoriées")</f>
        <v>Non répertoriées</v>
      </c>
      <c r="F1102" t="str">
        <f>_xlfn.XLOOKUP(B1102,Tableau13[ID_Antenne],Tableau13[Latitude],"Non répertoriées")</f>
        <v>Non répertoriées</v>
      </c>
      <c r="G1102" t="str">
        <f>_xlfn.XLOOKUP(B1102,Tableau13[ID_Antenne],Tableau13[Longitude],"Non répertoriées")</f>
        <v>Non répertoriées</v>
      </c>
      <c r="H1102" t="s">
        <v>8</v>
      </c>
    </row>
    <row r="1103" spans="1:8" x14ac:dyDescent="0.25">
      <c r="A1103" s="1">
        <v>45203.511805555558</v>
      </c>
      <c r="B1103" t="s">
        <v>682</v>
      </c>
      <c r="C1103" t="str">
        <f>_xlfn.XLOOKUP(B1103,Tableau13[ID_Antenne],Tableau13[Province_RDC],"Non répertoriées")</f>
        <v>Non répertoriées</v>
      </c>
      <c r="D1103">
        <v>68</v>
      </c>
      <c r="E1103" t="str">
        <f>_xlfn.XLOOKUP(B1103,Tableau13[ID_Antenne],Tableau13[Technologie],"Non répertoriées")</f>
        <v>Non répertoriées</v>
      </c>
      <c r="F1103" t="str">
        <f>_xlfn.XLOOKUP(B1103,Tableau13[ID_Antenne],Tableau13[Latitude],"Non répertoriées")</f>
        <v>Non répertoriées</v>
      </c>
      <c r="G1103" t="str">
        <f>_xlfn.XLOOKUP(B1103,Tableau13[ID_Antenne],Tableau13[Longitude],"Non répertoriées")</f>
        <v>Non répertoriées</v>
      </c>
      <c r="H1103" t="s">
        <v>10</v>
      </c>
    </row>
    <row r="1104" spans="1:8" x14ac:dyDescent="0.25">
      <c r="A1104" s="1">
        <v>45214.870138888888</v>
      </c>
      <c r="B1104" t="s">
        <v>682</v>
      </c>
      <c r="C1104" t="str">
        <f>_xlfn.XLOOKUP(B1104,Tableau13[ID_Antenne],Tableau13[Province_RDC],"Non répertoriées")</f>
        <v>Non répertoriées</v>
      </c>
      <c r="D1104">
        <v>93</v>
      </c>
      <c r="E1104" t="str">
        <f>_xlfn.XLOOKUP(B1104,Tableau13[ID_Antenne],Tableau13[Technologie],"Non répertoriées")</f>
        <v>Non répertoriées</v>
      </c>
      <c r="F1104" t="str">
        <f>_xlfn.XLOOKUP(B1104,Tableau13[ID_Antenne],Tableau13[Latitude],"Non répertoriées")</f>
        <v>Non répertoriées</v>
      </c>
      <c r="G1104" t="str">
        <f>_xlfn.XLOOKUP(B1104,Tableau13[ID_Antenne],Tableau13[Longitude],"Non répertoriées")</f>
        <v>Non répertoriées</v>
      </c>
      <c r="H1104" t="s">
        <v>10</v>
      </c>
    </row>
    <row r="1105" spans="1:8" x14ac:dyDescent="0.25">
      <c r="A1105" s="1">
        <v>45211.224305555559</v>
      </c>
      <c r="B1105" t="s">
        <v>549</v>
      </c>
      <c r="C1105" t="str">
        <f>_xlfn.XLOOKUP(B1105,Tableau13[ID_Antenne],Tableau13[Province_RDC],"Non répertoriées")</f>
        <v>Non répertoriées</v>
      </c>
      <c r="D1105">
        <v>68</v>
      </c>
      <c r="E1105" t="str">
        <f>_xlfn.XLOOKUP(B1105,Tableau13[ID_Antenne],Tableau13[Technologie],"Non répertoriées")</f>
        <v>Non répertoriées</v>
      </c>
      <c r="F1105" t="str">
        <f>_xlfn.XLOOKUP(B1105,Tableau13[ID_Antenne],Tableau13[Latitude],"Non répertoriées")</f>
        <v>Non répertoriées</v>
      </c>
      <c r="G1105" t="str">
        <f>_xlfn.XLOOKUP(B1105,Tableau13[ID_Antenne],Tableau13[Longitude],"Non répertoriées")</f>
        <v>Non répertoriées</v>
      </c>
      <c r="H1105" t="s">
        <v>8</v>
      </c>
    </row>
    <row r="1106" spans="1:8" x14ac:dyDescent="0.25">
      <c r="A1106" s="1">
        <v>45211.279166666667</v>
      </c>
      <c r="B1106" t="s">
        <v>683</v>
      </c>
      <c r="C1106" s="29" t="str">
        <f>_xlfn.XLOOKUP(B1106,Tableau13[ID_Antenne],Tableau13[Province_RDC],"Non répertoriées")</f>
        <v>Maniema</v>
      </c>
      <c r="D1106">
        <v>52</v>
      </c>
      <c r="E1106" s="31" t="str">
        <f>_xlfn.XLOOKUP(B1106,Tableau13[ID_Antenne],Tableau13[Technologie],"Non répertoriées")</f>
        <v>4G</v>
      </c>
      <c r="F1106" s="3">
        <f>_xlfn.XLOOKUP(B1106,Tableau13[ID_Antenne],Tableau13[Latitude],"Non répertoriées")</f>
        <v>0.850665</v>
      </c>
      <c r="G1106" s="32">
        <f>_xlfn.XLOOKUP(B1106,Tableau13[ID_Antenne],Tableau13[Longitude],"Non répertoriées")</f>
        <v>19.446418000000001</v>
      </c>
      <c r="H1106" t="s">
        <v>10</v>
      </c>
    </row>
    <row r="1107" spans="1:8" x14ac:dyDescent="0.25">
      <c r="A1107" s="1">
        <v>45208.957638888889</v>
      </c>
      <c r="B1107" t="s">
        <v>684</v>
      </c>
      <c r="C1107" s="29" t="str">
        <f>_xlfn.XLOOKUP(B1107,Tableau13[ID_Antenne],Tableau13[Province_RDC],"Non répertoriées")</f>
        <v>Bas-Uele</v>
      </c>
      <c r="D1107">
        <v>107</v>
      </c>
      <c r="E1107" s="31" t="str">
        <f>_xlfn.XLOOKUP(B1107,Tableau13[ID_Antenne],Tableau13[Technologie],"Non répertoriées")</f>
        <v>5G</v>
      </c>
      <c r="F1107" s="3">
        <f>_xlfn.XLOOKUP(B1107,Tableau13[ID_Antenne],Tableau13[Latitude],"Non répertoriées")</f>
        <v>-12.244119</v>
      </c>
      <c r="G1107" s="32">
        <f>_xlfn.XLOOKUP(B1107,Tableau13[ID_Antenne],Tableau13[Longitude],"Non répertoriées")</f>
        <v>28.279755999999999</v>
      </c>
      <c r="H1107" t="s">
        <v>8</v>
      </c>
    </row>
    <row r="1108" spans="1:8" x14ac:dyDescent="0.25">
      <c r="A1108" s="1">
        <v>45221.836111111108</v>
      </c>
      <c r="B1108" t="s">
        <v>676</v>
      </c>
      <c r="C1108" t="str">
        <f>_xlfn.XLOOKUP(B1108,Tableau13[ID_Antenne],Tableau13[Province_RDC],"Non répertoriées")</f>
        <v>Non répertoriées</v>
      </c>
      <c r="D1108">
        <v>71</v>
      </c>
      <c r="E1108" t="str">
        <f>_xlfn.XLOOKUP(B1108,Tableau13[ID_Antenne],Tableau13[Technologie],"Non répertoriées")</f>
        <v>Non répertoriées</v>
      </c>
      <c r="F1108" t="str">
        <f>_xlfn.XLOOKUP(B1108,Tableau13[ID_Antenne],Tableau13[Latitude],"Non répertoriées")</f>
        <v>Non répertoriées</v>
      </c>
      <c r="G1108" t="str">
        <f>_xlfn.XLOOKUP(B1108,Tableau13[ID_Antenne],Tableau13[Longitude],"Non répertoriées")</f>
        <v>Non répertoriées</v>
      </c>
      <c r="H1108" t="s">
        <v>8</v>
      </c>
    </row>
    <row r="1109" spans="1:8" x14ac:dyDescent="0.25">
      <c r="A1109" s="1">
        <v>45219.840277777781</v>
      </c>
      <c r="B1109" t="s">
        <v>220</v>
      </c>
      <c r="C1109" s="29" t="str">
        <f>_xlfn.XLOOKUP(B1109,Tableau13[ID_Antenne],Tableau13[Province_RDC],"Non répertoriées")</f>
        <v>Haut-Lomami</v>
      </c>
      <c r="D1109">
        <v>39</v>
      </c>
      <c r="E1109" s="31" t="str">
        <f>_xlfn.XLOOKUP(B1109,Tableau13[ID_Antenne],Tableau13[Technologie],"Non répertoriées")</f>
        <v>4G</v>
      </c>
      <c r="F1109" s="3">
        <f>_xlfn.XLOOKUP(B1109,Tableau13[ID_Antenne],Tableau13[Latitude],"Non répertoriées")</f>
        <v>-6.3324319999999998</v>
      </c>
      <c r="G1109" s="32">
        <f>_xlfn.XLOOKUP(B1109,Tableau13[ID_Antenne],Tableau13[Longitude],"Non répertoriées")</f>
        <v>24.887858000000001</v>
      </c>
      <c r="H1109" t="s">
        <v>5</v>
      </c>
    </row>
    <row r="1110" spans="1:8" x14ac:dyDescent="0.25">
      <c r="A1110" s="1">
        <v>45217.96875</v>
      </c>
      <c r="B1110" t="s">
        <v>685</v>
      </c>
      <c r="C1110" t="str">
        <f>_xlfn.XLOOKUP(B1110,Tableau13[ID_Antenne],Tableau13[Province_RDC],"Non répertoriées")</f>
        <v>Non répertoriées</v>
      </c>
      <c r="D1110">
        <v>107</v>
      </c>
      <c r="E1110" t="str">
        <f>_xlfn.XLOOKUP(B1110,Tableau13[ID_Antenne],Tableau13[Technologie],"Non répertoriées")</f>
        <v>Non répertoriées</v>
      </c>
      <c r="F1110" t="str">
        <f>_xlfn.XLOOKUP(B1110,Tableau13[ID_Antenne],Tableau13[Latitude],"Non répertoriées")</f>
        <v>Non répertoriées</v>
      </c>
      <c r="G1110" t="str">
        <f>_xlfn.XLOOKUP(B1110,Tableau13[ID_Antenne],Tableau13[Longitude],"Non répertoriées")</f>
        <v>Non répertoriées</v>
      </c>
      <c r="H1110" t="s">
        <v>5</v>
      </c>
    </row>
    <row r="1111" spans="1:8" x14ac:dyDescent="0.25">
      <c r="A1111" s="1">
        <v>45205.599999999999</v>
      </c>
      <c r="B1111" t="s">
        <v>500</v>
      </c>
      <c r="C1111" s="29" t="str">
        <f>_xlfn.XLOOKUP(B1111,Tableau13[ID_Antenne],Tableau13[Province_RDC],"Non répertoriées")</f>
        <v>Kasai-Central</v>
      </c>
      <c r="D1111">
        <v>15</v>
      </c>
      <c r="E1111" s="31" t="str">
        <f>_xlfn.XLOOKUP(B1111,Tableau13[ID_Antenne],Tableau13[Technologie],"Non répertoriées")</f>
        <v>3G</v>
      </c>
      <c r="F1111" s="3">
        <f>_xlfn.XLOOKUP(B1111,Tableau13[ID_Antenne],Tableau13[Latitude],"Non répertoriées")</f>
        <v>-7.3379339999999997</v>
      </c>
      <c r="G1111" s="32">
        <f>_xlfn.XLOOKUP(B1111,Tableau13[ID_Antenne],Tableau13[Longitude],"Non répertoriées")</f>
        <v>28.404001999999998</v>
      </c>
      <c r="H1111" t="s">
        <v>10</v>
      </c>
    </row>
    <row r="1112" spans="1:8" x14ac:dyDescent="0.25">
      <c r="A1112" s="1">
        <v>45208.863888888889</v>
      </c>
      <c r="B1112" t="s">
        <v>686</v>
      </c>
      <c r="C1112" t="str">
        <f>_xlfn.XLOOKUP(B1112,Tableau13[ID_Antenne],Tableau13[Province_RDC],"Non répertoriées")</f>
        <v>Non répertoriées</v>
      </c>
      <c r="D1112">
        <v>98</v>
      </c>
      <c r="E1112" t="str">
        <f>_xlfn.XLOOKUP(B1112,Tableau13[ID_Antenne],Tableau13[Technologie],"Non répertoriées")</f>
        <v>Non répertoriées</v>
      </c>
      <c r="F1112" t="str">
        <f>_xlfn.XLOOKUP(B1112,Tableau13[ID_Antenne],Tableau13[Latitude],"Non répertoriées")</f>
        <v>Non répertoriées</v>
      </c>
      <c r="G1112" t="str">
        <f>_xlfn.XLOOKUP(B1112,Tableau13[ID_Antenne],Tableau13[Longitude],"Non répertoriées")</f>
        <v>Non répertoriées</v>
      </c>
      <c r="H1112" t="s">
        <v>5</v>
      </c>
    </row>
    <row r="1113" spans="1:8" x14ac:dyDescent="0.25">
      <c r="A1113" s="1">
        <v>45217.321527777778</v>
      </c>
      <c r="B1113" t="s">
        <v>65</v>
      </c>
      <c r="C1113" t="str">
        <f>_xlfn.XLOOKUP(B1113,Tableau13[ID_Antenne],Tableau13[Province_RDC],"Non répertoriées")</f>
        <v>Non répertoriées</v>
      </c>
      <c r="D1113">
        <v>59</v>
      </c>
      <c r="E1113" t="str">
        <f>_xlfn.XLOOKUP(B1113,Tableau13[ID_Antenne],Tableau13[Technologie],"Non répertoriées")</f>
        <v>Non répertoriées</v>
      </c>
      <c r="F1113" t="str">
        <f>_xlfn.XLOOKUP(B1113,Tableau13[ID_Antenne],Tableau13[Latitude],"Non répertoriées")</f>
        <v>Non répertoriées</v>
      </c>
      <c r="G1113" t="str">
        <f>_xlfn.XLOOKUP(B1113,Tableau13[ID_Antenne],Tableau13[Longitude],"Non répertoriées")</f>
        <v>Non répertoriées</v>
      </c>
      <c r="H1113" t="s">
        <v>10</v>
      </c>
    </row>
    <row r="1114" spans="1:8" x14ac:dyDescent="0.25">
      <c r="A1114" s="1">
        <v>45210.051388888889</v>
      </c>
      <c r="B1114" t="s">
        <v>687</v>
      </c>
      <c r="C1114" s="29" t="str">
        <f>_xlfn.XLOOKUP(B1114,Tableau13[ID_Antenne],Tableau13[Province_RDC],"Non répertoriées")</f>
        <v>Sud-Kivu</v>
      </c>
      <c r="D1114">
        <v>15</v>
      </c>
      <c r="E1114" s="31" t="str">
        <f>_xlfn.XLOOKUP(B1114,Tableau13[ID_Antenne],Tableau13[Technologie],"Non répertoriées")</f>
        <v>3G</v>
      </c>
      <c r="F1114" s="3">
        <f>_xlfn.XLOOKUP(B1114,Tableau13[ID_Antenne],Tableau13[Latitude],"Non répertoriées")</f>
        <v>-3.6233270000000002</v>
      </c>
      <c r="G1114" s="32">
        <f>_xlfn.XLOOKUP(B1114,Tableau13[ID_Antenne],Tableau13[Longitude],"Non répertoriées")</f>
        <v>25.915645999999999</v>
      </c>
      <c r="H1114" t="s">
        <v>8</v>
      </c>
    </row>
    <row r="1115" spans="1:8" x14ac:dyDescent="0.25">
      <c r="A1115" s="1">
        <v>45226.07708333333</v>
      </c>
      <c r="B1115" t="s">
        <v>647</v>
      </c>
      <c r="C1115" s="29" t="str">
        <f>_xlfn.XLOOKUP(B1115,Tableau13[ID_Antenne],Tableau13[Province_RDC],"Non répertoriées")</f>
        <v>Haut-Uele</v>
      </c>
      <c r="D1115">
        <v>60</v>
      </c>
      <c r="E1115" s="31" t="str">
        <f>_xlfn.XLOOKUP(B1115,Tableau13[ID_Antenne],Tableau13[Technologie],"Non répertoriées")</f>
        <v>4G</v>
      </c>
      <c r="F1115" s="3">
        <f>_xlfn.XLOOKUP(B1115,Tableau13[ID_Antenne],Tableau13[Latitude],"Non répertoriées")</f>
        <v>1.0134879999999999</v>
      </c>
      <c r="G1115" s="32">
        <f>_xlfn.XLOOKUP(B1115,Tableau13[ID_Antenne],Tableau13[Longitude],"Non répertoriées")</f>
        <v>20.363515</v>
      </c>
      <c r="H1115" t="s">
        <v>5</v>
      </c>
    </row>
    <row r="1116" spans="1:8" x14ac:dyDescent="0.25">
      <c r="A1116" s="1">
        <v>45210.511805555558</v>
      </c>
      <c r="B1116" t="s">
        <v>232</v>
      </c>
      <c r="C1116" s="29" t="str">
        <f>_xlfn.XLOOKUP(B1116,Tableau13[ID_Antenne],Tableau13[Province_RDC],"Non répertoriées")</f>
        <v>Sud-Kivu</v>
      </c>
      <c r="D1116">
        <v>82</v>
      </c>
      <c r="E1116" s="31" t="str">
        <f>_xlfn.XLOOKUP(B1116,Tableau13[ID_Antenne],Tableau13[Technologie],"Non répertoriées")</f>
        <v>3G</v>
      </c>
      <c r="F1116" s="3">
        <f>_xlfn.XLOOKUP(B1116,Tableau13[ID_Antenne],Tableau13[Latitude],"Non répertoriées")</f>
        <v>-9.3900009999999998</v>
      </c>
      <c r="G1116" s="32">
        <f>_xlfn.XLOOKUP(B1116,Tableau13[ID_Antenne],Tableau13[Longitude],"Non répertoriées")</f>
        <v>30.001517</v>
      </c>
      <c r="H1116" t="s">
        <v>8</v>
      </c>
    </row>
    <row r="1117" spans="1:8" x14ac:dyDescent="0.25">
      <c r="A1117" s="1">
        <v>45202.290277777778</v>
      </c>
      <c r="B1117" t="s">
        <v>426</v>
      </c>
      <c r="C1117" t="str">
        <f>_xlfn.XLOOKUP(B1117,Tableau13[ID_Antenne],Tableau13[Province_RDC],"Non répertoriées")</f>
        <v>Non répertoriées</v>
      </c>
      <c r="D1117">
        <v>110</v>
      </c>
      <c r="E1117" t="str">
        <f>_xlfn.XLOOKUP(B1117,Tableau13[ID_Antenne],Tableau13[Technologie],"Non répertoriées")</f>
        <v>Non répertoriées</v>
      </c>
      <c r="F1117" t="str">
        <f>_xlfn.XLOOKUP(B1117,Tableau13[ID_Antenne],Tableau13[Latitude],"Non répertoriées")</f>
        <v>Non répertoriées</v>
      </c>
      <c r="G1117" t="str">
        <f>_xlfn.XLOOKUP(B1117,Tableau13[ID_Antenne],Tableau13[Longitude],"Non répertoriées")</f>
        <v>Non répertoriées</v>
      </c>
      <c r="H1117" t="s">
        <v>5</v>
      </c>
    </row>
    <row r="1118" spans="1:8" x14ac:dyDescent="0.25">
      <c r="A1118" s="1">
        <v>45230.788888888892</v>
      </c>
      <c r="B1118" t="s">
        <v>681</v>
      </c>
      <c r="C1118" s="29" t="str">
        <f>_xlfn.XLOOKUP(B1118,Tableau13[ID_Antenne],Tableau13[Province_RDC],"Non répertoriées")</f>
        <v>Nord-Kivu</v>
      </c>
      <c r="D1118">
        <v>28</v>
      </c>
      <c r="E1118" s="31" t="str">
        <f>_xlfn.XLOOKUP(B1118,Tableau13[ID_Antenne],Tableau13[Technologie],"Non répertoriées")</f>
        <v>5G</v>
      </c>
      <c r="F1118" s="3">
        <f>_xlfn.XLOOKUP(B1118,Tableau13[ID_Antenne],Tableau13[Latitude],"Non répertoriées")</f>
        <v>-6.0234120000000004</v>
      </c>
      <c r="G1118" s="32">
        <f>_xlfn.XLOOKUP(B1118,Tableau13[ID_Antenne],Tableau13[Longitude],"Non répertoriées")</f>
        <v>18.314309999999999</v>
      </c>
      <c r="H1118" t="s">
        <v>5</v>
      </c>
    </row>
    <row r="1119" spans="1:8" x14ac:dyDescent="0.25">
      <c r="A1119" s="1">
        <v>45222.425694444442</v>
      </c>
      <c r="B1119" t="s">
        <v>667</v>
      </c>
      <c r="C1119" s="29" t="str">
        <f>_xlfn.XLOOKUP(B1119,Tableau13[ID_Antenne],Tableau13[Province_RDC],"Non répertoriées")</f>
        <v>Tshopo</v>
      </c>
      <c r="D1119">
        <v>74</v>
      </c>
      <c r="E1119" s="31" t="str">
        <f>_xlfn.XLOOKUP(B1119,Tableau13[ID_Antenne],Tableau13[Technologie],"Non répertoriées")</f>
        <v>4G</v>
      </c>
      <c r="F1119" s="3">
        <f>_xlfn.XLOOKUP(B1119,Tableau13[ID_Antenne],Tableau13[Latitude],"Non répertoriées")</f>
        <v>-6.4670189999999996</v>
      </c>
      <c r="G1119" s="32">
        <f>_xlfn.XLOOKUP(B1119,Tableau13[ID_Antenne],Tableau13[Longitude],"Non répertoriées")</f>
        <v>29.487309</v>
      </c>
      <c r="H1119" t="s">
        <v>5</v>
      </c>
    </row>
    <row r="1120" spans="1:8" x14ac:dyDescent="0.25">
      <c r="A1120" s="1">
        <v>45220.642361111109</v>
      </c>
      <c r="B1120" t="s">
        <v>36</v>
      </c>
      <c r="C1120" s="29" t="str">
        <f>_xlfn.XLOOKUP(B1120,Tableau13[ID_Antenne],Tableau13[Province_RDC],"Non répertoriées")</f>
        <v>Nord-Ubangi</v>
      </c>
      <c r="D1120">
        <v>42</v>
      </c>
      <c r="E1120" s="31" t="str">
        <f>_xlfn.XLOOKUP(B1120,Tableau13[ID_Antenne],Tableau13[Technologie],"Non répertoriées")</f>
        <v>4G</v>
      </c>
      <c r="F1120" s="3">
        <f>_xlfn.XLOOKUP(B1120,Tableau13[ID_Antenne],Tableau13[Latitude],"Non répertoriées")</f>
        <v>-8.1437910000000002</v>
      </c>
      <c r="G1120" s="32">
        <f>_xlfn.XLOOKUP(B1120,Tableau13[ID_Antenne],Tableau13[Longitude],"Non répertoriées")</f>
        <v>28.946161</v>
      </c>
      <c r="H1120" t="s">
        <v>8</v>
      </c>
    </row>
    <row r="1121" spans="1:8" x14ac:dyDescent="0.25">
      <c r="A1121" s="1">
        <v>45228.853472222218</v>
      </c>
      <c r="B1121" t="s">
        <v>421</v>
      </c>
      <c r="C1121" s="29" t="str">
        <f>_xlfn.XLOOKUP(B1121,Tableau13[ID_Antenne],Tableau13[Province_RDC],"Non répertoriées")</f>
        <v>Nord-Ubangi</v>
      </c>
      <c r="D1121">
        <v>46</v>
      </c>
      <c r="E1121" s="31" t="str">
        <f>_xlfn.XLOOKUP(B1121,Tableau13[ID_Antenne],Tableau13[Technologie],"Non répertoriées")</f>
        <v>3G</v>
      </c>
      <c r="F1121" s="3">
        <f>_xlfn.XLOOKUP(B1121,Tableau13[ID_Antenne],Tableau13[Latitude],"Non répertoriées")</f>
        <v>8.5490999999999998E-2</v>
      </c>
      <c r="G1121" s="32">
        <f>_xlfn.XLOOKUP(B1121,Tableau13[ID_Antenne],Tableau13[Longitude],"Non répertoriées")</f>
        <v>26.296129000000001</v>
      </c>
      <c r="H1121" t="s">
        <v>10</v>
      </c>
    </row>
    <row r="1122" spans="1:8" x14ac:dyDescent="0.25">
      <c r="A1122" s="1">
        <v>45204.338888888888</v>
      </c>
      <c r="B1122" t="s">
        <v>388</v>
      </c>
      <c r="C1122" s="29" t="str">
        <f>_xlfn.XLOOKUP(B1122,Tableau13[ID_Antenne],Tableau13[Province_RDC],"Non répertoriées")</f>
        <v>Bas-Uele</v>
      </c>
      <c r="D1122">
        <v>18</v>
      </c>
      <c r="E1122" s="31" t="str">
        <f>_xlfn.XLOOKUP(B1122,Tableau13[ID_Antenne],Tableau13[Technologie],"Non répertoriées")</f>
        <v>5G</v>
      </c>
      <c r="F1122" s="3">
        <f>_xlfn.XLOOKUP(B1122,Tableau13[ID_Antenne],Tableau13[Latitude],"Non répertoriées")</f>
        <v>-2.8532869999999999</v>
      </c>
      <c r="G1122" s="32">
        <f>_xlfn.XLOOKUP(B1122,Tableau13[ID_Antenne],Tableau13[Longitude],"Non répertoriées")</f>
        <v>22.117896000000002</v>
      </c>
      <c r="H1122" t="s">
        <v>5</v>
      </c>
    </row>
    <row r="1123" spans="1:8" x14ac:dyDescent="0.25">
      <c r="A1123" s="1">
        <v>45207.982638888891</v>
      </c>
      <c r="B1123" t="s">
        <v>335</v>
      </c>
      <c r="C1123" t="str">
        <f>_xlfn.XLOOKUP(B1123,Tableau13[ID_Antenne],Tableau13[Province_RDC],"Non répertoriées")</f>
        <v>Non répertoriées</v>
      </c>
      <c r="D1123">
        <v>15</v>
      </c>
      <c r="E1123" t="str">
        <f>_xlfn.XLOOKUP(B1123,Tableau13[ID_Antenne],Tableau13[Technologie],"Non répertoriées")</f>
        <v>Non répertoriées</v>
      </c>
      <c r="F1123" t="str">
        <f>_xlfn.XLOOKUP(B1123,Tableau13[ID_Antenne],Tableau13[Latitude],"Non répertoriées")</f>
        <v>Non répertoriées</v>
      </c>
      <c r="G1123" t="str">
        <f>_xlfn.XLOOKUP(B1123,Tableau13[ID_Antenne],Tableau13[Longitude],"Non répertoriées")</f>
        <v>Non répertoriées</v>
      </c>
      <c r="H1123" t="s">
        <v>8</v>
      </c>
    </row>
    <row r="1124" spans="1:8" x14ac:dyDescent="0.25">
      <c r="A1124" s="1">
        <v>45217.365972222222</v>
      </c>
      <c r="B1124" t="s">
        <v>173</v>
      </c>
      <c r="C1124" t="str">
        <f>_xlfn.XLOOKUP(B1124,Tableau13[ID_Antenne],Tableau13[Province_RDC],"Non répertoriées")</f>
        <v>Non répertoriées</v>
      </c>
      <c r="D1124">
        <v>46</v>
      </c>
      <c r="E1124" t="str">
        <f>_xlfn.XLOOKUP(B1124,Tableau13[ID_Antenne],Tableau13[Technologie],"Non répertoriées")</f>
        <v>Non répertoriées</v>
      </c>
      <c r="F1124" t="str">
        <f>_xlfn.XLOOKUP(B1124,Tableau13[ID_Antenne],Tableau13[Latitude],"Non répertoriées")</f>
        <v>Non répertoriées</v>
      </c>
      <c r="G1124" t="str">
        <f>_xlfn.XLOOKUP(B1124,Tableau13[ID_Antenne],Tableau13[Longitude],"Non répertoriées")</f>
        <v>Non répertoriées</v>
      </c>
      <c r="H1124" t="s">
        <v>10</v>
      </c>
    </row>
    <row r="1125" spans="1:8" x14ac:dyDescent="0.25">
      <c r="A1125" s="1">
        <v>45218.581250000003</v>
      </c>
      <c r="B1125" t="s">
        <v>288</v>
      </c>
      <c r="C1125" t="str">
        <f>_xlfn.XLOOKUP(B1125,Tableau13[ID_Antenne],Tableau13[Province_RDC],"Non répertoriées")</f>
        <v>Non répertoriées</v>
      </c>
      <c r="D1125">
        <v>89</v>
      </c>
      <c r="E1125" t="str">
        <f>_xlfn.XLOOKUP(B1125,Tableau13[ID_Antenne],Tableau13[Technologie],"Non répertoriées")</f>
        <v>Non répertoriées</v>
      </c>
      <c r="F1125" t="str">
        <f>_xlfn.XLOOKUP(B1125,Tableau13[ID_Antenne],Tableau13[Latitude],"Non répertoriées")</f>
        <v>Non répertoriées</v>
      </c>
      <c r="G1125" t="str">
        <f>_xlfn.XLOOKUP(B1125,Tableau13[ID_Antenne],Tableau13[Longitude],"Non répertoriées")</f>
        <v>Non répertoriées</v>
      </c>
      <c r="H1125" t="s">
        <v>10</v>
      </c>
    </row>
    <row r="1126" spans="1:8" x14ac:dyDescent="0.25">
      <c r="A1126" s="1">
        <v>45218.515972222223</v>
      </c>
      <c r="B1126" t="s">
        <v>464</v>
      </c>
      <c r="C1126" s="29" t="str">
        <f>_xlfn.XLOOKUP(B1126,Tableau13[ID_Antenne],Tableau13[Province_RDC],"Non répertoriées")</f>
        <v>Haut-Uele</v>
      </c>
      <c r="D1126">
        <v>42</v>
      </c>
      <c r="E1126" s="31" t="str">
        <f>_xlfn.XLOOKUP(B1126,Tableau13[ID_Antenne],Tableau13[Technologie],"Non répertoriées")</f>
        <v>5G</v>
      </c>
      <c r="F1126" s="3">
        <f>_xlfn.XLOOKUP(B1126,Tableau13[ID_Antenne],Tableau13[Latitude],"Non répertoriées")</f>
        <v>1.2391989999999999</v>
      </c>
      <c r="G1126" s="32">
        <f>_xlfn.XLOOKUP(B1126,Tableau13[ID_Antenne],Tableau13[Longitude],"Non répertoriées")</f>
        <v>15.386718999999999</v>
      </c>
      <c r="H1126" t="s">
        <v>5</v>
      </c>
    </row>
    <row r="1127" spans="1:8" x14ac:dyDescent="0.25">
      <c r="A1127" s="1">
        <v>45207.188888888893</v>
      </c>
      <c r="B1127" t="s">
        <v>688</v>
      </c>
      <c r="C1127" t="str">
        <f>_xlfn.XLOOKUP(B1127,Tableau13[ID_Antenne],Tableau13[Province_RDC],"Non répertoriées")</f>
        <v>Non répertoriées</v>
      </c>
      <c r="D1127">
        <v>44</v>
      </c>
      <c r="E1127" t="str">
        <f>_xlfn.XLOOKUP(B1127,Tableau13[ID_Antenne],Tableau13[Technologie],"Non répertoriées")</f>
        <v>Non répertoriées</v>
      </c>
      <c r="F1127" t="str">
        <f>_xlfn.XLOOKUP(B1127,Tableau13[ID_Antenne],Tableau13[Latitude],"Non répertoriées")</f>
        <v>Non répertoriées</v>
      </c>
      <c r="G1127" t="str">
        <f>_xlfn.XLOOKUP(B1127,Tableau13[ID_Antenne],Tableau13[Longitude],"Non répertoriées")</f>
        <v>Non répertoriées</v>
      </c>
      <c r="H1127" t="s">
        <v>8</v>
      </c>
    </row>
    <row r="1128" spans="1:8" x14ac:dyDescent="0.25">
      <c r="A1128" s="1">
        <v>45215.116666666669</v>
      </c>
      <c r="B1128" t="s">
        <v>20</v>
      </c>
      <c r="C1128" t="str">
        <f>_xlfn.XLOOKUP(B1128,Tableau13[ID_Antenne],Tableau13[Province_RDC],"Non répertoriées")</f>
        <v>Non répertoriées</v>
      </c>
      <c r="D1128">
        <v>62</v>
      </c>
      <c r="E1128" t="str">
        <f>_xlfn.XLOOKUP(B1128,Tableau13[ID_Antenne],Tableau13[Technologie],"Non répertoriées")</f>
        <v>Non répertoriées</v>
      </c>
      <c r="F1128" t="str">
        <f>_xlfn.XLOOKUP(B1128,Tableau13[ID_Antenne],Tableau13[Latitude],"Non répertoriées")</f>
        <v>Non répertoriées</v>
      </c>
      <c r="G1128" t="str">
        <f>_xlfn.XLOOKUP(B1128,Tableau13[ID_Antenne],Tableau13[Longitude],"Non répertoriées")</f>
        <v>Non répertoriées</v>
      </c>
      <c r="H1128" t="s">
        <v>8</v>
      </c>
    </row>
    <row r="1129" spans="1:8" x14ac:dyDescent="0.25">
      <c r="A1129" s="1">
        <v>45201.131249999999</v>
      </c>
      <c r="B1129" t="s">
        <v>539</v>
      </c>
      <c r="C1129" t="str">
        <f>_xlfn.XLOOKUP(B1129,Tableau13[ID_Antenne],Tableau13[Province_RDC],"Non répertoriées")</f>
        <v>Non répertoriées</v>
      </c>
      <c r="D1129">
        <v>82</v>
      </c>
      <c r="E1129" t="str">
        <f>_xlfn.XLOOKUP(B1129,Tableau13[ID_Antenne],Tableau13[Technologie],"Non répertoriées")</f>
        <v>Non répertoriées</v>
      </c>
      <c r="F1129" t="str">
        <f>_xlfn.XLOOKUP(B1129,Tableau13[ID_Antenne],Tableau13[Latitude],"Non répertoriées")</f>
        <v>Non répertoriées</v>
      </c>
      <c r="G1129" t="str">
        <f>_xlfn.XLOOKUP(B1129,Tableau13[ID_Antenne],Tableau13[Longitude],"Non répertoriées")</f>
        <v>Non répertoriées</v>
      </c>
      <c r="H1129" t="s">
        <v>10</v>
      </c>
    </row>
    <row r="1130" spans="1:8" x14ac:dyDescent="0.25">
      <c r="A1130" s="1">
        <v>45220.243055555547</v>
      </c>
      <c r="B1130" t="s">
        <v>538</v>
      </c>
      <c r="C1130" t="str">
        <f>_xlfn.XLOOKUP(B1130,Tableau13[ID_Antenne],Tableau13[Province_RDC],"Non répertoriées")</f>
        <v>Non répertoriées</v>
      </c>
      <c r="D1130">
        <v>96</v>
      </c>
      <c r="E1130" t="str">
        <f>_xlfn.XLOOKUP(B1130,Tableau13[ID_Antenne],Tableau13[Technologie],"Non répertoriées")</f>
        <v>Non répertoriées</v>
      </c>
      <c r="F1130" t="str">
        <f>_xlfn.XLOOKUP(B1130,Tableau13[ID_Antenne],Tableau13[Latitude],"Non répertoriées")</f>
        <v>Non répertoriées</v>
      </c>
      <c r="G1130" t="str">
        <f>_xlfn.XLOOKUP(B1130,Tableau13[ID_Antenne],Tableau13[Longitude],"Non répertoriées")</f>
        <v>Non répertoriées</v>
      </c>
      <c r="H1130" t="s">
        <v>8</v>
      </c>
    </row>
    <row r="1131" spans="1:8" x14ac:dyDescent="0.25">
      <c r="A1131" s="1">
        <v>45221.568055555559</v>
      </c>
      <c r="B1131" t="s">
        <v>334</v>
      </c>
      <c r="C1131" s="29" t="str">
        <f>_xlfn.XLOOKUP(B1131,Tableau13[ID_Antenne],Tableau13[Province_RDC],"Non répertoriées")</f>
        <v>Ituri</v>
      </c>
      <c r="D1131">
        <v>59</v>
      </c>
      <c r="E1131" s="31" t="str">
        <f>_xlfn.XLOOKUP(B1131,Tableau13[ID_Antenne],Tableau13[Technologie],"Non répertoriées")</f>
        <v>5G</v>
      </c>
      <c r="F1131" s="3">
        <f>_xlfn.XLOOKUP(B1131,Tableau13[ID_Antenne],Tableau13[Latitude],"Non répertoriées")</f>
        <v>-0.34051900000000002</v>
      </c>
      <c r="G1131" s="32">
        <f>_xlfn.XLOOKUP(B1131,Tableau13[ID_Antenne],Tableau13[Longitude],"Non répertoriées")</f>
        <v>17.079799000000001</v>
      </c>
      <c r="H1131" t="s">
        <v>10</v>
      </c>
    </row>
    <row r="1132" spans="1:8" x14ac:dyDescent="0.25">
      <c r="A1132" s="1">
        <v>45202.51666666667</v>
      </c>
      <c r="B1132" t="s">
        <v>543</v>
      </c>
      <c r="C1132" t="str">
        <f>_xlfn.XLOOKUP(B1132,Tableau13[ID_Antenne],Tableau13[Province_RDC],"Non répertoriées")</f>
        <v>Non répertoriées</v>
      </c>
      <c r="D1132">
        <v>26</v>
      </c>
      <c r="E1132" t="str">
        <f>_xlfn.XLOOKUP(B1132,Tableau13[ID_Antenne],Tableau13[Technologie],"Non répertoriées")</f>
        <v>Non répertoriées</v>
      </c>
      <c r="F1132" t="str">
        <f>_xlfn.XLOOKUP(B1132,Tableau13[ID_Antenne],Tableau13[Latitude],"Non répertoriées")</f>
        <v>Non répertoriées</v>
      </c>
      <c r="G1132" t="str">
        <f>_xlfn.XLOOKUP(B1132,Tableau13[ID_Antenne],Tableau13[Longitude],"Non répertoriées")</f>
        <v>Non répertoriées</v>
      </c>
      <c r="H1132" t="s">
        <v>10</v>
      </c>
    </row>
    <row r="1133" spans="1:8" x14ac:dyDescent="0.25">
      <c r="A1133" s="1">
        <v>45219.606249999997</v>
      </c>
      <c r="B1133" t="s">
        <v>265</v>
      </c>
      <c r="C1133" t="str">
        <f>_xlfn.XLOOKUP(B1133,Tableau13[ID_Antenne],Tableau13[Province_RDC],"Non répertoriées")</f>
        <v>Non répertoriées</v>
      </c>
      <c r="D1133">
        <v>93</v>
      </c>
      <c r="E1133" t="str">
        <f>_xlfn.XLOOKUP(B1133,Tableau13[ID_Antenne],Tableau13[Technologie],"Non répertoriées")</f>
        <v>Non répertoriées</v>
      </c>
      <c r="F1133" t="str">
        <f>_xlfn.XLOOKUP(B1133,Tableau13[ID_Antenne],Tableau13[Latitude],"Non répertoriées")</f>
        <v>Non répertoriées</v>
      </c>
      <c r="G1133" t="str">
        <f>_xlfn.XLOOKUP(B1133,Tableau13[ID_Antenne],Tableau13[Longitude],"Non répertoriées")</f>
        <v>Non répertoriées</v>
      </c>
      <c r="H1133" t="s">
        <v>10</v>
      </c>
    </row>
    <row r="1134" spans="1:8" x14ac:dyDescent="0.25">
      <c r="A1134" s="1">
        <v>45208.746527777781</v>
      </c>
      <c r="B1134" t="s">
        <v>674</v>
      </c>
      <c r="C1134" t="str">
        <f>_xlfn.XLOOKUP(B1134,Tableau13[ID_Antenne],Tableau13[Province_RDC],"Non répertoriées")</f>
        <v>Non répertoriées</v>
      </c>
      <c r="D1134">
        <v>61</v>
      </c>
      <c r="E1134" t="str">
        <f>_xlfn.XLOOKUP(B1134,Tableau13[ID_Antenne],Tableau13[Technologie],"Non répertoriées")</f>
        <v>Non répertoriées</v>
      </c>
      <c r="F1134" t="str">
        <f>_xlfn.XLOOKUP(B1134,Tableau13[ID_Antenne],Tableau13[Latitude],"Non répertoriées")</f>
        <v>Non répertoriées</v>
      </c>
      <c r="G1134" t="str">
        <f>_xlfn.XLOOKUP(B1134,Tableau13[ID_Antenne],Tableau13[Longitude],"Non répertoriées")</f>
        <v>Non répertoriées</v>
      </c>
      <c r="H1134" t="s">
        <v>5</v>
      </c>
    </row>
    <row r="1135" spans="1:8" x14ac:dyDescent="0.25">
      <c r="A1135" s="1">
        <v>45230.029861111107</v>
      </c>
      <c r="B1135" t="s">
        <v>689</v>
      </c>
      <c r="C1135" s="29" t="str">
        <f>_xlfn.XLOOKUP(B1135,Tableau13[ID_Antenne],Tableau13[Province_RDC],"Non répertoriées")</f>
        <v>Tshopo</v>
      </c>
      <c r="D1135">
        <v>49</v>
      </c>
      <c r="E1135" s="31" t="str">
        <f>_xlfn.XLOOKUP(B1135,Tableau13[ID_Antenne],Tableau13[Technologie],"Non répertoriées")</f>
        <v>4G</v>
      </c>
      <c r="F1135" s="3">
        <f>_xlfn.XLOOKUP(B1135,Tableau13[ID_Antenne],Tableau13[Latitude],"Non répertoriées")</f>
        <v>1.472051</v>
      </c>
      <c r="G1135" s="32">
        <f>_xlfn.XLOOKUP(B1135,Tableau13[ID_Antenne],Tableau13[Longitude],"Non répertoriées")</f>
        <v>17.36289</v>
      </c>
      <c r="H1135" t="s">
        <v>8</v>
      </c>
    </row>
    <row r="1136" spans="1:8" x14ac:dyDescent="0.25">
      <c r="A1136" s="1">
        <v>45223.154861111107</v>
      </c>
      <c r="B1136" t="s">
        <v>475</v>
      </c>
      <c r="C1136" s="29" t="str">
        <f>_xlfn.XLOOKUP(B1136,Tableau13[ID_Antenne],Tableau13[Province_RDC],"Non répertoriées")</f>
        <v>Ituri</v>
      </c>
      <c r="D1136">
        <v>62</v>
      </c>
      <c r="E1136" s="31" t="str">
        <f>_xlfn.XLOOKUP(B1136,Tableau13[ID_Antenne],Tableau13[Technologie],"Non répertoriées")</f>
        <v>4G</v>
      </c>
      <c r="F1136" s="3">
        <f>_xlfn.XLOOKUP(B1136,Tableau13[ID_Antenne],Tableau13[Latitude],"Non répertoriées")</f>
        <v>-12.595355</v>
      </c>
      <c r="G1136" s="32">
        <f>_xlfn.XLOOKUP(B1136,Tableau13[ID_Antenne],Tableau13[Longitude],"Non répertoriées")</f>
        <v>17.897442000000002</v>
      </c>
      <c r="H1136" t="s">
        <v>5</v>
      </c>
    </row>
    <row r="1137" spans="1:8" x14ac:dyDescent="0.25">
      <c r="A1137" s="1">
        <v>45228.741666666669</v>
      </c>
      <c r="B1137" t="s">
        <v>690</v>
      </c>
      <c r="C1137" t="str">
        <f>_xlfn.XLOOKUP(B1137,Tableau13[ID_Antenne],Tableau13[Province_RDC],"Non répertoriées")</f>
        <v>Non répertoriées</v>
      </c>
      <c r="D1137">
        <v>10</v>
      </c>
      <c r="E1137" t="str">
        <f>_xlfn.XLOOKUP(B1137,Tableau13[ID_Antenne],Tableau13[Technologie],"Non répertoriées")</f>
        <v>Non répertoriées</v>
      </c>
      <c r="F1137" t="str">
        <f>_xlfn.XLOOKUP(B1137,Tableau13[ID_Antenne],Tableau13[Latitude],"Non répertoriées")</f>
        <v>Non répertoriées</v>
      </c>
      <c r="G1137" t="str">
        <f>_xlfn.XLOOKUP(B1137,Tableau13[ID_Antenne],Tableau13[Longitude],"Non répertoriées")</f>
        <v>Non répertoriées</v>
      </c>
      <c r="H1137" t="s">
        <v>10</v>
      </c>
    </row>
    <row r="1138" spans="1:8" x14ac:dyDescent="0.25">
      <c r="A1138" s="1">
        <v>45208.847916666673</v>
      </c>
      <c r="B1138" t="s">
        <v>645</v>
      </c>
      <c r="C1138" t="str">
        <f>_xlfn.XLOOKUP(B1138,Tableau13[ID_Antenne],Tableau13[Province_RDC],"Non répertoriées")</f>
        <v>Non répertoriées</v>
      </c>
      <c r="D1138">
        <v>98</v>
      </c>
      <c r="E1138" t="str">
        <f>_xlfn.XLOOKUP(B1138,Tableau13[ID_Antenne],Tableau13[Technologie],"Non répertoriées")</f>
        <v>Non répertoriées</v>
      </c>
      <c r="F1138" t="str">
        <f>_xlfn.XLOOKUP(B1138,Tableau13[ID_Antenne],Tableau13[Latitude],"Non répertoriées")</f>
        <v>Non répertoriées</v>
      </c>
      <c r="G1138" t="str">
        <f>_xlfn.XLOOKUP(B1138,Tableau13[ID_Antenne],Tableau13[Longitude],"Non répertoriées")</f>
        <v>Non répertoriées</v>
      </c>
      <c r="H1138" t="s">
        <v>8</v>
      </c>
    </row>
    <row r="1139" spans="1:8" x14ac:dyDescent="0.25">
      <c r="A1139" s="1">
        <v>45203.393750000003</v>
      </c>
      <c r="B1139" t="s">
        <v>141</v>
      </c>
      <c r="C1139" t="str">
        <f>_xlfn.XLOOKUP(B1139,Tableau13[ID_Antenne],Tableau13[Province_RDC],"Non répertoriées")</f>
        <v>Non répertoriées</v>
      </c>
      <c r="D1139">
        <v>116</v>
      </c>
      <c r="E1139" t="str">
        <f>_xlfn.XLOOKUP(B1139,Tableau13[ID_Antenne],Tableau13[Technologie],"Non répertoriées")</f>
        <v>Non répertoriées</v>
      </c>
      <c r="F1139" t="str">
        <f>_xlfn.XLOOKUP(B1139,Tableau13[ID_Antenne],Tableau13[Latitude],"Non répertoriées")</f>
        <v>Non répertoriées</v>
      </c>
      <c r="G1139" t="str">
        <f>_xlfn.XLOOKUP(B1139,Tableau13[ID_Antenne],Tableau13[Longitude],"Non répertoriées")</f>
        <v>Non répertoriées</v>
      </c>
      <c r="H1139" t="s">
        <v>8</v>
      </c>
    </row>
    <row r="1140" spans="1:8" x14ac:dyDescent="0.25">
      <c r="A1140" s="1">
        <v>45205.583333333343</v>
      </c>
      <c r="B1140" t="s">
        <v>658</v>
      </c>
      <c r="C1140" s="29" t="str">
        <f>_xlfn.XLOOKUP(B1140,Tableau13[ID_Antenne],Tableau13[Province_RDC],"Non répertoriées")</f>
        <v>Kinshasa</v>
      </c>
      <c r="D1140">
        <v>50</v>
      </c>
      <c r="E1140" s="31" t="str">
        <f>_xlfn.XLOOKUP(B1140,Tableau13[ID_Antenne],Tableau13[Technologie],"Non répertoriées")</f>
        <v>3G</v>
      </c>
      <c r="F1140" s="3">
        <f>_xlfn.XLOOKUP(B1140,Tableau13[ID_Antenne],Tableau13[Latitude],"Non répertoriées")</f>
        <v>-10.227569000000001</v>
      </c>
      <c r="G1140" s="32">
        <f>_xlfn.XLOOKUP(B1140,Tableau13[ID_Antenne],Tableau13[Longitude],"Non répertoriées")</f>
        <v>18.887930999999998</v>
      </c>
      <c r="H1140" t="s">
        <v>10</v>
      </c>
    </row>
    <row r="1141" spans="1:8" x14ac:dyDescent="0.25">
      <c r="A1141" s="1">
        <v>45230.99722222222</v>
      </c>
      <c r="B1141" t="s">
        <v>678</v>
      </c>
      <c r="C1141" t="str">
        <f>_xlfn.XLOOKUP(B1141,Tableau13[ID_Antenne],Tableau13[Province_RDC],"Non répertoriées")</f>
        <v>Non répertoriées</v>
      </c>
      <c r="D1141">
        <v>83</v>
      </c>
      <c r="E1141" t="str">
        <f>_xlfn.XLOOKUP(B1141,Tableau13[ID_Antenne],Tableau13[Technologie],"Non répertoriées")</f>
        <v>Non répertoriées</v>
      </c>
      <c r="F1141" t="str">
        <f>_xlfn.XLOOKUP(B1141,Tableau13[ID_Antenne],Tableau13[Latitude],"Non répertoriées")</f>
        <v>Non répertoriées</v>
      </c>
      <c r="G1141" t="str">
        <f>_xlfn.XLOOKUP(B1141,Tableau13[ID_Antenne],Tableau13[Longitude],"Non répertoriées")</f>
        <v>Non répertoriées</v>
      </c>
      <c r="H1141" t="s">
        <v>8</v>
      </c>
    </row>
    <row r="1142" spans="1:8" x14ac:dyDescent="0.25">
      <c r="A1142" s="1">
        <v>45223.355555555558</v>
      </c>
      <c r="B1142" t="s">
        <v>684</v>
      </c>
      <c r="C1142" s="29" t="str">
        <f>_xlfn.XLOOKUP(B1142,Tableau13[ID_Antenne],Tableau13[Province_RDC],"Non répertoriées")</f>
        <v>Bas-Uele</v>
      </c>
      <c r="D1142">
        <v>60</v>
      </c>
      <c r="E1142" s="31" t="str">
        <f>_xlfn.XLOOKUP(B1142,Tableau13[ID_Antenne],Tableau13[Technologie],"Non répertoriées")</f>
        <v>5G</v>
      </c>
      <c r="F1142" s="3">
        <f>_xlfn.XLOOKUP(B1142,Tableau13[ID_Antenne],Tableau13[Latitude],"Non répertoriées")</f>
        <v>-12.244119</v>
      </c>
      <c r="G1142" s="32">
        <f>_xlfn.XLOOKUP(B1142,Tableau13[ID_Antenne],Tableau13[Longitude],"Non répertoriées")</f>
        <v>28.279755999999999</v>
      </c>
      <c r="H1142" t="s">
        <v>10</v>
      </c>
    </row>
    <row r="1143" spans="1:8" x14ac:dyDescent="0.25">
      <c r="A1143" s="1">
        <v>45224.230555555558</v>
      </c>
      <c r="B1143" t="s">
        <v>599</v>
      </c>
      <c r="C1143" t="str">
        <f>_xlfn.XLOOKUP(B1143,Tableau13[ID_Antenne],Tableau13[Province_RDC],"Non répertoriées")</f>
        <v>Non répertoriées</v>
      </c>
      <c r="D1143">
        <v>40</v>
      </c>
      <c r="E1143" t="str">
        <f>_xlfn.XLOOKUP(B1143,Tableau13[ID_Antenne],Tableau13[Technologie],"Non répertoriées")</f>
        <v>Non répertoriées</v>
      </c>
      <c r="F1143" t="str">
        <f>_xlfn.XLOOKUP(B1143,Tableau13[ID_Antenne],Tableau13[Latitude],"Non répertoriées")</f>
        <v>Non répertoriées</v>
      </c>
      <c r="G1143" t="str">
        <f>_xlfn.XLOOKUP(B1143,Tableau13[ID_Antenne],Tableau13[Longitude],"Non répertoriées")</f>
        <v>Non répertoriées</v>
      </c>
      <c r="H1143" t="s">
        <v>10</v>
      </c>
    </row>
    <row r="1144" spans="1:8" x14ac:dyDescent="0.25">
      <c r="A1144" s="1">
        <v>45229.163194444453</v>
      </c>
      <c r="B1144" t="s">
        <v>631</v>
      </c>
      <c r="C1144" t="str">
        <f>_xlfn.XLOOKUP(B1144,Tableau13[ID_Antenne],Tableau13[Province_RDC],"Non répertoriées")</f>
        <v>Non répertoriées</v>
      </c>
      <c r="D1144">
        <v>86</v>
      </c>
      <c r="E1144" t="str">
        <f>_xlfn.XLOOKUP(B1144,Tableau13[ID_Antenne],Tableau13[Technologie],"Non répertoriées")</f>
        <v>Non répertoriées</v>
      </c>
      <c r="F1144" t="str">
        <f>_xlfn.XLOOKUP(B1144,Tableau13[ID_Antenne],Tableau13[Latitude],"Non répertoriées")</f>
        <v>Non répertoriées</v>
      </c>
      <c r="G1144" t="str">
        <f>_xlfn.XLOOKUP(B1144,Tableau13[ID_Antenne],Tableau13[Longitude],"Non répertoriées")</f>
        <v>Non répertoriées</v>
      </c>
      <c r="H1144" t="s">
        <v>10</v>
      </c>
    </row>
    <row r="1145" spans="1:8" x14ac:dyDescent="0.25">
      <c r="A1145" s="1">
        <v>45220.411805555559</v>
      </c>
      <c r="B1145" t="s">
        <v>442</v>
      </c>
      <c r="C1145" t="str">
        <f>_xlfn.XLOOKUP(B1145,Tableau13[ID_Antenne],Tableau13[Province_RDC],"Non répertoriées")</f>
        <v>Non répertoriées</v>
      </c>
      <c r="D1145">
        <v>106</v>
      </c>
      <c r="E1145" t="str">
        <f>_xlfn.XLOOKUP(B1145,Tableau13[ID_Antenne],Tableau13[Technologie],"Non répertoriées")</f>
        <v>Non répertoriées</v>
      </c>
      <c r="F1145" t="str">
        <f>_xlfn.XLOOKUP(B1145,Tableau13[ID_Antenne],Tableau13[Latitude],"Non répertoriées")</f>
        <v>Non répertoriées</v>
      </c>
      <c r="G1145" t="str">
        <f>_xlfn.XLOOKUP(B1145,Tableau13[ID_Antenne],Tableau13[Longitude],"Non répertoriées")</f>
        <v>Non répertoriées</v>
      </c>
      <c r="H1145" t="s">
        <v>10</v>
      </c>
    </row>
    <row r="1146" spans="1:8" x14ac:dyDescent="0.25">
      <c r="A1146" s="1">
        <v>45220.693055555559</v>
      </c>
      <c r="B1146" t="s">
        <v>691</v>
      </c>
      <c r="C1146" s="29" t="str">
        <f>_xlfn.XLOOKUP(B1146,Tableau13[ID_Antenne],Tableau13[Province_RDC],"Non répertoriées")</f>
        <v>Equateur</v>
      </c>
      <c r="D1146">
        <v>12</v>
      </c>
      <c r="E1146" s="31" t="str">
        <f>_xlfn.XLOOKUP(B1146,Tableau13[ID_Antenne],Tableau13[Technologie],"Non répertoriées")</f>
        <v>4G</v>
      </c>
      <c r="F1146" s="3">
        <f>_xlfn.XLOOKUP(B1146,Tableau13[ID_Antenne],Tableau13[Latitude],"Non répertoriées")</f>
        <v>-3.544581</v>
      </c>
      <c r="G1146" s="32">
        <f>_xlfn.XLOOKUP(B1146,Tableau13[ID_Antenne],Tableau13[Longitude],"Non répertoriées")</f>
        <v>14.776605</v>
      </c>
      <c r="H1146" t="s">
        <v>8</v>
      </c>
    </row>
    <row r="1147" spans="1:8" x14ac:dyDescent="0.25">
      <c r="A1147" s="1">
        <v>45206.182638888888</v>
      </c>
      <c r="B1147" t="s">
        <v>524</v>
      </c>
      <c r="C1147" t="str">
        <f>_xlfn.XLOOKUP(B1147,Tableau13[ID_Antenne],Tableau13[Province_RDC],"Non répertoriées")</f>
        <v>Non répertoriées</v>
      </c>
      <c r="D1147">
        <v>14</v>
      </c>
      <c r="E1147" t="str">
        <f>_xlfn.XLOOKUP(B1147,Tableau13[ID_Antenne],Tableau13[Technologie],"Non répertoriées")</f>
        <v>Non répertoriées</v>
      </c>
      <c r="F1147" t="str">
        <f>_xlfn.XLOOKUP(B1147,Tableau13[ID_Antenne],Tableau13[Latitude],"Non répertoriées")</f>
        <v>Non répertoriées</v>
      </c>
      <c r="G1147" t="str">
        <f>_xlfn.XLOOKUP(B1147,Tableau13[ID_Antenne],Tableau13[Longitude],"Non répertoriées")</f>
        <v>Non répertoriées</v>
      </c>
      <c r="H1147" t="s">
        <v>5</v>
      </c>
    </row>
    <row r="1148" spans="1:8" x14ac:dyDescent="0.25">
      <c r="A1148" s="1">
        <v>45224.231944444437</v>
      </c>
      <c r="B1148" t="s">
        <v>60</v>
      </c>
      <c r="C1148" t="str">
        <f>_xlfn.XLOOKUP(B1148,Tableau13[ID_Antenne],Tableau13[Province_RDC],"Non répertoriées")</f>
        <v>Non répertoriées</v>
      </c>
      <c r="D1148">
        <v>90</v>
      </c>
      <c r="E1148" t="str">
        <f>_xlfn.XLOOKUP(B1148,Tableau13[ID_Antenne],Tableau13[Technologie],"Non répertoriées")</f>
        <v>Non répertoriées</v>
      </c>
      <c r="F1148" t="str">
        <f>_xlfn.XLOOKUP(B1148,Tableau13[ID_Antenne],Tableau13[Latitude],"Non répertoriées")</f>
        <v>Non répertoriées</v>
      </c>
      <c r="G1148" t="str">
        <f>_xlfn.XLOOKUP(B1148,Tableau13[ID_Antenne],Tableau13[Longitude],"Non répertoriées")</f>
        <v>Non répertoriées</v>
      </c>
      <c r="H1148" t="s">
        <v>8</v>
      </c>
    </row>
    <row r="1149" spans="1:8" x14ac:dyDescent="0.25">
      <c r="A1149" s="1">
        <v>45230.706944444442</v>
      </c>
      <c r="B1149" t="s">
        <v>154</v>
      </c>
      <c r="C1149" t="str">
        <f>_xlfn.XLOOKUP(B1149,Tableau13[ID_Antenne],Tableau13[Province_RDC],"Non répertoriées")</f>
        <v>Non répertoriées</v>
      </c>
      <c r="D1149">
        <v>86</v>
      </c>
      <c r="E1149" t="str">
        <f>_xlfn.XLOOKUP(B1149,Tableau13[ID_Antenne],Tableau13[Technologie],"Non répertoriées")</f>
        <v>Non répertoriées</v>
      </c>
      <c r="F1149" t="str">
        <f>_xlfn.XLOOKUP(B1149,Tableau13[ID_Antenne],Tableau13[Latitude],"Non répertoriées")</f>
        <v>Non répertoriées</v>
      </c>
      <c r="G1149" t="str">
        <f>_xlfn.XLOOKUP(B1149,Tableau13[ID_Antenne],Tableau13[Longitude],"Non répertoriées")</f>
        <v>Non répertoriées</v>
      </c>
      <c r="H1149" t="s">
        <v>5</v>
      </c>
    </row>
    <row r="1150" spans="1:8" x14ac:dyDescent="0.25">
      <c r="A1150" s="1">
        <v>45200.805555555547</v>
      </c>
      <c r="B1150" t="s">
        <v>692</v>
      </c>
      <c r="C1150" t="str">
        <f>_xlfn.XLOOKUP(B1150,Tableau13[ID_Antenne],Tableau13[Province_RDC],"Non répertoriées")</f>
        <v>Non répertoriées</v>
      </c>
      <c r="D1150">
        <v>56</v>
      </c>
      <c r="E1150" t="str">
        <f>_xlfn.XLOOKUP(B1150,Tableau13[ID_Antenne],Tableau13[Technologie],"Non répertoriées")</f>
        <v>Non répertoriées</v>
      </c>
      <c r="F1150" t="str">
        <f>_xlfn.XLOOKUP(B1150,Tableau13[ID_Antenne],Tableau13[Latitude],"Non répertoriées")</f>
        <v>Non répertoriées</v>
      </c>
      <c r="G1150" t="str">
        <f>_xlfn.XLOOKUP(B1150,Tableau13[ID_Antenne],Tableau13[Longitude],"Non répertoriées")</f>
        <v>Non répertoriées</v>
      </c>
      <c r="H1150" t="s">
        <v>8</v>
      </c>
    </row>
    <row r="1151" spans="1:8" x14ac:dyDescent="0.25">
      <c r="A1151" s="1">
        <v>45215.004861111112</v>
      </c>
      <c r="B1151" t="s">
        <v>83</v>
      </c>
      <c r="C1151" s="29" t="str">
        <f>_xlfn.XLOOKUP(B1151,Tableau13[ID_Antenne],Tableau13[Province_RDC],"Non répertoriées")</f>
        <v>Nord-Ubangi</v>
      </c>
      <c r="D1151">
        <v>51</v>
      </c>
      <c r="E1151" s="31" t="str">
        <f>_xlfn.XLOOKUP(B1151,Tableau13[ID_Antenne],Tableau13[Technologie],"Non répertoriées")</f>
        <v>5G</v>
      </c>
      <c r="F1151" s="3">
        <f>_xlfn.XLOOKUP(B1151,Tableau13[ID_Antenne],Tableau13[Latitude],"Non répertoriées")</f>
        <v>0.94539899999999999</v>
      </c>
      <c r="G1151" s="32">
        <f>_xlfn.XLOOKUP(B1151,Tableau13[ID_Antenne],Tableau13[Longitude],"Non répertoriées")</f>
        <v>14.401821999999999</v>
      </c>
      <c r="H1151" t="s">
        <v>10</v>
      </c>
    </row>
    <row r="1152" spans="1:8" x14ac:dyDescent="0.25">
      <c r="A1152" s="1">
        <v>45229.49722222222</v>
      </c>
      <c r="B1152" t="s">
        <v>678</v>
      </c>
      <c r="C1152" t="str">
        <f>_xlfn.XLOOKUP(B1152,Tableau13[ID_Antenne],Tableau13[Province_RDC],"Non répertoriées")</f>
        <v>Non répertoriées</v>
      </c>
      <c r="D1152">
        <v>70</v>
      </c>
      <c r="E1152" t="str">
        <f>_xlfn.XLOOKUP(B1152,Tableau13[ID_Antenne],Tableau13[Technologie],"Non répertoriées")</f>
        <v>Non répertoriées</v>
      </c>
      <c r="F1152" t="str">
        <f>_xlfn.XLOOKUP(B1152,Tableau13[ID_Antenne],Tableau13[Latitude],"Non répertoriées")</f>
        <v>Non répertoriées</v>
      </c>
      <c r="G1152" t="str">
        <f>_xlfn.XLOOKUP(B1152,Tableau13[ID_Antenne],Tableau13[Longitude],"Non répertoriées")</f>
        <v>Non répertoriées</v>
      </c>
      <c r="H1152" t="s">
        <v>8</v>
      </c>
    </row>
    <row r="1153" spans="1:8" x14ac:dyDescent="0.25">
      <c r="A1153" s="1">
        <v>45226.385416666657</v>
      </c>
      <c r="B1153" t="s">
        <v>41</v>
      </c>
      <c r="C1153" t="str">
        <f>_xlfn.XLOOKUP(B1153,Tableau13[ID_Antenne],Tableau13[Province_RDC],"Non répertoriées")</f>
        <v>Non répertoriées</v>
      </c>
      <c r="D1153">
        <v>107</v>
      </c>
      <c r="E1153" t="str">
        <f>_xlfn.XLOOKUP(B1153,Tableau13[ID_Antenne],Tableau13[Technologie],"Non répertoriées")</f>
        <v>Non répertoriées</v>
      </c>
      <c r="F1153" t="str">
        <f>_xlfn.XLOOKUP(B1153,Tableau13[ID_Antenne],Tableau13[Latitude],"Non répertoriées")</f>
        <v>Non répertoriées</v>
      </c>
      <c r="G1153" t="str">
        <f>_xlfn.XLOOKUP(B1153,Tableau13[ID_Antenne],Tableau13[Longitude],"Non répertoriées")</f>
        <v>Non répertoriées</v>
      </c>
      <c r="H1153" t="s">
        <v>8</v>
      </c>
    </row>
    <row r="1154" spans="1:8" x14ac:dyDescent="0.25">
      <c r="A1154" s="1">
        <v>45201.330555555563</v>
      </c>
      <c r="B1154" t="s">
        <v>582</v>
      </c>
      <c r="C1154" s="29" t="str">
        <f>_xlfn.XLOOKUP(B1154,Tableau13[ID_Antenne],Tableau13[Province_RDC],"Non répertoriées")</f>
        <v>Kongo-Central</v>
      </c>
      <c r="D1154">
        <v>100</v>
      </c>
      <c r="E1154" s="31" t="str">
        <f>_xlfn.XLOOKUP(B1154,Tableau13[ID_Antenne],Tableau13[Technologie],"Non répertoriées")</f>
        <v>5G</v>
      </c>
      <c r="F1154" s="3">
        <f>_xlfn.XLOOKUP(B1154,Tableau13[ID_Antenne],Tableau13[Latitude],"Non répertoriées")</f>
        <v>-10.977309</v>
      </c>
      <c r="G1154" s="32">
        <f>_xlfn.XLOOKUP(B1154,Tableau13[ID_Antenne],Tableau13[Longitude],"Non répertoriées")</f>
        <v>12.408281000000001</v>
      </c>
      <c r="H1154" t="s">
        <v>8</v>
      </c>
    </row>
    <row r="1155" spans="1:8" x14ac:dyDescent="0.25">
      <c r="A1155" s="1">
        <v>45218.086805555547</v>
      </c>
      <c r="B1155" t="s">
        <v>288</v>
      </c>
      <c r="C1155" t="str">
        <f>_xlfn.XLOOKUP(B1155,Tableau13[ID_Antenne],Tableau13[Province_RDC],"Non répertoriées")</f>
        <v>Non répertoriées</v>
      </c>
      <c r="D1155">
        <v>91</v>
      </c>
      <c r="E1155" t="str">
        <f>_xlfn.XLOOKUP(B1155,Tableau13[ID_Antenne],Tableau13[Technologie],"Non répertoriées")</f>
        <v>Non répertoriées</v>
      </c>
      <c r="F1155" t="str">
        <f>_xlfn.XLOOKUP(B1155,Tableau13[ID_Antenne],Tableau13[Latitude],"Non répertoriées")</f>
        <v>Non répertoriées</v>
      </c>
      <c r="G1155" t="str">
        <f>_xlfn.XLOOKUP(B1155,Tableau13[ID_Antenne],Tableau13[Longitude],"Non répertoriées")</f>
        <v>Non répertoriées</v>
      </c>
      <c r="H1155" t="s">
        <v>10</v>
      </c>
    </row>
    <row r="1156" spans="1:8" x14ac:dyDescent="0.25">
      <c r="A1156" s="1">
        <v>45223.661111111112</v>
      </c>
      <c r="B1156" t="s">
        <v>693</v>
      </c>
      <c r="C1156" t="str">
        <f>_xlfn.XLOOKUP(B1156,Tableau13[ID_Antenne],Tableau13[Province_RDC],"Non répertoriées")</f>
        <v>Non répertoriées</v>
      </c>
      <c r="D1156">
        <v>25</v>
      </c>
      <c r="E1156" t="str">
        <f>_xlfn.XLOOKUP(B1156,Tableau13[ID_Antenne],Tableau13[Technologie],"Non répertoriées")</f>
        <v>Non répertoriées</v>
      </c>
      <c r="F1156" t="str">
        <f>_xlfn.XLOOKUP(B1156,Tableau13[ID_Antenne],Tableau13[Latitude],"Non répertoriées")</f>
        <v>Non répertoriées</v>
      </c>
      <c r="G1156" t="str">
        <f>_xlfn.XLOOKUP(B1156,Tableau13[ID_Antenne],Tableau13[Longitude],"Non répertoriées")</f>
        <v>Non répertoriées</v>
      </c>
      <c r="H1156" t="s">
        <v>5</v>
      </c>
    </row>
    <row r="1157" spans="1:8" x14ac:dyDescent="0.25">
      <c r="A1157" s="1">
        <v>45202.742361111108</v>
      </c>
      <c r="B1157" t="s">
        <v>694</v>
      </c>
      <c r="C1157" t="str">
        <f>_xlfn.XLOOKUP(B1157,Tableau13[ID_Antenne],Tableau13[Province_RDC],"Non répertoriées")</f>
        <v>Non répertoriées</v>
      </c>
      <c r="D1157">
        <v>8</v>
      </c>
      <c r="E1157" t="str">
        <f>_xlfn.XLOOKUP(B1157,Tableau13[ID_Antenne],Tableau13[Technologie],"Non répertoriées")</f>
        <v>Non répertoriées</v>
      </c>
      <c r="F1157" t="str">
        <f>_xlfn.XLOOKUP(B1157,Tableau13[ID_Antenne],Tableau13[Latitude],"Non répertoriées")</f>
        <v>Non répertoriées</v>
      </c>
      <c r="G1157" t="str">
        <f>_xlfn.XLOOKUP(B1157,Tableau13[ID_Antenne],Tableau13[Longitude],"Non répertoriées")</f>
        <v>Non répertoriées</v>
      </c>
      <c r="H1157" t="s">
        <v>8</v>
      </c>
    </row>
    <row r="1158" spans="1:8" x14ac:dyDescent="0.25">
      <c r="A1158" s="1">
        <v>45204.195833333331</v>
      </c>
      <c r="B1158" t="s">
        <v>558</v>
      </c>
      <c r="C1158" t="str">
        <f>_xlfn.XLOOKUP(B1158,Tableau13[ID_Antenne],Tableau13[Province_RDC],"Non répertoriées")</f>
        <v>Non répertoriées</v>
      </c>
      <c r="D1158">
        <v>23</v>
      </c>
      <c r="E1158" t="str">
        <f>_xlfn.XLOOKUP(B1158,Tableau13[ID_Antenne],Tableau13[Technologie],"Non répertoriées")</f>
        <v>Non répertoriées</v>
      </c>
      <c r="F1158" t="str">
        <f>_xlfn.XLOOKUP(B1158,Tableau13[ID_Antenne],Tableau13[Latitude],"Non répertoriées")</f>
        <v>Non répertoriées</v>
      </c>
      <c r="G1158" t="str">
        <f>_xlfn.XLOOKUP(B1158,Tableau13[ID_Antenne],Tableau13[Longitude],"Non répertoriées")</f>
        <v>Non répertoriées</v>
      </c>
      <c r="H1158" t="s">
        <v>10</v>
      </c>
    </row>
    <row r="1159" spans="1:8" x14ac:dyDescent="0.25">
      <c r="A1159" s="1">
        <v>45215.715277777781</v>
      </c>
      <c r="B1159" t="s">
        <v>695</v>
      </c>
      <c r="C1159" t="str">
        <f>_xlfn.XLOOKUP(B1159,Tableau13[ID_Antenne],Tableau13[Province_RDC],"Non répertoriées")</f>
        <v>Non répertoriées</v>
      </c>
      <c r="D1159">
        <v>113</v>
      </c>
      <c r="E1159" t="str">
        <f>_xlfn.XLOOKUP(B1159,Tableau13[ID_Antenne],Tableau13[Technologie],"Non répertoriées")</f>
        <v>Non répertoriées</v>
      </c>
      <c r="F1159" t="str">
        <f>_xlfn.XLOOKUP(B1159,Tableau13[ID_Antenne],Tableau13[Latitude],"Non répertoriées")</f>
        <v>Non répertoriées</v>
      </c>
      <c r="G1159" t="str">
        <f>_xlfn.XLOOKUP(B1159,Tableau13[ID_Antenne],Tableau13[Longitude],"Non répertoriées")</f>
        <v>Non répertoriées</v>
      </c>
      <c r="H1159" t="s">
        <v>5</v>
      </c>
    </row>
    <row r="1160" spans="1:8" x14ac:dyDescent="0.25">
      <c r="A1160" s="1">
        <v>45208.704861111109</v>
      </c>
      <c r="B1160" t="s">
        <v>673</v>
      </c>
      <c r="C1160" t="str">
        <f>_xlfn.XLOOKUP(B1160,Tableau13[ID_Antenne],Tableau13[Province_RDC],"Non répertoriées")</f>
        <v>Non répertoriées</v>
      </c>
      <c r="D1160">
        <v>82</v>
      </c>
      <c r="E1160" t="str">
        <f>_xlfn.XLOOKUP(B1160,Tableau13[ID_Antenne],Tableau13[Technologie],"Non répertoriées")</f>
        <v>Non répertoriées</v>
      </c>
      <c r="F1160" t="str">
        <f>_xlfn.XLOOKUP(B1160,Tableau13[ID_Antenne],Tableau13[Latitude],"Non répertoriées")</f>
        <v>Non répertoriées</v>
      </c>
      <c r="G1160" t="str">
        <f>_xlfn.XLOOKUP(B1160,Tableau13[ID_Antenne],Tableau13[Longitude],"Non répertoriées")</f>
        <v>Non répertoriées</v>
      </c>
      <c r="H1160" t="s">
        <v>10</v>
      </c>
    </row>
    <row r="1161" spans="1:8" x14ac:dyDescent="0.25">
      <c r="A1161" s="1">
        <v>45219.550694444442</v>
      </c>
      <c r="B1161" t="s">
        <v>385</v>
      </c>
      <c r="C1161" s="29" t="str">
        <f>_xlfn.XLOOKUP(B1161,Tableau13[ID_Antenne],Tableau13[Province_RDC],"Non répertoriées")</f>
        <v>Equateur</v>
      </c>
      <c r="D1161">
        <v>91</v>
      </c>
      <c r="E1161" s="31" t="str">
        <f>_xlfn.XLOOKUP(B1161,Tableau13[ID_Antenne],Tableau13[Technologie],"Non répertoriées")</f>
        <v>5G</v>
      </c>
      <c r="F1161" s="3">
        <f>_xlfn.XLOOKUP(B1161,Tableau13[ID_Antenne],Tableau13[Latitude],"Non répertoriées")</f>
        <v>-0.79459900000000006</v>
      </c>
      <c r="G1161" s="32">
        <f>_xlfn.XLOOKUP(B1161,Tableau13[ID_Antenne],Tableau13[Longitude],"Non répertoriées")</f>
        <v>26.775570999999999</v>
      </c>
      <c r="H1161" t="s">
        <v>5</v>
      </c>
    </row>
    <row r="1162" spans="1:8" x14ac:dyDescent="0.25">
      <c r="A1162" s="1">
        <v>45229.741666666669</v>
      </c>
      <c r="B1162" t="s">
        <v>696</v>
      </c>
      <c r="C1162" t="str">
        <f>_xlfn.XLOOKUP(B1162,Tableau13[ID_Antenne],Tableau13[Province_RDC],"Non répertoriées")</f>
        <v>Non répertoriées</v>
      </c>
      <c r="D1162">
        <v>105</v>
      </c>
      <c r="E1162" t="str">
        <f>_xlfn.XLOOKUP(B1162,Tableau13[ID_Antenne],Tableau13[Technologie],"Non répertoriées")</f>
        <v>Non répertoriées</v>
      </c>
      <c r="F1162" t="str">
        <f>_xlfn.XLOOKUP(B1162,Tableau13[ID_Antenne],Tableau13[Latitude],"Non répertoriées")</f>
        <v>Non répertoriées</v>
      </c>
      <c r="G1162" t="str">
        <f>_xlfn.XLOOKUP(B1162,Tableau13[ID_Antenne],Tableau13[Longitude],"Non répertoriées")</f>
        <v>Non répertoriées</v>
      </c>
      <c r="H1162" t="s">
        <v>10</v>
      </c>
    </row>
    <row r="1163" spans="1:8" x14ac:dyDescent="0.25">
      <c r="A1163" s="1">
        <v>45222.392361111109</v>
      </c>
      <c r="B1163" t="s">
        <v>676</v>
      </c>
      <c r="C1163" t="str">
        <f>_xlfn.XLOOKUP(B1163,Tableau13[ID_Antenne],Tableau13[Province_RDC],"Non répertoriées")</f>
        <v>Non répertoriées</v>
      </c>
      <c r="D1163">
        <v>9</v>
      </c>
      <c r="E1163" t="str">
        <f>_xlfn.XLOOKUP(B1163,Tableau13[ID_Antenne],Tableau13[Technologie],"Non répertoriées")</f>
        <v>Non répertoriées</v>
      </c>
      <c r="F1163" t="str">
        <f>_xlfn.XLOOKUP(B1163,Tableau13[ID_Antenne],Tableau13[Latitude],"Non répertoriées")</f>
        <v>Non répertoriées</v>
      </c>
      <c r="G1163" t="str">
        <f>_xlfn.XLOOKUP(B1163,Tableau13[ID_Antenne],Tableau13[Longitude],"Non répertoriées")</f>
        <v>Non répertoriées</v>
      </c>
      <c r="H1163" t="s">
        <v>10</v>
      </c>
    </row>
    <row r="1164" spans="1:8" x14ac:dyDescent="0.25">
      <c r="A1164" s="1">
        <v>45221.849305555559</v>
      </c>
      <c r="B1164" t="s">
        <v>186</v>
      </c>
      <c r="C1164" s="29" t="str">
        <f>_xlfn.XLOOKUP(B1164,Tableau13[ID_Antenne],Tableau13[Province_RDC],"Non répertoriées")</f>
        <v>Mai-Ndombe</v>
      </c>
      <c r="D1164">
        <v>21</v>
      </c>
      <c r="E1164" s="31" t="str">
        <f>_xlfn.XLOOKUP(B1164,Tableau13[ID_Antenne],Tableau13[Technologie],"Non répertoriées")</f>
        <v>4G</v>
      </c>
      <c r="F1164" s="3">
        <f>_xlfn.XLOOKUP(B1164,Tableau13[ID_Antenne],Tableau13[Latitude],"Non répertoriées")</f>
        <v>-9.3652280000000001</v>
      </c>
      <c r="G1164" s="32">
        <f>_xlfn.XLOOKUP(B1164,Tableau13[ID_Antenne],Tableau13[Longitude],"Non répertoriées")</f>
        <v>18.674116000000001</v>
      </c>
      <c r="H1164" t="s">
        <v>10</v>
      </c>
    </row>
    <row r="1165" spans="1:8" x14ac:dyDescent="0.25">
      <c r="A1165" s="1">
        <v>45214.686111111107</v>
      </c>
      <c r="B1165" t="s">
        <v>421</v>
      </c>
      <c r="C1165" s="29" t="str">
        <f>_xlfn.XLOOKUP(B1165,Tableau13[ID_Antenne],Tableau13[Province_RDC],"Non répertoriées")</f>
        <v>Nord-Ubangi</v>
      </c>
      <c r="D1165">
        <v>13</v>
      </c>
      <c r="E1165" s="31" t="str">
        <f>_xlfn.XLOOKUP(B1165,Tableau13[ID_Antenne],Tableau13[Technologie],"Non répertoriées")</f>
        <v>3G</v>
      </c>
      <c r="F1165" s="3">
        <f>_xlfn.XLOOKUP(B1165,Tableau13[ID_Antenne],Tableau13[Latitude],"Non répertoriées")</f>
        <v>8.5490999999999998E-2</v>
      </c>
      <c r="G1165" s="32">
        <f>_xlfn.XLOOKUP(B1165,Tableau13[ID_Antenne],Tableau13[Longitude],"Non répertoriées")</f>
        <v>26.296129000000001</v>
      </c>
      <c r="H1165" t="s">
        <v>10</v>
      </c>
    </row>
    <row r="1166" spans="1:8" x14ac:dyDescent="0.25">
      <c r="A1166" s="1">
        <v>45203.301388888889</v>
      </c>
      <c r="B1166" t="s">
        <v>697</v>
      </c>
      <c r="C1166" t="str">
        <f>_xlfn.XLOOKUP(B1166,Tableau13[ID_Antenne],Tableau13[Province_RDC],"Non répertoriées")</f>
        <v>Non répertoriées</v>
      </c>
      <c r="D1166">
        <v>35</v>
      </c>
      <c r="E1166" t="str">
        <f>_xlfn.XLOOKUP(B1166,Tableau13[ID_Antenne],Tableau13[Technologie],"Non répertoriées")</f>
        <v>Non répertoriées</v>
      </c>
      <c r="F1166" t="str">
        <f>_xlfn.XLOOKUP(B1166,Tableau13[ID_Antenne],Tableau13[Latitude],"Non répertoriées")</f>
        <v>Non répertoriées</v>
      </c>
      <c r="G1166" t="str">
        <f>_xlfn.XLOOKUP(B1166,Tableau13[ID_Antenne],Tableau13[Longitude],"Non répertoriées")</f>
        <v>Non répertoriées</v>
      </c>
      <c r="H1166" t="s">
        <v>8</v>
      </c>
    </row>
    <row r="1167" spans="1:8" x14ac:dyDescent="0.25">
      <c r="A1167" s="1">
        <v>45202.417361111111</v>
      </c>
      <c r="B1167" t="s">
        <v>698</v>
      </c>
      <c r="C1167" t="str">
        <f>_xlfn.XLOOKUP(B1167,Tableau13[ID_Antenne],Tableau13[Province_RDC],"Non répertoriées")</f>
        <v>Non répertoriées</v>
      </c>
      <c r="D1167">
        <v>104</v>
      </c>
      <c r="E1167" t="str">
        <f>_xlfn.XLOOKUP(B1167,Tableau13[ID_Antenne],Tableau13[Technologie],"Non répertoriées")</f>
        <v>Non répertoriées</v>
      </c>
      <c r="F1167" t="str">
        <f>_xlfn.XLOOKUP(B1167,Tableau13[ID_Antenne],Tableau13[Latitude],"Non répertoriées")</f>
        <v>Non répertoriées</v>
      </c>
      <c r="G1167" t="str">
        <f>_xlfn.XLOOKUP(B1167,Tableau13[ID_Antenne],Tableau13[Longitude],"Non répertoriées")</f>
        <v>Non répertoriées</v>
      </c>
      <c r="H1167" t="s">
        <v>8</v>
      </c>
    </row>
    <row r="1168" spans="1:8" x14ac:dyDescent="0.25">
      <c r="A1168" s="1">
        <v>45218.718055555553</v>
      </c>
      <c r="B1168" t="s">
        <v>348</v>
      </c>
      <c r="C1168" t="str">
        <f>_xlfn.XLOOKUP(B1168,Tableau13[ID_Antenne],Tableau13[Province_RDC],"Non répertoriées")</f>
        <v>Non répertoriées</v>
      </c>
      <c r="D1168">
        <v>87</v>
      </c>
      <c r="E1168" t="str">
        <f>_xlfn.XLOOKUP(B1168,Tableau13[ID_Antenne],Tableau13[Technologie],"Non répertoriées")</f>
        <v>Non répertoriées</v>
      </c>
      <c r="F1168" t="str">
        <f>_xlfn.XLOOKUP(B1168,Tableau13[ID_Antenne],Tableau13[Latitude],"Non répertoriées")</f>
        <v>Non répertoriées</v>
      </c>
      <c r="G1168" t="str">
        <f>_xlfn.XLOOKUP(B1168,Tableau13[ID_Antenne],Tableau13[Longitude],"Non répertoriées")</f>
        <v>Non répertoriées</v>
      </c>
      <c r="H1168" t="s">
        <v>5</v>
      </c>
    </row>
    <row r="1169" spans="1:8" x14ac:dyDescent="0.25">
      <c r="A1169" s="1">
        <v>45218.291666666657</v>
      </c>
      <c r="B1169" t="s">
        <v>699</v>
      </c>
      <c r="C1169" t="str">
        <f>_xlfn.XLOOKUP(B1169,Tableau13[ID_Antenne],Tableau13[Province_RDC],"Non répertoriées")</f>
        <v>Non répertoriées</v>
      </c>
      <c r="D1169">
        <v>51</v>
      </c>
      <c r="E1169" t="str">
        <f>_xlfn.XLOOKUP(B1169,Tableau13[ID_Antenne],Tableau13[Technologie],"Non répertoriées")</f>
        <v>Non répertoriées</v>
      </c>
      <c r="F1169" t="str">
        <f>_xlfn.XLOOKUP(B1169,Tableau13[ID_Antenne],Tableau13[Latitude],"Non répertoriées")</f>
        <v>Non répertoriées</v>
      </c>
      <c r="G1169" t="str">
        <f>_xlfn.XLOOKUP(B1169,Tableau13[ID_Antenne],Tableau13[Longitude],"Non répertoriées")</f>
        <v>Non répertoriées</v>
      </c>
      <c r="H1169" t="s">
        <v>8</v>
      </c>
    </row>
    <row r="1170" spans="1:8" x14ac:dyDescent="0.25">
      <c r="A1170" s="1">
        <v>45202.944444444453</v>
      </c>
      <c r="B1170" t="s">
        <v>638</v>
      </c>
      <c r="C1170" s="29" t="str">
        <f>_xlfn.XLOOKUP(B1170,Tableau13[ID_Antenne],Tableau13[Province_RDC],"Non répertoriées")</f>
        <v>Kasai-Central</v>
      </c>
      <c r="D1170">
        <v>51</v>
      </c>
      <c r="E1170" s="31" t="str">
        <f>_xlfn.XLOOKUP(B1170,Tableau13[ID_Antenne],Tableau13[Technologie],"Non répertoriées")</f>
        <v>5G</v>
      </c>
      <c r="F1170" s="3">
        <f>_xlfn.XLOOKUP(B1170,Tableau13[ID_Antenne],Tableau13[Latitude],"Non répertoriées")</f>
        <v>-8.0800809999999998</v>
      </c>
      <c r="G1170" s="32">
        <f>_xlfn.XLOOKUP(B1170,Tableau13[ID_Antenne],Tableau13[Longitude],"Non répertoriées")</f>
        <v>30.147970999999998</v>
      </c>
      <c r="H1170" t="s">
        <v>10</v>
      </c>
    </row>
    <row r="1171" spans="1:8" x14ac:dyDescent="0.25">
      <c r="A1171" s="1">
        <v>45201.294444444437</v>
      </c>
      <c r="B1171" t="s">
        <v>48</v>
      </c>
      <c r="C1171" t="str">
        <f>_xlfn.XLOOKUP(B1171,Tableau13[ID_Antenne],Tableau13[Province_RDC],"Non répertoriées")</f>
        <v>Non répertoriées</v>
      </c>
      <c r="D1171">
        <v>54</v>
      </c>
      <c r="E1171" t="str">
        <f>_xlfn.XLOOKUP(B1171,Tableau13[ID_Antenne],Tableau13[Technologie],"Non répertoriées")</f>
        <v>Non répertoriées</v>
      </c>
      <c r="F1171" t="str">
        <f>_xlfn.XLOOKUP(B1171,Tableau13[ID_Antenne],Tableau13[Latitude],"Non répertoriées")</f>
        <v>Non répertoriées</v>
      </c>
      <c r="G1171" t="str">
        <f>_xlfn.XLOOKUP(B1171,Tableau13[ID_Antenne],Tableau13[Longitude],"Non répertoriées")</f>
        <v>Non répertoriées</v>
      </c>
      <c r="H1171" t="s">
        <v>10</v>
      </c>
    </row>
    <row r="1172" spans="1:8" x14ac:dyDescent="0.25">
      <c r="A1172" s="1">
        <v>45210.105555555558</v>
      </c>
      <c r="B1172" t="s">
        <v>700</v>
      </c>
      <c r="C1172" t="str">
        <f>_xlfn.XLOOKUP(B1172,Tableau13[ID_Antenne],Tableau13[Province_RDC],"Non répertoriées")</f>
        <v>Non répertoriées</v>
      </c>
      <c r="D1172">
        <v>9</v>
      </c>
      <c r="E1172" t="str">
        <f>_xlfn.XLOOKUP(B1172,Tableau13[ID_Antenne],Tableau13[Technologie],"Non répertoriées")</f>
        <v>Non répertoriées</v>
      </c>
      <c r="F1172" t="str">
        <f>_xlfn.XLOOKUP(B1172,Tableau13[ID_Antenne],Tableau13[Latitude],"Non répertoriées")</f>
        <v>Non répertoriées</v>
      </c>
      <c r="G1172" t="str">
        <f>_xlfn.XLOOKUP(B1172,Tableau13[ID_Antenne],Tableau13[Longitude],"Non répertoriées")</f>
        <v>Non répertoriées</v>
      </c>
      <c r="H1172" t="s">
        <v>5</v>
      </c>
    </row>
    <row r="1173" spans="1:8" x14ac:dyDescent="0.25">
      <c r="A1173" s="1">
        <v>45207.362500000003</v>
      </c>
      <c r="B1173" t="s">
        <v>701</v>
      </c>
      <c r="C1173" s="29" t="str">
        <f>_xlfn.XLOOKUP(B1173,Tableau13[ID_Antenne],Tableau13[Province_RDC],"Non répertoriées")</f>
        <v>Haut-Katanga</v>
      </c>
      <c r="D1173">
        <v>82</v>
      </c>
      <c r="E1173" s="31" t="str">
        <f>_xlfn.XLOOKUP(B1173,Tableau13[ID_Antenne],Tableau13[Technologie],"Non répertoriées")</f>
        <v>3G</v>
      </c>
      <c r="F1173" s="3">
        <f>_xlfn.XLOOKUP(B1173,Tableau13[ID_Antenne],Tableau13[Latitude],"Non répertoriées")</f>
        <v>-12.776386</v>
      </c>
      <c r="G1173" s="32">
        <f>_xlfn.XLOOKUP(B1173,Tableau13[ID_Antenne],Tableau13[Longitude],"Non répertoriées")</f>
        <v>14.157596</v>
      </c>
      <c r="H1173" t="s">
        <v>5</v>
      </c>
    </row>
    <row r="1174" spans="1:8" x14ac:dyDescent="0.25">
      <c r="A1174" s="1">
        <v>45215.273611111108</v>
      </c>
      <c r="B1174" t="s">
        <v>700</v>
      </c>
      <c r="C1174" t="str">
        <f>_xlfn.XLOOKUP(B1174,Tableau13[ID_Antenne],Tableau13[Province_RDC],"Non répertoriées")</f>
        <v>Non répertoriées</v>
      </c>
      <c r="D1174">
        <v>24</v>
      </c>
      <c r="E1174" t="str">
        <f>_xlfn.XLOOKUP(B1174,Tableau13[ID_Antenne],Tableau13[Technologie],"Non répertoriées")</f>
        <v>Non répertoriées</v>
      </c>
      <c r="F1174" t="str">
        <f>_xlfn.XLOOKUP(B1174,Tableau13[ID_Antenne],Tableau13[Latitude],"Non répertoriées")</f>
        <v>Non répertoriées</v>
      </c>
      <c r="G1174" t="str">
        <f>_xlfn.XLOOKUP(B1174,Tableau13[ID_Antenne],Tableau13[Longitude],"Non répertoriées")</f>
        <v>Non répertoriées</v>
      </c>
      <c r="H1174" t="s">
        <v>5</v>
      </c>
    </row>
    <row r="1175" spans="1:8" x14ac:dyDescent="0.25">
      <c r="A1175" s="1">
        <v>45204.999305555553</v>
      </c>
      <c r="B1175" t="s">
        <v>582</v>
      </c>
      <c r="C1175" s="29" t="str">
        <f>_xlfn.XLOOKUP(B1175,Tableau13[ID_Antenne],Tableau13[Province_RDC],"Non répertoriées")</f>
        <v>Kongo-Central</v>
      </c>
      <c r="D1175">
        <v>91</v>
      </c>
      <c r="E1175" s="31" t="str">
        <f>_xlfn.XLOOKUP(B1175,Tableau13[ID_Antenne],Tableau13[Technologie],"Non répertoriées")</f>
        <v>5G</v>
      </c>
      <c r="F1175" s="3">
        <f>_xlfn.XLOOKUP(B1175,Tableau13[ID_Antenne],Tableau13[Latitude],"Non répertoriées")</f>
        <v>-10.977309</v>
      </c>
      <c r="G1175" s="32">
        <f>_xlfn.XLOOKUP(B1175,Tableau13[ID_Antenne],Tableau13[Longitude],"Non répertoriées")</f>
        <v>12.408281000000001</v>
      </c>
      <c r="H1175" t="s">
        <v>8</v>
      </c>
    </row>
    <row r="1176" spans="1:8" x14ac:dyDescent="0.25">
      <c r="A1176" s="1">
        <v>45228.775000000001</v>
      </c>
      <c r="B1176" t="s">
        <v>702</v>
      </c>
      <c r="C1176" t="str">
        <f>_xlfn.XLOOKUP(B1176,Tableau13[ID_Antenne],Tableau13[Province_RDC],"Non répertoriées")</f>
        <v>Non répertoriées</v>
      </c>
      <c r="D1176">
        <v>62</v>
      </c>
      <c r="E1176" t="str">
        <f>_xlfn.XLOOKUP(B1176,Tableau13[ID_Antenne],Tableau13[Technologie],"Non répertoriées")</f>
        <v>Non répertoriées</v>
      </c>
      <c r="F1176" t="str">
        <f>_xlfn.XLOOKUP(B1176,Tableau13[ID_Antenne],Tableau13[Latitude],"Non répertoriées")</f>
        <v>Non répertoriées</v>
      </c>
      <c r="G1176" t="str">
        <f>_xlfn.XLOOKUP(B1176,Tableau13[ID_Antenne],Tableau13[Longitude],"Non répertoriées")</f>
        <v>Non répertoriées</v>
      </c>
      <c r="H1176" t="s">
        <v>10</v>
      </c>
    </row>
    <row r="1177" spans="1:8" x14ac:dyDescent="0.25">
      <c r="A1177" s="1">
        <v>45215.326388888891</v>
      </c>
      <c r="B1177" t="s">
        <v>288</v>
      </c>
      <c r="C1177" t="str">
        <f>_xlfn.XLOOKUP(B1177,Tableau13[ID_Antenne],Tableau13[Province_RDC],"Non répertoriées")</f>
        <v>Non répertoriées</v>
      </c>
      <c r="D1177">
        <v>52</v>
      </c>
      <c r="E1177" t="str">
        <f>_xlfn.XLOOKUP(B1177,Tableau13[ID_Antenne],Tableau13[Technologie],"Non répertoriées")</f>
        <v>Non répertoriées</v>
      </c>
      <c r="F1177" t="str">
        <f>_xlfn.XLOOKUP(B1177,Tableau13[ID_Antenne],Tableau13[Latitude],"Non répertoriées")</f>
        <v>Non répertoriées</v>
      </c>
      <c r="G1177" t="str">
        <f>_xlfn.XLOOKUP(B1177,Tableau13[ID_Antenne],Tableau13[Longitude],"Non répertoriées")</f>
        <v>Non répertoriées</v>
      </c>
      <c r="H1177" t="s">
        <v>5</v>
      </c>
    </row>
    <row r="1178" spans="1:8" x14ac:dyDescent="0.25">
      <c r="A1178" s="1">
        <v>45215.55</v>
      </c>
      <c r="B1178" t="s">
        <v>251</v>
      </c>
      <c r="C1178" t="str">
        <f>_xlfn.XLOOKUP(B1178,Tableau13[ID_Antenne],Tableau13[Province_RDC],"Non répertoriées")</f>
        <v>Non répertoriées</v>
      </c>
      <c r="D1178">
        <v>52</v>
      </c>
      <c r="E1178" t="str">
        <f>_xlfn.XLOOKUP(B1178,Tableau13[ID_Antenne],Tableau13[Technologie],"Non répertoriées")</f>
        <v>Non répertoriées</v>
      </c>
      <c r="F1178" t="str">
        <f>_xlfn.XLOOKUP(B1178,Tableau13[ID_Antenne],Tableau13[Latitude],"Non répertoriées")</f>
        <v>Non répertoriées</v>
      </c>
      <c r="G1178" t="str">
        <f>_xlfn.XLOOKUP(B1178,Tableau13[ID_Antenne],Tableau13[Longitude],"Non répertoriées")</f>
        <v>Non répertoriées</v>
      </c>
      <c r="H1178" t="s">
        <v>5</v>
      </c>
    </row>
    <row r="1179" spans="1:8" x14ac:dyDescent="0.25">
      <c r="A1179" s="1">
        <v>45203.154166666667</v>
      </c>
      <c r="B1179" t="s">
        <v>396</v>
      </c>
      <c r="C1179" t="str">
        <f>_xlfn.XLOOKUP(B1179,Tableau13[ID_Antenne],Tableau13[Province_RDC],"Non répertoriées")</f>
        <v>Non répertoriées</v>
      </c>
      <c r="D1179">
        <v>61</v>
      </c>
      <c r="E1179" t="str">
        <f>_xlfn.XLOOKUP(B1179,Tableau13[ID_Antenne],Tableau13[Technologie],"Non répertoriées")</f>
        <v>Non répertoriées</v>
      </c>
      <c r="F1179" t="str">
        <f>_xlfn.XLOOKUP(B1179,Tableau13[ID_Antenne],Tableau13[Latitude],"Non répertoriées")</f>
        <v>Non répertoriées</v>
      </c>
      <c r="G1179" t="str">
        <f>_xlfn.XLOOKUP(B1179,Tableau13[ID_Antenne],Tableau13[Longitude],"Non répertoriées")</f>
        <v>Non répertoriées</v>
      </c>
      <c r="H1179" t="s">
        <v>5</v>
      </c>
    </row>
    <row r="1180" spans="1:8" x14ac:dyDescent="0.25">
      <c r="A1180" s="1">
        <v>45213.477083333331</v>
      </c>
      <c r="B1180" t="s">
        <v>78</v>
      </c>
      <c r="C1180" s="29" t="str">
        <f>_xlfn.XLOOKUP(B1180,Tableau13[ID_Antenne],Tableau13[Province_RDC],"Non répertoriées")</f>
        <v>Sud-Ubangi</v>
      </c>
      <c r="D1180">
        <v>102</v>
      </c>
      <c r="E1180" s="31" t="str">
        <f>_xlfn.XLOOKUP(B1180,Tableau13[ID_Antenne],Tableau13[Technologie],"Non répertoriées")</f>
        <v>5G</v>
      </c>
      <c r="F1180" s="3">
        <f>_xlfn.XLOOKUP(B1180,Tableau13[ID_Antenne],Tableau13[Latitude],"Non répertoriées")</f>
        <v>-12.141233</v>
      </c>
      <c r="G1180" s="32">
        <f>_xlfn.XLOOKUP(B1180,Tableau13[ID_Antenne],Tableau13[Longitude],"Non répertoriées")</f>
        <v>15.179043999999999</v>
      </c>
      <c r="H1180" t="s">
        <v>10</v>
      </c>
    </row>
    <row r="1181" spans="1:8" x14ac:dyDescent="0.25">
      <c r="A1181" s="1">
        <v>45213.621527777781</v>
      </c>
      <c r="B1181" t="s">
        <v>85</v>
      </c>
      <c r="C1181" s="29" t="str">
        <f>_xlfn.XLOOKUP(B1181,Tableau13[ID_Antenne],Tableau13[Province_RDC],"Non répertoriées")</f>
        <v>Ituri</v>
      </c>
      <c r="D1181">
        <v>14</v>
      </c>
      <c r="E1181" s="31" t="str">
        <f>_xlfn.XLOOKUP(B1181,Tableau13[ID_Antenne],Tableau13[Technologie],"Non répertoriées")</f>
        <v>3G</v>
      </c>
      <c r="F1181" s="3">
        <f>_xlfn.XLOOKUP(B1181,Tableau13[ID_Antenne],Tableau13[Latitude],"Non répertoriées")</f>
        <v>-7.0076900000000002</v>
      </c>
      <c r="G1181" s="32">
        <f>_xlfn.XLOOKUP(B1181,Tableau13[ID_Antenne],Tableau13[Longitude],"Non répertoriées")</f>
        <v>27.367121999999998</v>
      </c>
      <c r="H1181" t="s">
        <v>10</v>
      </c>
    </row>
    <row r="1182" spans="1:8" x14ac:dyDescent="0.25">
      <c r="A1182" s="1">
        <v>45223.071527777778</v>
      </c>
      <c r="B1182" t="s">
        <v>684</v>
      </c>
      <c r="C1182" s="29" t="str">
        <f>_xlfn.XLOOKUP(B1182,Tableau13[ID_Antenne],Tableau13[Province_RDC],"Non répertoriées")</f>
        <v>Bas-Uele</v>
      </c>
      <c r="D1182">
        <v>78</v>
      </c>
      <c r="E1182" s="31" t="str">
        <f>_xlfn.XLOOKUP(B1182,Tableau13[ID_Antenne],Tableau13[Technologie],"Non répertoriées")</f>
        <v>5G</v>
      </c>
      <c r="F1182" s="3">
        <f>_xlfn.XLOOKUP(B1182,Tableau13[ID_Antenne],Tableau13[Latitude],"Non répertoriées")</f>
        <v>-12.244119</v>
      </c>
      <c r="G1182" s="32">
        <f>_xlfn.XLOOKUP(B1182,Tableau13[ID_Antenne],Tableau13[Longitude],"Non répertoriées")</f>
        <v>28.279755999999999</v>
      </c>
      <c r="H1182" t="s">
        <v>5</v>
      </c>
    </row>
    <row r="1183" spans="1:8" x14ac:dyDescent="0.25">
      <c r="A1183" s="1">
        <v>45220.837500000001</v>
      </c>
      <c r="B1183" t="s">
        <v>68</v>
      </c>
      <c r="C1183" s="29" t="str">
        <f>_xlfn.XLOOKUP(B1183,Tableau13[ID_Antenne],Tableau13[Province_RDC],"Non répertoriées")</f>
        <v>Kwango</v>
      </c>
      <c r="D1183">
        <v>22</v>
      </c>
      <c r="E1183" s="31" t="str">
        <f>_xlfn.XLOOKUP(B1183,Tableau13[ID_Antenne],Tableau13[Technologie],"Non répertoriées")</f>
        <v>4G</v>
      </c>
      <c r="F1183" s="3">
        <f>_xlfn.XLOOKUP(B1183,Tableau13[ID_Antenne],Tableau13[Latitude],"Non répertoriées")</f>
        <v>-10.963041</v>
      </c>
      <c r="G1183" s="32">
        <f>_xlfn.XLOOKUP(B1183,Tableau13[ID_Antenne],Tableau13[Longitude],"Non répertoriées")</f>
        <v>12.269857</v>
      </c>
      <c r="H1183" t="s">
        <v>10</v>
      </c>
    </row>
    <row r="1184" spans="1:8" x14ac:dyDescent="0.25">
      <c r="A1184" s="1">
        <v>45201.531944444447</v>
      </c>
      <c r="B1184" t="s">
        <v>703</v>
      </c>
      <c r="C1184" t="str">
        <f>_xlfn.XLOOKUP(B1184,Tableau13[ID_Antenne],Tableau13[Province_RDC],"Non répertoriées")</f>
        <v>Non répertoriées</v>
      </c>
      <c r="D1184">
        <v>72</v>
      </c>
      <c r="E1184" t="str">
        <f>_xlfn.XLOOKUP(B1184,Tableau13[ID_Antenne],Tableau13[Technologie],"Non répertoriées")</f>
        <v>Non répertoriées</v>
      </c>
      <c r="F1184" t="str">
        <f>_xlfn.XLOOKUP(B1184,Tableau13[ID_Antenne],Tableau13[Latitude],"Non répertoriées")</f>
        <v>Non répertoriées</v>
      </c>
      <c r="G1184" t="str">
        <f>_xlfn.XLOOKUP(B1184,Tableau13[ID_Antenne],Tableau13[Longitude],"Non répertoriées")</f>
        <v>Non répertoriées</v>
      </c>
      <c r="H1184" t="s">
        <v>5</v>
      </c>
    </row>
    <row r="1185" spans="1:8" x14ac:dyDescent="0.25">
      <c r="A1185" s="1">
        <v>45210.135416666657</v>
      </c>
      <c r="B1185" t="s">
        <v>319</v>
      </c>
      <c r="C1185" s="29" t="str">
        <f>_xlfn.XLOOKUP(B1185,Tableau13[ID_Antenne],Tableau13[Province_RDC],"Non répertoriées")</f>
        <v>Bas-Uele</v>
      </c>
      <c r="D1185">
        <v>51</v>
      </c>
      <c r="E1185" s="31" t="str">
        <f>_xlfn.XLOOKUP(B1185,Tableau13[ID_Antenne],Tableau13[Technologie],"Non répertoriées")</f>
        <v>4G</v>
      </c>
      <c r="F1185" s="3">
        <f>_xlfn.XLOOKUP(B1185,Tableau13[ID_Antenne],Tableau13[Latitude],"Non répertoriées")</f>
        <v>-2.2876210000000001</v>
      </c>
      <c r="G1185" s="32">
        <f>_xlfn.XLOOKUP(B1185,Tableau13[ID_Antenne],Tableau13[Longitude],"Non répertoriées")</f>
        <v>27.582545</v>
      </c>
      <c r="H1185" t="s">
        <v>8</v>
      </c>
    </row>
    <row r="1186" spans="1:8" x14ac:dyDescent="0.25">
      <c r="A1186" s="1">
        <v>45206.273611111108</v>
      </c>
      <c r="B1186" t="s">
        <v>335</v>
      </c>
      <c r="C1186" t="str">
        <f>_xlfn.XLOOKUP(B1186,Tableau13[ID_Antenne],Tableau13[Province_RDC],"Non répertoriées")</f>
        <v>Non répertoriées</v>
      </c>
      <c r="D1186">
        <v>55</v>
      </c>
      <c r="E1186" t="str">
        <f>_xlfn.XLOOKUP(B1186,Tableau13[ID_Antenne],Tableau13[Technologie],"Non répertoriées")</f>
        <v>Non répertoriées</v>
      </c>
      <c r="F1186" t="str">
        <f>_xlfn.XLOOKUP(B1186,Tableau13[ID_Antenne],Tableau13[Latitude],"Non répertoriées")</f>
        <v>Non répertoriées</v>
      </c>
      <c r="G1186" t="str">
        <f>_xlfn.XLOOKUP(B1186,Tableau13[ID_Antenne],Tableau13[Longitude],"Non répertoriées")</f>
        <v>Non répertoriées</v>
      </c>
      <c r="H1186" t="s">
        <v>5</v>
      </c>
    </row>
    <row r="1187" spans="1:8" x14ac:dyDescent="0.25">
      <c r="A1187" s="1">
        <v>45214.185416666667</v>
      </c>
      <c r="B1187" t="s">
        <v>475</v>
      </c>
      <c r="C1187" s="29" t="str">
        <f>_xlfn.XLOOKUP(B1187,Tableau13[ID_Antenne],Tableau13[Province_RDC],"Non répertoriées")</f>
        <v>Ituri</v>
      </c>
      <c r="D1187">
        <v>45</v>
      </c>
      <c r="E1187" s="31" t="str">
        <f>_xlfn.XLOOKUP(B1187,Tableau13[ID_Antenne],Tableau13[Technologie],"Non répertoriées")</f>
        <v>4G</v>
      </c>
      <c r="F1187" s="3">
        <f>_xlfn.XLOOKUP(B1187,Tableau13[ID_Antenne],Tableau13[Latitude],"Non répertoriées")</f>
        <v>-12.595355</v>
      </c>
      <c r="G1187" s="32">
        <f>_xlfn.XLOOKUP(B1187,Tableau13[ID_Antenne],Tableau13[Longitude],"Non répertoriées")</f>
        <v>17.897442000000002</v>
      </c>
      <c r="H1187" t="s">
        <v>8</v>
      </c>
    </row>
    <row r="1188" spans="1:8" x14ac:dyDescent="0.25">
      <c r="A1188" s="1">
        <v>45205.353472222218</v>
      </c>
      <c r="B1188" t="s">
        <v>677</v>
      </c>
      <c r="C1188" s="29" t="str">
        <f>_xlfn.XLOOKUP(B1188,Tableau13[ID_Antenne],Tableau13[Province_RDC],"Non répertoriées")</f>
        <v>Kongo-Central</v>
      </c>
      <c r="D1188">
        <v>88</v>
      </c>
      <c r="E1188" s="31" t="str">
        <f>_xlfn.XLOOKUP(B1188,Tableau13[ID_Antenne],Tableau13[Technologie],"Non répertoriées")</f>
        <v>5G</v>
      </c>
      <c r="F1188" s="3">
        <f>_xlfn.XLOOKUP(B1188,Tableau13[ID_Antenne],Tableau13[Latitude],"Non répertoriées")</f>
        <v>2.9836019999999999</v>
      </c>
      <c r="G1188" s="32">
        <f>_xlfn.XLOOKUP(B1188,Tableau13[ID_Antenne],Tableau13[Longitude],"Non répertoriées")</f>
        <v>21.893065</v>
      </c>
      <c r="H1188" t="s">
        <v>10</v>
      </c>
    </row>
    <row r="1189" spans="1:8" x14ac:dyDescent="0.25">
      <c r="A1189" s="1">
        <v>45207.102777777778</v>
      </c>
      <c r="B1189" t="s">
        <v>479</v>
      </c>
      <c r="C1189" s="29" t="str">
        <f>_xlfn.XLOOKUP(B1189,Tableau13[ID_Antenne],Tableau13[Province_RDC],"Non répertoriées")</f>
        <v>Maniema</v>
      </c>
      <c r="D1189">
        <v>40</v>
      </c>
      <c r="E1189" s="31" t="str">
        <f>_xlfn.XLOOKUP(B1189,Tableau13[ID_Antenne],Tableau13[Technologie],"Non répertoriées")</f>
        <v>4G</v>
      </c>
      <c r="F1189" s="3">
        <f>_xlfn.XLOOKUP(B1189,Tableau13[ID_Antenne],Tableau13[Latitude],"Non répertoriées")</f>
        <v>4.8228650000000002</v>
      </c>
      <c r="G1189" s="32">
        <f>_xlfn.XLOOKUP(B1189,Tableau13[ID_Antenne],Tableau13[Longitude],"Non répertoriées")</f>
        <v>30.555627000000001</v>
      </c>
      <c r="H1189" t="s">
        <v>5</v>
      </c>
    </row>
    <row r="1190" spans="1:8" x14ac:dyDescent="0.25">
      <c r="A1190" s="1">
        <v>45225.712500000001</v>
      </c>
      <c r="B1190" t="s">
        <v>704</v>
      </c>
      <c r="C1190" t="str">
        <f>_xlfn.XLOOKUP(B1190,Tableau13[ID_Antenne],Tableau13[Province_RDC],"Non répertoriées")</f>
        <v>Non répertoriées</v>
      </c>
      <c r="D1190">
        <v>36</v>
      </c>
      <c r="E1190" t="str">
        <f>_xlfn.XLOOKUP(B1190,Tableau13[ID_Antenne],Tableau13[Technologie],"Non répertoriées")</f>
        <v>Non répertoriées</v>
      </c>
      <c r="F1190" t="str">
        <f>_xlfn.XLOOKUP(B1190,Tableau13[ID_Antenne],Tableau13[Latitude],"Non répertoriées")</f>
        <v>Non répertoriées</v>
      </c>
      <c r="G1190" t="str">
        <f>_xlfn.XLOOKUP(B1190,Tableau13[ID_Antenne],Tableau13[Longitude],"Non répertoriées")</f>
        <v>Non répertoriées</v>
      </c>
      <c r="H1190" t="s">
        <v>10</v>
      </c>
    </row>
    <row r="1191" spans="1:8" x14ac:dyDescent="0.25">
      <c r="A1191" s="1">
        <v>45201.856944444437</v>
      </c>
      <c r="B1191" t="s">
        <v>643</v>
      </c>
      <c r="C1191" t="str">
        <f>_xlfn.XLOOKUP(B1191,Tableau13[ID_Antenne],Tableau13[Province_RDC],"Non répertoriées")</f>
        <v>Non répertoriées</v>
      </c>
      <c r="D1191">
        <v>19</v>
      </c>
      <c r="E1191" t="str">
        <f>_xlfn.XLOOKUP(B1191,Tableau13[ID_Antenne],Tableau13[Technologie],"Non répertoriées")</f>
        <v>Non répertoriées</v>
      </c>
      <c r="F1191" t="str">
        <f>_xlfn.XLOOKUP(B1191,Tableau13[ID_Antenne],Tableau13[Latitude],"Non répertoriées")</f>
        <v>Non répertoriées</v>
      </c>
      <c r="G1191" t="str">
        <f>_xlfn.XLOOKUP(B1191,Tableau13[ID_Antenne],Tableau13[Longitude],"Non répertoriées")</f>
        <v>Non répertoriées</v>
      </c>
      <c r="H1191" t="s">
        <v>5</v>
      </c>
    </row>
    <row r="1192" spans="1:8" x14ac:dyDescent="0.25">
      <c r="A1192" s="1">
        <v>45226.003472222219</v>
      </c>
      <c r="B1192" t="s">
        <v>526</v>
      </c>
      <c r="C1192" s="29" t="str">
        <f>_xlfn.XLOOKUP(B1192,Tableau13[ID_Antenne],Tableau13[Province_RDC],"Non répertoriées")</f>
        <v>Nord-Kivu</v>
      </c>
      <c r="D1192">
        <v>8</v>
      </c>
      <c r="E1192" s="31" t="str">
        <f>_xlfn.XLOOKUP(B1192,Tableau13[ID_Antenne],Tableau13[Technologie],"Non répertoriées")</f>
        <v>5G</v>
      </c>
      <c r="F1192" s="3">
        <f>_xlfn.XLOOKUP(B1192,Tableau13[ID_Antenne],Tableau13[Latitude],"Non répertoriées")</f>
        <v>-0.17258100000000001</v>
      </c>
      <c r="G1192" s="32">
        <f>_xlfn.XLOOKUP(B1192,Tableau13[ID_Antenne],Tableau13[Longitude],"Non répertoriées")</f>
        <v>23.775555000000001</v>
      </c>
      <c r="H1192" t="s">
        <v>8</v>
      </c>
    </row>
    <row r="1193" spans="1:8" x14ac:dyDescent="0.25">
      <c r="A1193" s="1">
        <v>45229.298611111109</v>
      </c>
      <c r="B1193" t="s">
        <v>705</v>
      </c>
      <c r="C1193" t="str">
        <f>_xlfn.XLOOKUP(B1193,Tableau13[ID_Antenne],Tableau13[Province_RDC],"Non répertoriées")</f>
        <v>Non répertoriées</v>
      </c>
      <c r="D1193">
        <v>99</v>
      </c>
      <c r="E1193" t="str">
        <f>_xlfn.XLOOKUP(B1193,Tableau13[ID_Antenne],Tableau13[Technologie],"Non répertoriées")</f>
        <v>Non répertoriées</v>
      </c>
      <c r="F1193" t="str">
        <f>_xlfn.XLOOKUP(B1193,Tableau13[ID_Antenne],Tableau13[Latitude],"Non répertoriées")</f>
        <v>Non répertoriées</v>
      </c>
      <c r="G1193" t="str">
        <f>_xlfn.XLOOKUP(B1193,Tableau13[ID_Antenne],Tableau13[Longitude],"Non répertoriées")</f>
        <v>Non répertoriées</v>
      </c>
      <c r="H1193" t="s">
        <v>10</v>
      </c>
    </row>
    <row r="1194" spans="1:8" x14ac:dyDescent="0.25">
      <c r="A1194" s="1">
        <v>45213.645833333343</v>
      </c>
      <c r="B1194" t="s">
        <v>706</v>
      </c>
      <c r="C1194" s="29" t="str">
        <f>_xlfn.XLOOKUP(B1194,Tableau13[ID_Antenne],Tableau13[Province_RDC],"Non répertoriées")</f>
        <v>Maniema</v>
      </c>
      <c r="D1194">
        <v>28</v>
      </c>
      <c r="E1194" s="31" t="str">
        <f>_xlfn.XLOOKUP(B1194,Tableau13[ID_Antenne],Tableau13[Technologie],"Non répertoriées")</f>
        <v>4G</v>
      </c>
      <c r="F1194" s="3">
        <f>_xlfn.XLOOKUP(B1194,Tableau13[ID_Antenne],Tableau13[Latitude],"Non répertoriées")</f>
        <v>3.08182</v>
      </c>
      <c r="G1194" s="32">
        <f>_xlfn.XLOOKUP(B1194,Tableau13[ID_Antenne],Tableau13[Longitude],"Non répertoriées")</f>
        <v>29.961940999999999</v>
      </c>
      <c r="H1194" t="s">
        <v>10</v>
      </c>
    </row>
    <row r="1195" spans="1:8" x14ac:dyDescent="0.25">
      <c r="A1195" s="1">
        <v>45206.539583333331</v>
      </c>
      <c r="B1195" t="s">
        <v>440</v>
      </c>
      <c r="C1195" s="29" t="str">
        <f>_xlfn.XLOOKUP(B1195,Tableau13[ID_Antenne],Tableau13[Province_RDC],"Non répertoriées")</f>
        <v>Tanganyika</v>
      </c>
      <c r="D1195">
        <v>68</v>
      </c>
      <c r="E1195" s="31" t="str">
        <f>_xlfn.XLOOKUP(B1195,Tableau13[ID_Antenne],Tableau13[Technologie],"Non répertoriées")</f>
        <v>3G</v>
      </c>
      <c r="F1195" s="3">
        <f>_xlfn.XLOOKUP(B1195,Tableau13[ID_Antenne],Tableau13[Latitude],"Non répertoriées")</f>
        <v>-7.9425049999999997</v>
      </c>
      <c r="G1195" s="32">
        <f>_xlfn.XLOOKUP(B1195,Tableau13[ID_Antenne],Tableau13[Longitude],"Non répertoriées")</f>
        <v>24.111059000000001</v>
      </c>
      <c r="H1195" t="s">
        <v>5</v>
      </c>
    </row>
    <row r="1196" spans="1:8" x14ac:dyDescent="0.25">
      <c r="A1196" s="1">
        <v>45201.224999999999</v>
      </c>
      <c r="B1196" t="s">
        <v>479</v>
      </c>
      <c r="C1196" s="29" t="str">
        <f>_xlfn.XLOOKUP(B1196,Tableau13[ID_Antenne],Tableau13[Province_RDC],"Non répertoriées")</f>
        <v>Maniema</v>
      </c>
      <c r="D1196">
        <v>71</v>
      </c>
      <c r="E1196" s="31" t="str">
        <f>_xlfn.XLOOKUP(B1196,Tableau13[ID_Antenne],Tableau13[Technologie],"Non répertoriées")</f>
        <v>4G</v>
      </c>
      <c r="F1196" s="3">
        <f>_xlfn.XLOOKUP(B1196,Tableau13[ID_Antenne],Tableau13[Latitude],"Non répertoriées")</f>
        <v>4.8228650000000002</v>
      </c>
      <c r="G1196" s="32">
        <f>_xlfn.XLOOKUP(B1196,Tableau13[ID_Antenne],Tableau13[Longitude],"Non répertoriées")</f>
        <v>30.555627000000001</v>
      </c>
      <c r="H1196" t="s">
        <v>10</v>
      </c>
    </row>
    <row r="1197" spans="1:8" x14ac:dyDescent="0.25">
      <c r="A1197" s="1">
        <v>45200.511111111111</v>
      </c>
      <c r="B1197" t="s">
        <v>588</v>
      </c>
      <c r="C1197" t="str">
        <f>_xlfn.XLOOKUP(B1197,Tableau13[ID_Antenne],Tableau13[Province_RDC],"Non répertoriées")</f>
        <v>Non répertoriées</v>
      </c>
      <c r="D1197">
        <v>54</v>
      </c>
      <c r="E1197" t="str">
        <f>_xlfn.XLOOKUP(B1197,Tableau13[ID_Antenne],Tableau13[Technologie],"Non répertoriées")</f>
        <v>Non répertoriées</v>
      </c>
      <c r="F1197" t="str">
        <f>_xlfn.XLOOKUP(B1197,Tableau13[ID_Antenne],Tableau13[Latitude],"Non répertoriées")</f>
        <v>Non répertoriées</v>
      </c>
      <c r="G1197" t="str">
        <f>_xlfn.XLOOKUP(B1197,Tableau13[ID_Antenne],Tableau13[Longitude],"Non répertoriées")</f>
        <v>Non répertoriées</v>
      </c>
      <c r="H1197" t="s">
        <v>8</v>
      </c>
    </row>
    <row r="1198" spans="1:8" x14ac:dyDescent="0.25">
      <c r="A1198" s="1">
        <v>45229.595833333333</v>
      </c>
      <c r="B1198" t="s">
        <v>431</v>
      </c>
      <c r="C1198" t="str">
        <f>_xlfn.XLOOKUP(B1198,Tableau13[ID_Antenne],Tableau13[Province_RDC],"Non répertoriées")</f>
        <v>Non répertoriées</v>
      </c>
      <c r="D1198">
        <v>76</v>
      </c>
      <c r="E1198" t="str">
        <f>_xlfn.XLOOKUP(B1198,Tableau13[ID_Antenne],Tableau13[Technologie],"Non répertoriées")</f>
        <v>Non répertoriées</v>
      </c>
      <c r="F1198" t="str">
        <f>_xlfn.XLOOKUP(B1198,Tableau13[ID_Antenne],Tableau13[Latitude],"Non répertoriées")</f>
        <v>Non répertoriées</v>
      </c>
      <c r="G1198" t="str">
        <f>_xlfn.XLOOKUP(B1198,Tableau13[ID_Antenne],Tableau13[Longitude],"Non répertoriées")</f>
        <v>Non répertoriées</v>
      </c>
      <c r="H1198" t="s">
        <v>8</v>
      </c>
    </row>
    <row r="1199" spans="1:8" x14ac:dyDescent="0.25">
      <c r="A1199" s="1">
        <v>45213.948611111111</v>
      </c>
      <c r="B1199" t="s">
        <v>674</v>
      </c>
      <c r="C1199" t="str">
        <f>_xlfn.XLOOKUP(B1199,Tableau13[ID_Antenne],Tableau13[Province_RDC],"Non répertoriées")</f>
        <v>Non répertoriées</v>
      </c>
      <c r="D1199">
        <v>20</v>
      </c>
      <c r="E1199" t="str">
        <f>_xlfn.XLOOKUP(B1199,Tableau13[ID_Antenne],Tableau13[Technologie],"Non répertoriées")</f>
        <v>Non répertoriées</v>
      </c>
      <c r="F1199" t="str">
        <f>_xlfn.XLOOKUP(B1199,Tableau13[ID_Antenne],Tableau13[Latitude],"Non répertoriées")</f>
        <v>Non répertoriées</v>
      </c>
      <c r="G1199" t="str">
        <f>_xlfn.XLOOKUP(B1199,Tableau13[ID_Antenne],Tableau13[Longitude],"Non répertoriées")</f>
        <v>Non répertoriées</v>
      </c>
      <c r="H1199" t="s">
        <v>5</v>
      </c>
    </row>
    <row r="1200" spans="1:8" x14ac:dyDescent="0.25">
      <c r="A1200" s="1">
        <v>45225.737500000003</v>
      </c>
      <c r="B1200" t="s">
        <v>628</v>
      </c>
      <c r="C1200" s="29" t="str">
        <f>_xlfn.XLOOKUP(B1200,Tableau13[ID_Antenne],Tableau13[Province_RDC],"Non répertoriées")</f>
        <v>Sud-Ubangi</v>
      </c>
      <c r="D1200">
        <v>38</v>
      </c>
      <c r="E1200" s="31" t="str">
        <f>_xlfn.XLOOKUP(B1200,Tableau13[ID_Antenne],Tableau13[Technologie],"Non répertoriées")</f>
        <v>5G</v>
      </c>
      <c r="F1200" s="3">
        <f>_xlfn.XLOOKUP(B1200,Tableau13[ID_Antenne],Tableau13[Latitude],"Non répertoriées")</f>
        <v>-0.54908599999999996</v>
      </c>
      <c r="G1200" s="32">
        <f>_xlfn.XLOOKUP(B1200,Tableau13[ID_Antenne],Tableau13[Longitude],"Non répertoriées")</f>
        <v>14.816867</v>
      </c>
      <c r="H1200" t="s">
        <v>5</v>
      </c>
    </row>
    <row r="1201" spans="1:8" x14ac:dyDescent="0.25">
      <c r="A1201" s="1">
        <v>45222.631249999999</v>
      </c>
      <c r="B1201" t="s">
        <v>707</v>
      </c>
      <c r="C1201" s="29" t="str">
        <f>_xlfn.XLOOKUP(B1201,Tableau13[ID_Antenne],Tableau13[Province_RDC],"Non répertoriées")</f>
        <v>Lualaba</v>
      </c>
      <c r="D1201">
        <v>104</v>
      </c>
      <c r="E1201" s="31" t="str">
        <f>_xlfn.XLOOKUP(B1201,Tableau13[ID_Antenne],Tableau13[Technologie],"Non répertoriées")</f>
        <v>4G</v>
      </c>
      <c r="F1201" s="3">
        <f>_xlfn.XLOOKUP(B1201,Tableau13[ID_Antenne],Tableau13[Latitude],"Non répertoriées")</f>
        <v>2.266232</v>
      </c>
      <c r="G1201" s="32">
        <f>_xlfn.XLOOKUP(B1201,Tableau13[ID_Antenne],Tableau13[Longitude],"Non répertoriées")</f>
        <v>29.532896000000001</v>
      </c>
      <c r="H1201" t="s">
        <v>10</v>
      </c>
    </row>
    <row r="1202" spans="1:8" x14ac:dyDescent="0.25">
      <c r="A1202" s="1">
        <v>45206.384027777778</v>
      </c>
      <c r="B1202" t="s">
        <v>538</v>
      </c>
      <c r="C1202" t="str">
        <f>_xlfn.XLOOKUP(B1202,Tableau13[ID_Antenne],Tableau13[Province_RDC],"Non répertoriées")</f>
        <v>Non répertoriées</v>
      </c>
      <c r="D1202">
        <v>38</v>
      </c>
      <c r="E1202" t="str">
        <f>_xlfn.XLOOKUP(B1202,Tableau13[ID_Antenne],Tableau13[Technologie],"Non répertoriées")</f>
        <v>Non répertoriées</v>
      </c>
      <c r="F1202" t="str">
        <f>_xlfn.XLOOKUP(B1202,Tableau13[ID_Antenne],Tableau13[Latitude],"Non répertoriées")</f>
        <v>Non répertoriées</v>
      </c>
      <c r="G1202" t="str">
        <f>_xlfn.XLOOKUP(B1202,Tableau13[ID_Antenne],Tableau13[Longitude],"Non répertoriées")</f>
        <v>Non répertoriées</v>
      </c>
      <c r="H1202" t="s">
        <v>8</v>
      </c>
    </row>
    <row r="1203" spans="1:8" x14ac:dyDescent="0.25">
      <c r="A1203" s="1">
        <v>45230.067361111112</v>
      </c>
      <c r="B1203" t="s">
        <v>197</v>
      </c>
      <c r="C1203" t="str">
        <f>_xlfn.XLOOKUP(B1203,Tableau13[ID_Antenne],Tableau13[Province_RDC],"Non répertoriées")</f>
        <v>Non répertoriées</v>
      </c>
      <c r="D1203">
        <v>95</v>
      </c>
      <c r="E1203" t="str">
        <f>_xlfn.XLOOKUP(B1203,Tableau13[ID_Antenne],Tableau13[Technologie],"Non répertoriées")</f>
        <v>Non répertoriées</v>
      </c>
      <c r="F1203" t="str">
        <f>_xlfn.XLOOKUP(B1203,Tableau13[ID_Antenne],Tableau13[Latitude],"Non répertoriées")</f>
        <v>Non répertoriées</v>
      </c>
      <c r="G1203" t="str">
        <f>_xlfn.XLOOKUP(B1203,Tableau13[ID_Antenne],Tableau13[Longitude],"Non répertoriées")</f>
        <v>Non répertoriées</v>
      </c>
      <c r="H1203" t="s">
        <v>10</v>
      </c>
    </row>
    <row r="1204" spans="1:8" x14ac:dyDescent="0.25">
      <c r="A1204" s="1">
        <v>45223.710416666669</v>
      </c>
      <c r="B1204" t="s">
        <v>701</v>
      </c>
      <c r="C1204" s="29" t="str">
        <f>_xlfn.XLOOKUP(B1204,Tableau13[ID_Antenne],Tableau13[Province_RDC],"Non répertoriées")</f>
        <v>Haut-Katanga</v>
      </c>
      <c r="D1204">
        <v>62</v>
      </c>
      <c r="E1204" s="31" t="str">
        <f>_xlfn.XLOOKUP(B1204,Tableau13[ID_Antenne],Tableau13[Technologie],"Non répertoriées")</f>
        <v>3G</v>
      </c>
      <c r="F1204" s="3">
        <f>_xlfn.XLOOKUP(B1204,Tableau13[ID_Antenne],Tableau13[Latitude],"Non répertoriées")</f>
        <v>-12.776386</v>
      </c>
      <c r="G1204" s="32">
        <f>_xlfn.XLOOKUP(B1204,Tableau13[ID_Antenne],Tableau13[Longitude],"Non répertoriées")</f>
        <v>14.157596</v>
      </c>
      <c r="H1204" t="s">
        <v>8</v>
      </c>
    </row>
    <row r="1205" spans="1:8" x14ac:dyDescent="0.25">
      <c r="A1205" s="1">
        <v>45223.418749999997</v>
      </c>
      <c r="B1205" t="s">
        <v>708</v>
      </c>
      <c r="C1205" s="29" t="str">
        <f>_xlfn.XLOOKUP(B1205,Tableau13[ID_Antenne],Tableau13[Province_RDC],"Non répertoriées")</f>
        <v>Nord-Kivu</v>
      </c>
      <c r="D1205">
        <v>32</v>
      </c>
      <c r="E1205" s="31" t="str">
        <f>_xlfn.XLOOKUP(B1205,Tableau13[ID_Antenne],Tableau13[Technologie],"Non répertoriées")</f>
        <v>5G</v>
      </c>
      <c r="F1205" s="3">
        <f>_xlfn.XLOOKUP(B1205,Tableau13[ID_Antenne],Tableau13[Latitude],"Non répertoriées")</f>
        <v>0.92885200000000001</v>
      </c>
      <c r="G1205" s="32">
        <f>_xlfn.XLOOKUP(B1205,Tableau13[ID_Antenne],Tableau13[Longitude],"Non répertoriées")</f>
        <v>25.868548000000001</v>
      </c>
      <c r="H1205" t="s">
        <v>8</v>
      </c>
    </row>
    <row r="1206" spans="1:8" x14ac:dyDescent="0.25">
      <c r="A1206" s="1">
        <v>45201.770833333343</v>
      </c>
      <c r="B1206" t="s">
        <v>709</v>
      </c>
      <c r="C1206" t="str">
        <f>_xlfn.XLOOKUP(B1206,Tableau13[ID_Antenne],Tableau13[Province_RDC],"Non répertoriées")</f>
        <v>Non répertoriées</v>
      </c>
      <c r="D1206">
        <v>83</v>
      </c>
      <c r="E1206" t="str">
        <f>_xlfn.XLOOKUP(B1206,Tableau13[ID_Antenne],Tableau13[Technologie],"Non répertoriées")</f>
        <v>Non répertoriées</v>
      </c>
      <c r="F1206" t="str">
        <f>_xlfn.XLOOKUP(B1206,Tableau13[ID_Antenne],Tableau13[Latitude],"Non répertoriées")</f>
        <v>Non répertoriées</v>
      </c>
      <c r="G1206" t="str">
        <f>_xlfn.XLOOKUP(B1206,Tableau13[ID_Antenne],Tableau13[Longitude],"Non répertoriées")</f>
        <v>Non répertoriées</v>
      </c>
      <c r="H1206" t="s">
        <v>5</v>
      </c>
    </row>
    <row r="1207" spans="1:8" x14ac:dyDescent="0.25">
      <c r="A1207" s="1">
        <v>45216.673611111109</v>
      </c>
      <c r="B1207" t="s">
        <v>496</v>
      </c>
      <c r="C1207" t="str">
        <f>_xlfn.XLOOKUP(B1207,Tableau13[ID_Antenne],Tableau13[Province_RDC],"Non répertoriées")</f>
        <v>Non répertoriées</v>
      </c>
      <c r="D1207">
        <v>41</v>
      </c>
      <c r="E1207" t="str">
        <f>_xlfn.XLOOKUP(B1207,Tableau13[ID_Antenne],Tableau13[Technologie],"Non répertoriées")</f>
        <v>Non répertoriées</v>
      </c>
      <c r="F1207" t="str">
        <f>_xlfn.XLOOKUP(B1207,Tableau13[ID_Antenne],Tableau13[Latitude],"Non répertoriées")</f>
        <v>Non répertoriées</v>
      </c>
      <c r="G1207" t="str">
        <f>_xlfn.XLOOKUP(B1207,Tableau13[ID_Antenne],Tableau13[Longitude],"Non répertoriées")</f>
        <v>Non répertoriées</v>
      </c>
      <c r="H1207" t="s">
        <v>10</v>
      </c>
    </row>
    <row r="1208" spans="1:8" x14ac:dyDescent="0.25">
      <c r="A1208" s="1">
        <v>45201.670138888891</v>
      </c>
      <c r="B1208" t="s">
        <v>666</v>
      </c>
      <c r="C1208" s="29" t="str">
        <f>_xlfn.XLOOKUP(B1208,Tableau13[ID_Antenne],Tableau13[Province_RDC],"Non répertoriées")</f>
        <v>Mongala</v>
      </c>
      <c r="D1208">
        <v>93</v>
      </c>
      <c r="E1208" s="31" t="str">
        <f>_xlfn.XLOOKUP(B1208,Tableau13[ID_Antenne],Tableau13[Technologie],"Non répertoriées")</f>
        <v>3G</v>
      </c>
      <c r="F1208" s="3">
        <f>_xlfn.XLOOKUP(B1208,Tableau13[ID_Antenne],Tableau13[Latitude],"Non répertoriées")</f>
        <v>4.0988100000000003</v>
      </c>
      <c r="G1208" s="32">
        <f>_xlfn.XLOOKUP(B1208,Tableau13[ID_Antenne],Tableau13[Longitude],"Non répertoriées")</f>
        <v>29.843810999999999</v>
      </c>
      <c r="H1208" t="s">
        <v>8</v>
      </c>
    </row>
    <row r="1209" spans="1:8" x14ac:dyDescent="0.25">
      <c r="A1209" s="1">
        <v>45227.211111111108</v>
      </c>
      <c r="B1209" t="s">
        <v>335</v>
      </c>
      <c r="C1209" t="str">
        <f>_xlfn.XLOOKUP(B1209,Tableau13[ID_Antenne],Tableau13[Province_RDC],"Non répertoriées")</f>
        <v>Non répertoriées</v>
      </c>
      <c r="D1209">
        <v>67</v>
      </c>
      <c r="E1209" t="str">
        <f>_xlfn.XLOOKUP(B1209,Tableau13[ID_Antenne],Tableau13[Technologie],"Non répertoriées")</f>
        <v>Non répertoriées</v>
      </c>
      <c r="F1209" t="str">
        <f>_xlfn.XLOOKUP(B1209,Tableau13[ID_Antenne],Tableau13[Latitude],"Non répertoriées")</f>
        <v>Non répertoriées</v>
      </c>
      <c r="G1209" t="str">
        <f>_xlfn.XLOOKUP(B1209,Tableau13[ID_Antenne],Tableau13[Longitude],"Non répertoriées")</f>
        <v>Non répertoriées</v>
      </c>
      <c r="H1209" t="s">
        <v>5</v>
      </c>
    </row>
    <row r="1210" spans="1:8" x14ac:dyDescent="0.25">
      <c r="A1210" s="1">
        <v>45219.113194444442</v>
      </c>
      <c r="B1210" t="s">
        <v>682</v>
      </c>
      <c r="C1210" t="str">
        <f>_xlfn.XLOOKUP(B1210,Tableau13[ID_Antenne],Tableau13[Province_RDC],"Non répertoriées")</f>
        <v>Non répertoriées</v>
      </c>
      <c r="D1210">
        <v>30</v>
      </c>
      <c r="E1210" t="str">
        <f>_xlfn.XLOOKUP(B1210,Tableau13[ID_Antenne],Tableau13[Technologie],"Non répertoriées")</f>
        <v>Non répertoriées</v>
      </c>
      <c r="F1210" t="str">
        <f>_xlfn.XLOOKUP(B1210,Tableau13[ID_Antenne],Tableau13[Latitude],"Non répertoriées")</f>
        <v>Non répertoriées</v>
      </c>
      <c r="G1210" t="str">
        <f>_xlfn.XLOOKUP(B1210,Tableau13[ID_Antenne],Tableau13[Longitude],"Non répertoriées")</f>
        <v>Non répertoriées</v>
      </c>
      <c r="H1210" t="s">
        <v>8</v>
      </c>
    </row>
    <row r="1211" spans="1:8" x14ac:dyDescent="0.25">
      <c r="A1211" s="1">
        <v>45227.309027777781</v>
      </c>
      <c r="B1211" t="s">
        <v>710</v>
      </c>
      <c r="C1211" s="29" t="str">
        <f>_xlfn.XLOOKUP(B1211,Tableau13[ID_Antenne],Tableau13[Province_RDC],"Non répertoriées")</f>
        <v>Equateur</v>
      </c>
      <c r="D1211">
        <v>20</v>
      </c>
      <c r="E1211" s="31" t="str">
        <f>_xlfn.XLOOKUP(B1211,Tableau13[ID_Antenne],Tableau13[Technologie],"Non répertoriées")</f>
        <v>3G</v>
      </c>
      <c r="F1211" s="3">
        <f>_xlfn.XLOOKUP(B1211,Tableau13[ID_Antenne],Tableau13[Latitude],"Non répertoriées")</f>
        <v>-6.7420359999999997</v>
      </c>
      <c r="G1211" s="32">
        <f>_xlfn.XLOOKUP(B1211,Tableau13[ID_Antenne],Tableau13[Longitude],"Non répertoriées")</f>
        <v>28.905578999999999</v>
      </c>
      <c r="H1211" t="s">
        <v>5</v>
      </c>
    </row>
    <row r="1212" spans="1:8" x14ac:dyDescent="0.25">
      <c r="A1212" s="1">
        <v>45203.760416666657</v>
      </c>
      <c r="B1212" t="s">
        <v>421</v>
      </c>
      <c r="C1212" s="29" t="str">
        <f>_xlfn.XLOOKUP(B1212,Tableau13[ID_Antenne],Tableau13[Province_RDC],"Non répertoriées")</f>
        <v>Nord-Ubangi</v>
      </c>
      <c r="D1212">
        <v>22</v>
      </c>
      <c r="E1212" s="31" t="str">
        <f>_xlfn.XLOOKUP(B1212,Tableau13[ID_Antenne],Tableau13[Technologie],"Non répertoriées")</f>
        <v>3G</v>
      </c>
      <c r="F1212" s="3">
        <f>_xlfn.XLOOKUP(B1212,Tableau13[ID_Antenne],Tableau13[Latitude],"Non répertoriées")</f>
        <v>8.5490999999999998E-2</v>
      </c>
      <c r="G1212" s="32">
        <f>_xlfn.XLOOKUP(B1212,Tableau13[ID_Antenne],Tableau13[Longitude],"Non répertoriées")</f>
        <v>26.296129000000001</v>
      </c>
      <c r="H1212" t="s">
        <v>5</v>
      </c>
    </row>
    <row r="1213" spans="1:8" x14ac:dyDescent="0.25">
      <c r="A1213" s="1">
        <v>45218.793055555558</v>
      </c>
      <c r="B1213" t="s">
        <v>687</v>
      </c>
      <c r="C1213" s="29" t="str">
        <f>_xlfn.XLOOKUP(B1213,Tableau13[ID_Antenne],Tableau13[Province_RDC],"Non répertoriées")</f>
        <v>Sud-Kivu</v>
      </c>
      <c r="D1213">
        <v>114</v>
      </c>
      <c r="E1213" s="31" t="str">
        <f>_xlfn.XLOOKUP(B1213,Tableau13[ID_Antenne],Tableau13[Technologie],"Non répertoriées")</f>
        <v>3G</v>
      </c>
      <c r="F1213" s="3">
        <f>_xlfn.XLOOKUP(B1213,Tableau13[ID_Antenne],Tableau13[Latitude],"Non répertoriées")</f>
        <v>-3.6233270000000002</v>
      </c>
      <c r="G1213" s="32">
        <f>_xlfn.XLOOKUP(B1213,Tableau13[ID_Antenne],Tableau13[Longitude],"Non répertoriées")</f>
        <v>25.915645999999999</v>
      </c>
      <c r="H1213" t="s">
        <v>5</v>
      </c>
    </row>
    <row r="1214" spans="1:8" x14ac:dyDescent="0.25">
      <c r="A1214" s="1">
        <v>45219.101388888892</v>
      </c>
      <c r="B1214" t="s">
        <v>406</v>
      </c>
      <c r="C1214" s="29" t="str">
        <f>_xlfn.XLOOKUP(B1214,Tableau13[ID_Antenne],Tableau13[Province_RDC],"Non répertoriées")</f>
        <v>Kasai-Central</v>
      </c>
      <c r="D1214">
        <v>14</v>
      </c>
      <c r="E1214" s="31" t="str">
        <f>_xlfn.XLOOKUP(B1214,Tableau13[ID_Antenne],Tableau13[Technologie],"Non répertoriées")</f>
        <v>3G</v>
      </c>
      <c r="F1214" s="3">
        <f>_xlfn.XLOOKUP(B1214,Tableau13[ID_Antenne],Tableau13[Latitude],"Non répertoriées")</f>
        <v>1.897178</v>
      </c>
      <c r="G1214" s="32">
        <f>_xlfn.XLOOKUP(B1214,Tableau13[ID_Antenne],Tableau13[Longitude],"Non répertoriées")</f>
        <v>23.902604</v>
      </c>
      <c r="H1214" t="s">
        <v>10</v>
      </c>
    </row>
    <row r="1215" spans="1:8" x14ac:dyDescent="0.25">
      <c r="A1215" s="1">
        <v>45221.775000000001</v>
      </c>
      <c r="B1215" t="s">
        <v>524</v>
      </c>
      <c r="C1215" t="str">
        <f>_xlfn.XLOOKUP(B1215,Tableau13[ID_Antenne],Tableau13[Province_RDC],"Non répertoriées")</f>
        <v>Non répertoriées</v>
      </c>
      <c r="D1215">
        <v>62</v>
      </c>
      <c r="E1215" t="str">
        <f>_xlfn.XLOOKUP(B1215,Tableau13[ID_Antenne],Tableau13[Technologie],"Non répertoriées")</f>
        <v>Non répertoriées</v>
      </c>
      <c r="F1215" t="str">
        <f>_xlfn.XLOOKUP(B1215,Tableau13[ID_Antenne],Tableau13[Latitude],"Non répertoriées")</f>
        <v>Non répertoriées</v>
      </c>
      <c r="G1215" t="str">
        <f>_xlfn.XLOOKUP(B1215,Tableau13[ID_Antenne],Tableau13[Longitude],"Non répertoriées")</f>
        <v>Non répertoriées</v>
      </c>
      <c r="H1215" t="s">
        <v>5</v>
      </c>
    </row>
    <row r="1216" spans="1:8" x14ac:dyDescent="0.25">
      <c r="A1216" s="1">
        <v>45216.457638888889</v>
      </c>
      <c r="B1216" t="s">
        <v>667</v>
      </c>
      <c r="C1216" s="29" t="str">
        <f>_xlfn.XLOOKUP(B1216,Tableau13[ID_Antenne],Tableau13[Province_RDC],"Non répertoriées")</f>
        <v>Tshopo</v>
      </c>
      <c r="D1216">
        <v>27</v>
      </c>
      <c r="E1216" s="31" t="str">
        <f>_xlfn.XLOOKUP(B1216,Tableau13[ID_Antenne],Tableau13[Technologie],"Non répertoriées")</f>
        <v>4G</v>
      </c>
      <c r="F1216" s="3">
        <f>_xlfn.XLOOKUP(B1216,Tableau13[ID_Antenne],Tableau13[Latitude],"Non répertoriées")</f>
        <v>-6.4670189999999996</v>
      </c>
      <c r="G1216" s="32">
        <f>_xlfn.XLOOKUP(B1216,Tableau13[ID_Antenne],Tableau13[Longitude],"Non répertoriées")</f>
        <v>29.487309</v>
      </c>
      <c r="H1216" t="s">
        <v>5</v>
      </c>
    </row>
    <row r="1217" spans="1:8" x14ac:dyDescent="0.25">
      <c r="A1217" s="1">
        <v>45208.279166666667</v>
      </c>
      <c r="B1217" t="s">
        <v>335</v>
      </c>
      <c r="C1217" t="str">
        <f>_xlfn.XLOOKUP(B1217,Tableau13[ID_Antenne],Tableau13[Province_RDC],"Non répertoriées")</f>
        <v>Non répertoriées</v>
      </c>
      <c r="D1217">
        <v>120</v>
      </c>
      <c r="E1217" t="str">
        <f>_xlfn.XLOOKUP(B1217,Tableau13[ID_Antenne],Tableau13[Technologie],"Non répertoriées")</f>
        <v>Non répertoriées</v>
      </c>
      <c r="F1217" t="str">
        <f>_xlfn.XLOOKUP(B1217,Tableau13[ID_Antenne],Tableau13[Latitude],"Non répertoriées")</f>
        <v>Non répertoriées</v>
      </c>
      <c r="G1217" t="str">
        <f>_xlfn.XLOOKUP(B1217,Tableau13[ID_Antenne],Tableau13[Longitude],"Non répertoriées")</f>
        <v>Non répertoriées</v>
      </c>
      <c r="H1217" t="s">
        <v>8</v>
      </c>
    </row>
    <row r="1218" spans="1:8" x14ac:dyDescent="0.25">
      <c r="A1218" s="1">
        <v>45222.427083333343</v>
      </c>
      <c r="B1218" t="s">
        <v>711</v>
      </c>
      <c r="C1218" s="29" t="str">
        <f>_xlfn.XLOOKUP(B1218,Tableau13[ID_Antenne],Tableau13[Province_RDC],"Non répertoriées")</f>
        <v>Lualaba</v>
      </c>
      <c r="D1218">
        <v>96</v>
      </c>
      <c r="E1218" s="31" t="str">
        <f>_xlfn.XLOOKUP(B1218,Tableau13[ID_Antenne],Tableau13[Technologie],"Non répertoriées")</f>
        <v>4G</v>
      </c>
      <c r="F1218" s="3">
        <f>_xlfn.XLOOKUP(B1218,Tableau13[ID_Antenne],Tableau13[Latitude],"Non répertoriées")</f>
        <v>-3.234483</v>
      </c>
      <c r="G1218" s="32">
        <f>_xlfn.XLOOKUP(B1218,Tableau13[ID_Antenne],Tableau13[Longitude],"Non répertoriées")</f>
        <v>13.241939</v>
      </c>
      <c r="H1218" t="s">
        <v>5</v>
      </c>
    </row>
    <row r="1219" spans="1:8" x14ac:dyDescent="0.25">
      <c r="A1219" s="1">
        <v>45208.505555555559</v>
      </c>
      <c r="B1219" t="s">
        <v>85</v>
      </c>
      <c r="C1219" s="29" t="str">
        <f>_xlfn.XLOOKUP(B1219,Tableau13[ID_Antenne],Tableau13[Province_RDC],"Non répertoriées")</f>
        <v>Ituri</v>
      </c>
      <c r="D1219">
        <v>61</v>
      </c>
      <c r="E1219" s="31" t="str">
        <f>_xlfn.XLOOKUP(B1219,Tableau13[ID_Antenne],Tableau13[Technologie],"Non répertoriées")</f>
        <v>3G</v>
      </c>
      <c r="F1219" s="3">
        <f>_xlfn.XLOOKUP(B1219,Tableau13[ID_Antenne],Tableau13[Latitude],"Non répertoriées")</f>
        <v>-7.0076900000000002</v>
      </c>
      <c r="G1219" s="32">
        <f>_xlfn.XLOOKUP(B1219,Tableau13[ID_Antenne],Tableau13[Longitude],"Non répertoriées")</f>
        <v>27.367121999999998</v>
      </c>
      <c r="H1219" t="s">
        <v>8</v>
      </c>
    </row>
    <row r="1220" spans="1:8" x14ac:dyDescent="0.25">
      <c r="A1220" s="1">
        <v>45221.84652777778</v>
      </c>
      <c r="B1220" t="s">
        <v>173</v>
      </c>
      <c r="C1220" t="str">
        <f>_xlfn.XLOOKUP(B1220,Tableau13[ID_Antenne],Tableau13[Province_RDC],"Non répertoriées")</f>
        <v>Non répertoriées</v>
      </c>
      <c r="D1220">
        <v>16</v>
      </c>
      <c r="E1220" t="str">
        <f>_xlfn.XLOOKUP(B1220,Tableau13[ID_Antenne],Tableau13[Technologie],"Non répertoriées")</f>
        <v>Non répertoriées</v>
      </c>
      <c r="F1220" t="str">
        <f>_xlfn.XLOOKUP(B1220,Tableau13[ID_Antenne],Tableau13[Latitude],"Non répertoriées")</f>
        <v>Non répertoriées</v>
      </c>
      <c r="G1220" t="str">
        <f>_xlfn.XLOOKUP(B1220,Tableau13[ID_Antenne],Tableau13[Longitude],"Non répertoriées")</f>
        <v>Non répertoriées</v>
      </c>
      <c r="H1220" t="s">
        <v>8</v>
      </c>
    </row>
    <row r="1221" spans="1:8" x14ac:dyDescent="0.25">
      <c r="A1221" s="1">
        <v>45214.457638888889</v>
      </c>
      <c r="B1221" t="s">
        <v>698</v>
      </c>
      <c r="C1221" t="str">
        <f>_xlfn.XLOOKUP(B1221,Tableau13[ID_Antenne],Tableau13[Province_RDC],"Non répertoriées")</f>
        <v>Non répertoriées</v>
      </c>
      <c r="D1221">
        <v>108</v>
      </c>
      <c r="E1221" t="str">
        <f>_xlfn.XLOOKUP(B1221,Tableau13[ID_Antenne],Tableau13[Technologie],"Non répertoriées")</f>
        <v>Non répertoriées</v>
      </c>
      <c r="F1221" t="str">
        <f>_xlfn.XLOOKUP(B1221,Tableau13[ID_Antenne],Tableau13[Latitude],"Non répertoriées")</f>
        <v>Non répertoriées</v>
      </c>
      <c r="G1221" t="str">
        <f>_xlfn.XLOOKUP(B1221,Tableau13[ID_Antenne],Tableau13[Longitude],"Non répertoriées")</f>
        <v>Non répertoriées</v>
      </c>
      <c r="H1221" t="s">
        <v>10</v>
      </c>
    </row>
    <row r="1222" spans="1:8" x14ac:dyDescent="0.25">
      <c r="A1222" s="1">
        <v>45224.083333333343</v>
      </c>
      <c r="B1222" t="s">
        <v>712</v>
      </c>
      <c r="C1222" s="29" t="str">
        <f>_xlfn.XLOOKUP(B1222,Tableau13[ID_Antenne],Tableau13[Province_RDC],"Non répertoriées")</f>
        <v>Tanganyika</v>
      </c>
      <c r="D1222">
        <v>92</v>
      </c>
      <c r="E1222" s="31" t="str">
        <f>_xlfn.XLOOKUP(B1222,Tableau13[ID_Antenne],Tableau13[Technologie],"Non répertoriées")</f>
        <v>5G</v>
      </c>
      <c r="F1222" s="3">
        <f>_xlfn.XLOOKUP(B1222,Tableau13[ID_Antenne],Tableau13[Latitude],"Non répertoriées")</f>
        <v>-12.824638999999999</v>
      </c>
      <c r="G1222" s="32">
        <f>_xlfn.XLOOKUP(B1222,Tableau13[ID_Antenne],Tableau13[Longitude],"Non répertoriées")</f>
        <v>24.407249</v>
      </c>
      <c r="H1222" t="s">
        <v>5</v>
      </c>
    </row>
    <row r="1223" spans="1:8" x14ac:dyDescent="0.25">
      <c r="A1223" s="1">
        <v>45214.816666666673</v>
      </c>
      <c r="B1223" t="s">
        <v>319</v>
      </c>
      <c r="C1223" s="29" t="str">
        <f>_xlfn.XLOOKUP(B1223,Tableau13[ID_Antenne],Tableau13[Province_RDC],"Non répertoriées")</f>
        <v>Bas-Uele</v>
      </c>
      <c r="D1223">
        <v>113</v>
      </c>
      <c r="E1223" s="31" t="str">
        <f>_xlfn.XLOOKUP(B1223,Tableau13[ID_Antenne],Tableau13[Technologie],"Non répertoriées")</f>
        <v>4G</v>
      </c>
      <c r="F1223" s="3">
        <f>_xlfn.XLOOKUP(B1223,Tableau13[ID_Antenne],Tableau13[Latitude],"Non répertoriées")</f>
        <v>-2.2876210000000001</v>
      </c>
      <c r="G1223" s="32">
        <f>_xlfn.XLOOKUP(B1223,Tableau13[ID_Antenne],Tableau13[Longitude],"Non répertoriées")</f>
        <v>27.582545</v>
      </c>
      <c r="H1223" t="s">
        <v>5</v>
      </c>
    </row>
    <row r="1224" spans="1:8" x14ac:dyDescent="0.25">
      <c r="A1224" s="1">
        <v>45203.106944444437</v>
      </c>
      <c r="B1224" t="s">
        <v>709</v>
      </c>
      <c r="C1224" t="str">
        <f>_xlfn.XLOOKUP(B1224,Tableau13[ID_Antenne],Tableau13[Province_RDC],"Non répertoriées")</f>
        <v>Non répertoriées</v>
      </c>
      <c r="D1224">
        <v>45</v>
      </c>
      <c r="E1224" t="str">
        <f>_xlfn.XLOOKUP(B1224,Tableau13[ID_Antenne],Tableau13[Technologie],"Non répertoriées")</f>
        <v>Non répertoriées</v>
      </c>
      <c r="F1224" t="str">
        <f>_xlfn.XLOOKUP(B1224,Tableau13[ID_Antenne],Tableau13[Latitude],"Non répertoriées")</f>
        <v>Non répertoriées</v>
      </c>
      <c r="G1224" t="str">
        <f>_xlfn.XLOOKUP(B1224,Tableau13[ID_Antenne],Tableau13[Longitude],"Non répertoriées")</f>
        <v>Non répertoriées</v>
      </c>
      <c r="H1224" t="s">
        <v>8</v>
      </c>
    </row>
    <row r="1225" spans="1:8" x14ac:dyDescent="0.25">
      <c r="A1225" s="1">
        <v>45206.677777777782</v>
      </c>
      <c r="B1225" t="s">
        <v>479</v>
      </c>
      <c r="C1225" s="29" t="str">
        <f>_xlfn.XLOOKUP(B1225,Tableau13[ID_Antenne],Tableau13[Province_RDC],"Non répertoriées")</f>
        <v>Maniema</v>
      </c>
      <c r="D1225">
        <v>90</v>
      </c>
      <c r="E1225" s="31" t="str">
        <f>_xlfn.XLOOKUP(B1225,Tableau13[ID_Antenne],Tableau13[Technologie],"Non répertoriées")</f>
        <v>4G</v>
      </c>
      <c r="F1225" s="3">
        <f>_xlfn.XLOOKUP(B1225,Tableau13[ID_Antenne],Tableau13[Latitude],"Non répertoriées")</f>
        <v>4.8228650000000002</v>
      </c>
      <c r="G1225" s="32">
        <f>_xlfn.XLOOKUP(B1225,Tableau13[ID_Antenne],Tableau13[Longitude],"Non répertoriées")</f>
        <v>30.555627000000001</v>
      </c>
      <c r="H1225" t="s">
        <v>10</v>
      </c>
    </row>
    <row r="1226" spans="1:8" x14ac:dyDescent="0.25">
      <c r="A1226" s="1">
        <v>45204.49722222222</v>
      </c>
      <c r="B1226" t="s">
        <v>232</v>
      </c>
      <c r="C1226" s="29" t="str">
        <f>_xlfn.XLOOKUP(B1226,Tableau13[ID_Antenne],Tableau13[Province_RDC],"Non répertoriées")</f>
        <v>Sud-Kivu</v>
      </c>
      <c r="D1226">
        <v>49</v>
      </c>
      <c r="E1226" s="31" t="str">
        <f>_xlfn.XLOOKUP(B1226,Tableau13[ID_Antenne],Tableau13[Technologie],"Non répertoriées")</f>
        <v>3G</v>
      </c>
      <c r="F1226" s="3">
        <f>_xlfn.XLOOKUP(B1226,Tableau13[ID_Antenne],Tableau13[Latitude],"Non répertoriées")</f>
        <v>-9.3900009999999998</v>
      </c>
      <c r="G1226" s="32">
        <f>_xlfn.XLOOKUP(B1226,Tableau13[ID_Antenne],Tableau13[Longitude],"Non répertoriées")</f>
        <v>30.001517</v>
      </c>
      <c r="H1226" t="s">
        <v>5</v>
      </c>
    </row>
    <row r="1227" spans="1:8" x14ac:dyDescent="0.25">
      <c r="A1227" s="1">
        <v>45202.307638888888</v>
      </c>
      <c r="B1227" t="s">
        <v>220</v>
      </c>
      <c r="C1227" s="29" t="str">
        <f>_xlfn.XLOOKUP(B1227,Tableau13[ID_Antenne],Tableau13[Province_RDC],"Non répertoriées")</f>
        <v>Haut-Lomami</v>
      </c>
      <c r="D1227">
        <v>95</v>
      </c>
      <c r="E1227" s="31" t="str">
        <f>_xlfn.XLOOKUP(B1227,Tableau13[ID_Antenne],Tableau13[Technologie],"Non répertoriées")</f>
        <v>4G</v>
      </c>
      <c r="F1227" s="3">
        <f>_xlfn.XLOOKUP(B1227,Tableau13[ID_Antenne],Tableau13[Latitude],"Non répertoriées")</f>
        <v>-6.3324319999999998</v>
      </c>
      <c r="G1227" s="32">
        <f>_xlfn.XLOOKUP(B1227,Tableau13[ID_Antenne],Tableau13[Longitude],"Non répertoriées")</f>
        <v>24.887858000000001</v>
      </c>
      <c r="H1227" t="s">
        <v>10</v>
      </c>
    </row>
    <row r="1228" spans="1:8" x14ac:dyDescent="0.25">
      <c r="A1228" s="1">
        <v>45209.227777777778</v>
      </c>
      <c r="B1228" t="s">
        <v>214</v>
      </c>
      <c r="C1228" t="str">
        <f>_xlfn.XLOOKUP(B1228,Tableau13[ID_Antenne],Tableau13[Province_RDC],"Non répertoriées")</f>
        <v>Non répertoriées</v>
      </c>
      <c r="D1228">
        <v>13</v>
      </c>
      <c r="E1228" t="str">
        <f>_xlfn.XLOOKUP(B1228,Tableau13[ID_Antenne],Tableau13[Technologie],"Non répertoriées")</f>
        <v>Non répertoriées</v>
      </c>
      <c r="F1228" t="str">
        <f>_xlfn.XLOOKUP(B1228,Tableau13[ID_Antenne],Tableau13[Latitude],"Non répertoriées")</f>
        <v>Non répertoriées</v>
      </c>
      <c r="G1228" t="str">
        <f>_xlfn.XLOOKUP(B1228,Tableau13[ID_Antenne],Tableau13[Longitude],"Non répertoriées")</f>
        <v>Non répertoriées</v>
      </c>
      <c r="H1228" t="s">
        <v>8</v>
      </c>
    </row>
    <row r="1229" spans="1:8" x14ac:dyDescent="0.25">
      <c r="A1229" s="1">
        <v>45226.739583333343</v>
      </c>
      <c r="B1229" t="s">
        <v>558</v>
      </c>
      <c r="C1229" t="str">
        <f>_xlfn.XLOOKUP(B1229,Tableau13[ID_Antenne],Tableau13[Province_RDC],"Non répertoriées")</f>
        <v>Non répertoriées</v>
      </c>
      <c r="D1229">
        <v>75</v>
      </c>
      <c r="E1229" t="str">
        <f>_xlfn.XLOOKUP(B1229,Tableau13[ID_Antenne],Tableau13[Technologie],"Non répertoriées")</f>
        <v>Non répertoriées</v>
      </c>
      <c r="F1229" t="str">
        <f>_xlfn.XLOOKUP(B1229,Tableau13[ID_Antenne],Tableau13[Latitude],"Non répertoriées")</f>
        <v>Non répertoriées</v>
      </c>
      <c r="G1229" t="str">
        <f>_xlfn.XLOOKUP(B1229,Tableau13[ID_Antenne],Tableau13[Longitude],"Non répertoriées")</f>
        <v>Non répertoriées</v>
      </c>
      <c r="H1229" t="s">
        <v>5</v>
      </c>
    </row>
    <row r="1230" spans="1:8" x14ac:dyDescent="0.25">
      <c r="A1230" s="1">
        <v>45209.82708333333</v>
      </c>
      <c r="B1230" t="s">
        <v>579</v>
      </c>
      <c r="C1230" s="29" t="str">
        <f>_xlfn.XLOOKUP(B1230,Tableau13[ID_Antenne],Tableau13[Province_RDC],"Non répertoriées")</f>
        <v>Kasai-Oriental</v>
      </c>
      <c r="D1230">
        <v>74</v>
      </c>
      <c r="E1230" s="31" t="str">
        <f>_xlfn.XLOOKUP(B1230,Tableau13[ID_Antenne],Tableau13[Technologie],"Non répertoriées")</f>
        <v>5G</v>
      </c>
      <c r="F1230" s="3">
        <f>_xlfn.XLOOKUP(B1230,Tableau13[ID_Antenne],Tableau13[Latitude],"Non répertoriées")</f>
        <v>1.7832440000000001</v>
      </c>
      <c r="G1230" s="32">
        <f>_xlfn.XLOOKUP(B1230,Tableau13[ID_Antenne],Tableau13[Longitude],"Non répertoriées")</f>
        <v>25.477405999999998</v>
      </c>
      <c r="H1230" t="s">
        <v>10</v>
      </c>
    </row>
    <row r="1231" spans="1:8" x14ac:dyDescent="0.25">
      <c r="A1231" s="1">
        <v>45220.666666666657</v>
      </c>
      <c r="B1231" t="s">
        <v>60</v>
      </c>
      <c r="C1231" t="str">
        <f>_xlfn.XLOOKUP(B1231,Tableau13[ID_Antenne],Tableau13[Province_RDC],"Non répertoriées")</f>
        <v>Non répertoriées</v>
      </c>
      <c r="D1231">
        <v>42</v>
      </c>
      <c r="E1231" t="str">
        <f>_xlfn.XLOOKUP(B1231,Tableau13[ID_Antenne],Tableau13[Technologie],"Non répertoriées")</f>
        <v>Non répertoriées</v>
      </c>
      <c r="F1231" t="str">
        <f>_xlfn.XLOOKUP(B1231,Tableau13[ID_Antenne],Tableau13[Latitude],"Non répertoriées")</f>
        <v>Non répertoriées</v>
      </c>
      <c r="G1231" t="str">
        <f>_xlfn.XLOOKUP(B1231,Tableau13[ID_Antenne],Tableau13[Longitude],"Non répertoriées")</f>
        <v>Non répertoriées</v>
      </c>
      <c r="H1231" t="s">
        <v>5</v>
      </c>
    </row>
    <row r="1232" spans="1:8" x14ac:dyDescent="0.25">
      <c r="A1232" s="1">
        <v>45221.72152777778</v>
      </c>
      <c r="B1232" t="s">
        <v>713</v>
      </c>
      <c r="C1232" t="str">
        <f>_xlfn.XLOOKUP(B1232,Tableau13[ID_Antenne],Tableau13[Province_RDC],"Non répertoriées")</f>
        <v>Non répertoriées</v>
      </c>
      <c r="D1232">
        <v>119</v>
      </c>
      <c r="E1232" t="str">
        <f>_xlfn.XLOOKUP(B1232,Tableau13[ID_Antenne],Tableau13[Technologie],"Non répertoriées")</f>
        <v>Non répertoriées</v>
      </c>
      <c r="F1232" t="str">
        <f>_xlfn.XLOOKUP(B1232,Tableau13[ID_Antenne],Tableau13[Latitude],"Non répertoriées")</f>
        <v>Non répertoriées</v>
      </c>
      <c r="G1232" t="str">
        <f>_xlfn.XLOOKUP(B1232,Tableau13[ID_Antenne],Tableau13[Longitude],"Non répertoriées")</f>
        <v>Non répertoriées</v>
      </c>
      <c r="H1232" t="s">
        <v>5</v>
      </c>
    </row>
    <row r="1233" spans="1:8" x14ac:dyDescent="0.25">
      <c r="A1233" s="1">
        <v>45229.879166666673</v>
      </c>
      <c r="B1233" t="s">
        <v>30</v>
      </c>
      <c r="C1233" s="29" t="str">
        <f>_xlfn.XLOOKUP(B1233,Tableau13[ID_Antenne],Tableau13[Province_RDC],"Non répertoriées")</f>
        <v>Sud-Ubangi</v>
      </c>
      <c r="D1233">
        <v>43</v>
      </c>
      <c r="E1233" s="31" t="str">
        <f>_xlfn.XLOOKUP(B1233,Tableau13[ID_Antenne],Tableau13[Technologie],"Non répertoriées")</f>
        <v>5G</v>
      </c>
      <c r="F1233" s="3">
        <f>_xlfn.XLOOKUP(B1233,Tableau13[ID_Antenne],Tableau13[Latitude],"Non répertoriées")</f>
        <v>-10.56448</v>
      </c>
      <c r="G1233" s="32">
        <f>_xlfn.XLOOKUP(B1233,Tableau13[ID_Antenne],Tableau13[Longitude],"Non répertoriées")</f>
        <v>19.792876</v>
      </c>
      <c r="H1233" t="s">
        <v>10</v>
      </c>
    </row>
    <row r="1234" spans="1:8" x14ac:dyDescent="0.25">
      <c r="A1234" s="1">
        <v>45230.177777777782</v>
      </c>
      <c r="B1234" t="s">
        <v>549</v>
      </c>
      <c r="C1234" t="str">
        <f>_xlfn.XLOOKUP(B1234,Tableau13[ID_Antenne],Tableau13[Province_RDC],"Non répertoriées")</f>
        <v>Non répertoriées</v>
      </c>
      <c r="D1234">
        <v>113</v>
      </c>
      <c r="E1234" t="str">
        <f>_xlfn.XLOOKUP(B1234,Tableau13[ID_Antenne],Tableau13[Technologie],"Non répertoriées")</f>
        <v>Non répertoriées</v>
      </c>
      <c r="F1234" t="str">
        <f>_xlfn.XLOOKUP(B1234,Tableau13[ID_Antenne],Tableau13[Latitude],"Non répertoriées")</f>
        <v>Non répertoriées</v>
      </c>
      <c r="G1234" t="str">
        <f>_xlfn.XLOOKUP(B1234,Tableau13[ID_Antenne],Tableau13[Longitude],"Non répertoriées")</f>
        <v>Non répertoriées</v>
      </c>
      <c r="H1234" t="s">
        <v>5</v>
      </c>
    </row>
    <row r="1235" spans="1:8" x14ac:dyDescent="0.25">
      <c r="A1235" s="1">
        <v>45203.157638888893</v>
      </c>
      <c r="B1235" t="s">
        <v>425</v>
      </c>
      <c r="C1235" t="str">
        <f>_xlfn.XLOOKUP(B1235,Tableau13[ID_Antenne],Tableau13[Province_RDC],"Non répertoriées")</f>
        <v>Non répertoriées</v>
      </c>
      <c r="D1235">
        <v>25</v>
      </c>
      <c r="E1235" t="str">
        <f>_xlfn.XLOOKUP(B1235,Tableau13[ID_Antenne],Tableau13[Technologie],"Non répertoriées")</f>
        <v>Non répertoriées</v>
      </c>
      <c r="F1235" t="str">
        <f>_xlfn.XLOOKUP(B1235,Tableau13[ID_Antenne],Tableau13[Latitude],"Non répertoriées")</f>
        <v>Non répertoriées</v>
      </c>
      <c r="G1235" t="str">
        <f>_xlfn.XLOOKUP(B1235,Tableau13[ID_Antenne],Tableau13[Longitude],"Non répertoriées")</f>
        <v>Non répertoriées</v>
      </c>
      <c r="H1235" t="s">
        <v>8</v>
      </c>
    </row>
    <row r="1236" spans="1:8" x14ac:dyDescent="0.25">
      <c r="A1236" s="1">
        <v>45217.178472222222</v>
      </c>
      <c r="B1236" t="s">
        <v>61</v>
      </c>
      <c r="C1236" t="str">
        <f>_xlfn.XLOOKUP(B1236,Tableau13[ID_Antenne],Tableau13[Province_RDC],"Non répertoriées")</f>
        <v>Non répertoriées</v>
      </c>
      <c r="D1236">
        <v>96</v>
      </c>
      <c r="E1236" t="str">
        <f>_xlfn.XLOOKUP(B1236,Tableau13[ID_Antenne],Tableau13[Technologie],"Non répertoriées")</f>
        <v>Non répertoriées</v>
      </c>
      <c r="F1236" t="str">
        <f>_xlfn.XLOOKUP(B1236,Tableau13[ID_Antenne],Tableau13[Latitude],"Non répertoriées")</f>
        <v>Non répertoriées</v>
      </c>
      <c r="G1236" t="str">
        <f>_xlfn.XLOOKUP(B1236,Tableau13[ID_Antenne],Tableau13[Longitude],"Non répertoriées")</f>
        <v>Non répertoriées</v>
      </c>
      <c r="H1236" t="s">
        <v>5</v>
      </c>
    </row>
    <row r="1237" spans="1:8" x14ac:dyDescent="0.25">
      <c r="A1237" s="1">
        <v>45209.800694444442</v>
      </c>
      <c r="B1237" t="s">
        <v>374</v>
      </c>
      <c r="C1237" t="str">
        <f>_xlfn.XLOOKUP(B1237,Tableau13[ID_Antenne],Tableau13[Province_RDC],"Non répertoriées")</f>
        <v>Non répertoriées</v>
      </c>
      <c r="D1237">
        <v>95</v>
      </c>
      <c r="E1237" t="str">
        <f>_xlfn.XLOOKUP(B1237,Tableau13[ID_Antenne],Tableau13[Technologie],"Non répertoriées")</f>
        <v>Non répertoriées</v>
      </c>
      <c r="F1237" t="str">
        <f>_xlfn.XLOOKUP(B1237,Tableau13[ID_Antenne],Tableau13[Latitude],"Non répertoriées")</f>
        <v>Non répertoriées</v>
      </c>
      <c r="G1237" t="str">
        <f>_xlfn.XLOOKUP(B1237,Tableau13[ID_Antenne],Tableau13[Longitude],"Non répertoriées")</f>
        <v>Non répertoriées</v>
      </c>
      <c r="H1237" t="s">
        <v>5</v>
      </c>
    </row>
    <row r="1238" spans="1:8" x14ac:dyDescent="0.25">
      <c r="A1238" s="1">
        <v>45222.425694444442</v>
      </c>
      <c r="B1238" t="s">
        <v>687</v>
      </c>
      <c r="C1238" s="29" t="str">
        <f>_xlfn.XLOOKUP(B1238,Tableau13[ID_Antenne],Tableau13[Province_RDC],"Non répertoriées")</f>
        <v>Sud-Kivu</v>
      </c>
      <c r="D1238">
        <v>94</v>
      </c>
      <c r="E1238" s="31" t="str">
        <f>_xlfn.XLOOKUP(B1238,Tableau13[ID_Antenne],Tableau13[Technologie],"Non répertoriées")</f>
        <v>3G</v>
      </c>
      <c r="F1238" s="3">
        <f>_xlfn.XLOOKUP(B1238,Tableau13[ID_Antenne],Tableau13[Latitude],"Non répertoriées")</f>
        <v>-3.6233270000000002</v>
      </c>
      <c r="G1238" s="32">
        <f>_xlfn.XLOOKUP(B1238,Tableau13[ID_Antenne],Tableau13[Longitude],"Non répertoriées")</f>
        <v>25.915645999999999</v>
      </c>
      <c r="H1238" t="s">
        <v>10</v>
      </c>
    </row>
    <row r="1239" spans="1:8" x14ac:dyDescent="0.25">
      <c r="A1239" s="1">
        <v>45221.870833333327</v>
      </c>
      <c r="B1239" t="s">
        <v>645</v>
      </c>
      <c r="C1239" t="str">
        <f>_xlfn.XLOOKUP(B1239,Tableau13[ID_Antenne],Tableau13[Province_RDC],"Non répertoriées")</f>
        <v>Non répertoriées</v>
      </c>
      <c r="D1239">
        <v>86</v>
      </c>
      <c r="E1239" t="str">
        <f>_xlfn.XLOOKUP(B1239,Tableau13[ID_Antenne],Tableau13[Technologie],"Non répertoriées")</f>
        <v>Non répertoriées</v>
      </c>
      <c r="F1239" t="str">
        <f>_xlfn.XLOOKUP(B1239,Tableau13[ID_Antenne],Tableau13[Latitude],"Non répertoriées")</f>
        <v>Non répertoriées</v>
      </c>
      <c r="G1239" t="str">
        <f>_xlfn.XLOOKUP(B1239,Tableau13[ID_Antenne],Tableau13[Longitude],"Non répertoriées")</f>
        <v>Non répertoriées</v>
      </c>
      <c r="H1239" t="s">
        <v>10</v>
      </c>
    </row>
    <row r="1240" spans="1:8" x14ac:dyDescent="0.25">
      <c r="A1240" s="1">
        <v>45208.688194444447</v>
      </c>
      <c r="B1240" t="s">
        <v>690</v>
      </c>
      <c r="C1240" t="str">
        <f>_xlfn.XLOOKUP(B1240,Tableau13[ID_Antenne],Tableau13[Province_RDC],"Non répertoriées")</f>
        <v>Non répertoriées</v>
      </c>
      <c r="D1240">
        <v>27</v>
      </c>
      <c r="E1240" t="str">
        <f>_xlfn.XLOOKUP(B1240,Tableau13[ID_Antenne],Tableau13[Technologie],"Non répertoriées")</f>
        <v>Non répertoriées</v>
      </c>
      <c r="F1240" t="str">
        <f>_xlfn.XLOOKUP(B1240,Tableau13[ID_Antenne],Tableau13[Latitude],"Non répertoriées")</f>
        <v>Non répertoriées</v>
      </c>
      <c r="G1240" t="str">
        <f>_xlfn.XLOOKUP(B1240,Tableau13[ID_Antenne],Tableau13[Longitude],"Non répertoriées")</f>
        <v>Non répertoriées</v>
      </c>
      <c r="H1240" t="s">
        <v>10</v>
      </c>
    </row>
    <row r="1241" spans="1:8" x14ac:dyDescent="0.25">
      <c r="A1241" s="1">
        <v>45208.045138888891</v>
      </c>
      <c r="B1241" t="s">
        <v>714</v>
      </c>
      <c r="C1241" t="str">
        <f>_xlfn.XLOOKUP(B1241,Tableau13[ID_Antenne],Tableau13[Province_RDC],"Non répertoriées")</f>
        <v>Non répertoriées</v>
      </c>
      <c r="D1241">
        <v>106</v>
      </c>
      <c r="E1241" t="str">
        <f>_xlfn.XLOOKUP(B1241,Tableau13[ID_Antenne],Tableau13[Technologie],"Non répertoriées")</f>
        <v>Non répertoriées</v>
      </c>
      <c r="F1241" t="str">
        <f>_xlfn.XLOOKUP(B1241,Tableau13[ID_Antenne],Tableau13[Latitude],"Non répertoriées")</f>
        <v>Non répertoriées</v>
      </c>
      <c r="G1241" t="str">
        <f>_xlfn.XLOOKUP(B1241,Tableau13[ID_Antenne],Tableau13[Longitude],"Non répertoriées")</f>
        <v>Non répertoriées</v>
      </c>
      <c r="H1241" t="s">
        <v>5</v>
      </c>
    </row>
    <row r="1242" spans="1:8" x14ac:dyDescent="0.25">
      <c r="A1242" s="1">
        <v>45220.578472222223</v>
      </c>
      <c r="B1242" t="s">
        <v>349</v>
      </c>
      <c r="C1242" t="str">
        <f>_xlfn.XLOOKUP(B1242,Tableau13[ID_Antenne],Tableau13[Province_RDC],"Non répertoriées")</f>
        <v>Non répertoriées</v>
      </c>
      <c r="D1242">
        <v>51</v>
      </c>
      <c r="E1242" t="str">
        <f>_xlfn.XLOOKUP(B1242,Tableau13[ID_Antenne],Tableau13[Technologie],"Non répertoriées")</f>
        <v>Non répertoriées</v>
      </c>
      <c r="F1242" t="str">
        <f>_xlfn.XLOOKUP(B1242,Tableau13[ID_Antenne],Tableau13[Latitude],"Non répertoriées")</f>
        <v>Non répertoriées</v>
      </c>
      <c r="G1242" t="str">
        <f>_xlfn.XLOOKUP(B1242,Tableau13[ID_Antenne],Tableau13[Longitude],"Non répertoriées")</f>
        <v>Non répertoriées</v>
      </c>
      <c r="H1242" t="s">
        <v>10</v>
      </c>
    </row>
    <row r="1243" spans="1:8" x14ac:dyDescent="0.25">
      <c r="A1243" s="1">
        <v>45208.041666666657</v>
      </c>
      <c r="B1243" t="s">
        <v>682</v>
      </c>
      <c r="C1243" t="str">
        <f>_xlfn.XLOOKUP(B1243,Tableau13[ID_Antenne],Tableau13[Province_RDC],"Non répertoriées")</f>
        <v>Non répertoriées</v>
      </c>
      <c r="D1243">
        <v>70</v>
      </c>
      <c r="E1243" t="str">
        <f>_xlfn.XLOOKUP(B1243,Tableau13[ID_Antenne],Tableau13[Technologie],"Non répertoriées")</f>
        <v>Non répertoriées</v>
      </c>
      <c r="F1243" t="str">
        <f>_xlfn.XLOOKUP(B1243,Tableau13[ID_Antenne],Tableau13[Latitude],"Non répertoriées")</f>
        <v>Non répertoriées</v>
      </c>
      <c r="G1243" t="str">
        <f>_xlfn.XLOOKUP(B1243,Tableau13[ID_Antenne],Tableau13[Longitude],"Non répertoriées")</f>
        <v>Non répertoriées</v>
      </c>
      <c r="H1243" t="s">
        <v>5</v>
      </c>
    </row>
    <row r="1244" spans="1:8" x14ac:dyDescent="0.25">
      <c r="A1244" s="1">
        <v>45210.194444444453</v>
      </c>
      <c r="B1244" t="s">
        <v>288</v>
      </c>
      <c r="C1244" t="str">
        <f>_xlfn.XLOOKUP(B1244,Tableau13[ID_Antenne],Tableau13[Province_RDC],"Non répertoriées")</f>
        <v>Non répertoriées</v>
      </c>
      <c r="D1244">
        <v>33</v>
      </c>
      <c r="E1244" t="str">
        <f>_xlfn.XLOOKUP(B1244,Tableau13[ID_Antenne],Tableau13[Technologie],"Non répertoriées")</f>
        <v>Non répertoriées</v>
      </c>
      <c r="F1244" t="str">
        <f>_xlfn.XLOOKUP(B1244,Tableau13[ID_Antenne],Tableau13[Latitude],"Non répertoriées")</f>
        <v>Non répertoriées</v>
      </c>
      <c r="G1244" t="str">
        <f>_xlfn.XLOOKUP(B1244,Tableau13[ID_Antenne],Tableau13[Longitude],"Non répertoriées")</f>
        <v>Non répertoriées</v>
      </c>
      <c r="H1244" t="s">
        <v>8</v>
      </c>
    </row>
    <row r="1245" spans="1:8" x14ac:dyDescent="0.25">
      <c r="A1245" s="1">
        <v>45208.240972222222</v>
      </c>
      <c r="B1245" t="s">
        <v>551</v>
      </c>
      <c r="C1245" t="str">
        <f>_xlfn.XLOOKUP(B1245,Tableau13[ID_Antenne],Tableau13[Province_RDC],"Non répertoriées")</f>
        <v>Non répertoriées</v>
      </c>
      <c r="D1245">
        <v>20</v>
      </c>
      <c r="E1245" t="str">
        <f>_xlfn.XLOOKUP(B1245,Tableau13[ID_Antenne],Tableau13[Technologie],"Non répertoriées")</f>
        <v>Non répertoriées</v>
      </c>
      <c r="F1245" t="str">
        <f>_xlfn.XLOOKUP(B1245,Tableau13[ID_Antenne],Tableau13[Latitude],"Non répertoriées")</f>
        <v>Non répertoriées</v>
      </c>
      <c r="G1245" t="str">
        <f>_xlfn.XLOOKUP(B1245,Tableau13[ID_Antenne],Tableau13[Longitude],"Non répertoriées")</f>
        <v>Non répertoriées</v>
      </c>
      <c r="H1245" t="s">
        <v>8</v>
      </c>
    </row>
    <row r="1246" spans="1:8" x14ac:dyDescent="0.25">
      <c r="A1246" s="1">
        <v>45214.739583333343</v>
      </c>
      <c r="B1246" t="s">
        <v>715</v>
      </c>
      <c r="C1246" t="str">
        <f>_xlfn.XLOOKUP(B1246,Tableau13[ID_Antenne],Tableau13[Province_RDC],"Non répertoriées")</f>
        <v>Non répertoriées</v>
      </c>
      <c r="D1246">
        <v>30</v>
      </c>
      <c r="E1246" t="str">
        <f>_xlfn.XLOOKUP(B1246,Tableau13[ID_Antenne],Tableau13[Technologie],"Non répertoriées")</f>
        <v>Non répertoriées</v>
      </c>
      <c r="F1246" t="str">
        <f>_xlfn.XLOOKUP(B1246,Tableau13[ID_Antenne],Tableau13[Latitude],"Non répertoriées")</f>
        <v>Non répertoriées</v>
      </c>
      <c r="G1246" t="str">
        <f>_xlfn.XLOOKUP(B1246,Tableau13[ID_Antenne],Tableau13[Longitude],"Non répertoriées")</f>
        <v>Non répertoriées</v>
      </c>
      <c r="H1246" t="s">
        <v>5</v>
      </c>
    </row>
    <row r="1247" spans="1:8" x14ac:dyDescent="0.25">
      <c r="A1247" s="1">
        <v>45213.708333333343</v>
      </c>
      <c r="B1247" t="s">
        <v>138</v>
      </c>
      <c r="C1247" s="29" t="str">
        <f>_xlfn.XLOOKUP(B1247,Tableau13[ID_Antenne],Tableau13[Province_RDC],"Non répertoriées")</f>
        <v>Mai-Ndombe</v>
      </c>
      <c r="D1247">
        <v>106</v>
      </c>
      <c r="E1247" s="31" t="str">
        <f>_xlfn.XLOOKUP(B1247,Tableau13[ID_Antenne],Tableau13[Technologie],"Non répertoriées")</f>
        <v>4G</v>
      </c>
      <c r="F1247" s="3">
        <f>_xlfn.XLOOKUP(B1247,Tableau13[ID_Antenne],Tableau13[Latitude],"Non répertoriées")</f>
        <v>-1.607639</v>
      </c>
      <c r="G1247" s="32">
        <f>_xlfn.XLOOKUP(B1247,Tableau13[ID_Antenne],Tableau13[Longitude],"Non répertoriées")</f>
        <v>17.003636</v>
      </c>
      <c r="H1247" t="s">
        <v>5</v>
      </c>
    </row>
    <row r="1248" spans="1:8" x14ac:dyDescent="0.25">
      <c r="A1248" s="1">
        <v>45203.12222222222</v>
      </c>
      <c r="B1248" t="s">
        <v>601</v>
      </c>
      <c r="C1248" t="str">
        <f>_xlfn.XLOOKUP(B1248,Tableau13[ID_Antenne],Tableau13[Province_RDC],"Non répertoriées")</f>
        <v>Non répertoriées</v>
      </c>
      <c r="D1248">
        <v>22</v>
      </c>
      <c r="E1248" t="str">
        <f>_xlfn.XLOOKUP(B1248,Tableau13[ID_Antenne],Tableau13[Technologie],"Non répertoriées")</f>
        <v>Non répertoriées</v>
      </c>
      <c r="F1248" t="str">
        <f>_xlfn.XLOOKUP(B1248,Tableau13[ID_Antenne],Tableau13[Latitude],"Non répertoriées")</f>
        <v>Non répertoriées</v>
      </c>
      <c r="G1248" t="str">
        <f>_xlfn.XLOOKUP(B1248,Tableau13[ID_Antenne],Tableau13[Longitude],"Non répertoriées")</f>
        <v>Non répertoriées</v>
      </c>
      <c r="H1248" t="s">
        <v>8</v>
      </c>
    </row>
    <row r="1249" spans="1:8" x14ac:dyDescent="0.25">
      <c r="A1249" s="1">
        <v>45222.19027777778</v>
      </c>
      <c r="B1249" t="s">
        <v>690</v>
      </c>
      <c r="C1249" t="str">
        <f>_xlfn.XLOOKUP(B1249,Tableau13[ID_Antenne],Tableau13[Province_RDC],"Non répertoriées")</f>
        <v>Non répertoriées</v>
      </c>
      <c r="D1249">
        <v>35</v>
      </c>
      <c r="E1249" t="str">
        <f>_xlfn.XLOOKUP(B1249,Tableau13[ID_Antenne],Tableau13[Technologie],"Non répertoriées")</f>
        <v>Non répertoriées</v>
      </c>
      <c r="F1249" t="str">
        <f>_xlfn.XLOOKUP(B1249,Tableau13[ID_Antenne],Tableau13[Latitude],"Non répertoriées")</f>
        <v>Non répertoriées</v>
      </c>
      <c r="G1249" t="str">
        <f>_xlfn.XLOOKUP(B1249,Tableau13[ID_Antenne],Tableau13[Longitude],"Non répertoriées")</f>
        <v>Non répertoriées</v>
      </c>
      <c r="H1249" t="s">
        <v>8</v>
      </c>
    </row>
    <row r="1250" spans="1:8" x14ac:dyDescent="0.25">
      <c r="A1250" s="1">
        <v>45201.484027777777</v>
      </c>
      <c r="B1250" t="s">
        <v>368</v>
      </c>
      <c r="C1250" s="29" t="str">
        <f>_xlfn.XLOOKUP(B1250,Tableau13[ID_Antenne],Tableau13[Province_RDC],"Non répertoriées")</f>
        <v>Sud-Ubangi</v>
      </c>
      <c r="D1250">
        <v>106</v>
      </c>
      <c r="E1250" s="31" t="str">
        <f>_xlfn.XLOOKUP(B1250,Tableau13[ID_Antenne],Tableau13[Technologie],"Non répertoriées")</f>
        <v>3G</v>
      </c>
      <c r="F1250" s="3">
        <f>_xlfn.XLOOKUP(B1250,Tableau13[ID_Antenne],Tableau13[Latitude],"Non répertoriées")</f>
        <v>-8.0864899999999995</v>
      </c>
      <c r="G1250" s="32">
        <f>_xlfn.XLOOKUP(B1250,Tableau13[ID_Antenne],Tableau13[Longitude],"Non répertoriées")</f>
        <v>14.555277</v>
      </c>
      <c r="H1250" t="s">
        <v>5</v>
      </c>
    </row>
    <row r="1251" spans="1:8" x14ac:dyDescent="0.25">
      <c r="A1251" s="1">
        <v>45217.185416666667</v>
      </c>
      <c r="B1251" t="s">
        <v>716</v>
      </c>
      <c r="C1251" s="29" t="str">
        <f>_xlfn.XLOOKUP(B1251,Tableau13[ID_Antenne],Tableau13[Province_RDC],"Non répertoriées")</f>
        <v>Kongo-Central</v>
      </c>
      <c r="D1251">
        <v>68</v>
      </c>
      <c r="E1251" s="31" t="str">
        <f>_xlfn.XLOOKUP(B1251,Tableau13[ID_Antenne],Tableau13[Technologie],"Non répertoriées")</f>
        <v>5G</v>
      </c>
      <c r="F1251" s="3">
        <f>_xlfn.XLOOKUP(B1251,Tableau13[ID_Antenne],Tableau13[Latitude],"Non répertoriées")</f>
        <v>-4.9108280000000004</v>
      </c>
      <c r="G1251" s="32">
        <f>_xlfn.XLOOKUP(B1251,Tableau13[ID_Antenne],Tableau13[Longitude],"Non répertoriées")</f>
        <v>17.670389</v>
      </c>
      <c r="H1251" t="s">
        <v>8</v>
      </c>
    </row>
    <row r="1252" spans="1:8" x14ac:dyDescent="0.25">
      <c r="A1252" s="1">
        <v>45204.054861111108</v>
      </c>
      <c r="B1252" t="s">
        <v>645</v>
      </c>
      <c r="C1252" t="str">
        <f>_xlfn.XLOOKUP(B1252,Tableau13[ID_Antenne],Tableau13[Province_RDC],"Non répertoriées")</f>
        <v>Non répertoriées</v>
      </c>
      <c r="D1252">
        <v>8</v>
      </c>
      <c r="E1252" t="str">
        <f>_xlfn.XLOOKUP(B1252,Tableau13[ID_Antenne],Tableau13[Technologie],"Non répertoriées")</f>
        <v>Non répertoriées</v>
      </c>
      <c r="F1252" t="str">
        <f>_xlfn.XLOOKUP(B1252,Tableau13[ID_Antenne],Tableau13[Latitude],"Non répertoriées")</f>
        <v>Non répertoriées</v>
      </c>
      <c r="G1252" t="str">
        <f>_xlfn.XLOOKUP(B1252,Tableau13[ID_Antenne],Tableau13[Longitude],"Non répertoriées")</f>
        <v>Non répertoriées</v>
      </c>
      <c r="H1252" t="s">
        <v>8</v>
      </c>
    </row>
    <row r="1253" spans="1:8" x14ac:dyDescent="0.25">
      <c r="A1253" s="1">
        <v>45211.081250000003</v>
      </c>
      <c r="B1253" t="s">
        <v>707</v>
      </c>
      <c r="C1253" s="29" t="str">
        <f>_xlfn.XLOOKUP(B1253,Tableau13[ID_Antenne],Tableau13[Province_RDC],"Non répertoriées")</f>
        <v>Lualaba</v>
      </c>
      <c r="D1253">
        <v>51</v>
      </c>
      <c r="E1253" s="31" t="str">
        <f>_xlfn.XLOOKUP(B1253,Tableau13[ID_Antenne],Tableau13[Technologie],"Non répertoriées")</f>
        <v>4G</v>
      </c>
      <c r="F1253" s="3">
        <f>_xlfn.XLOOKUP(B1253,Tableau13[ID_Antenne],Tableau13[Latitude],"Non répertoriées")</f>
        <v>2.266232</v>
      </c>
      <c r="G1253" s="32">
        <f>_xlfn.XLOOKUP(B1253,Tableau13[ID_Antenne],Tableau13[Longitude],"Non répertoriées")</f>
        <v>29.532896000000001</v>
      </c>
      <c r="H1253" t="s">
        <v>5</v>
      </c>
    </row>
    <row r="1254" spans="1:8" x14ac:dyDescent="0.25">
      <c r="A1254" s="1">
        <v>45211.279861111107</v>
      </c>
      <c r="B1254" t="s">
        <v>712</v>
      </c>
      <c r="C1254" s="29" t="str">
        <f>_xlfn.XLOOKUP(B1254,Tableau13[ID_Antenne],Tableau13[Province_RDC],"Non répertoriées")</f>
        <v>Tanganyika</v>
      </c>
      <c r="D1254">
        <v>75</v>
      </c>
      <c r="E1254" s="31" t="str">
        <f>_xlfn.XLOOKUP(B1254,Tableau13[ID_Antenne],Tableau13[Technologie],"Non répertoriées")</f>
        <v>5G</v>
      </c>
      <c r="F1254" s="3">
        <f>_xlfn.XLOOKUP(B1254,Tableau13[ID_Antenne],Tableau13[Latitude],"Non répertoriées")</f>
        <v>-12.824638999999999</v>
      </c>
      <c r="G1254" s="32">
        <f>_xlfn.XLOOKUP(B1254,Tableau13[ID_Antenne],Tableau13[Longitude],"Non répertoriées")</f>
        <v>24.407249</v>
      </c>
      <c r="H1254" t="s">
        <v>10</v>
      </c>
    </row>
    <row r="1255" spans="1:8" x14ac:dyDescent="0.25">
      <c r="A1255" s="1">
        <v>45207.879166666673</v>
      </c>
      <c r="B1255" t="s">
        <v>186</v>
      </c>
      <c r="C1255" s="29" t="str">
        <f>_xlfn.XLOOKUP(B1255,Tableau13[ID_Antenne],Tableau13[Province_RDC],"Non répertoriées")</f>
        <v>Mai-Ndombe</v>
      </c>
      <c r="D1255">
        <v>78</v>
      </c>
      <c r="E1255" s="31" t="str">
        <f>_xlfn.XLOOKUP(B1255,Tableau13[ID_Antenne],Tableau13[Technologie],"Non répertoriées")</f>
        <v>4G</v>
      </c>
      <c r="F1255" s="3">
        <f>_xlfn.XLOOKUP(B1255,Tableau13[ID_Antenne],Tableau13[Latitude],"Non répertoriées")</f>
        <v>-9.3652280000000001</v>
      </c>
      <c r="G1255" s="32">
        <f>_xlfn.XLOOKUP(B1255,Tableau13[ID_Antenne],Tableau13[Longitude],"Non répertoriées")</f>
        <v>18.674116000000001</v>
      </c>
      <c r="H1255" t="s">
        <v>10</v>
      </c>
    </row>
    <row r="1256" spans="1:8" x14ac:dyDescent="0.25">
      <c r="A1256" s="1">
        <v>45211.74722222222</v>
      </c>
      <c r="B1256" t="s">
        <v>622</v>
      </c>
      <c r="C1256" s="29" t="str">
        <f>_xlfn.XLOOKUP(B1256,Tableau13[ID_Antenne],Tableau13[Province_RDC],"Non répertoriées")</f>
        <v>Bas-Uele</v>
      </c>
      <c r="D1256">
        <v>52</v>
      </c>
      <c r="E1256" s="31" t="str">
        <f>_xlfn.XLOOKUP(B1256,Tableau13[ID_Antenne],Tableau13[Technologie],"Non répertoriées")</f>
        <v>4G</v>
      </c>
      <c r="F1256" s="3">
        <f>_xlfn.XLOOKUP(B1256,Tableau13[ID_Antenne],Tableau13[Latitude],"Non répertoriées")</f>
        <v>-1.6893210000000001</v>
      </c>
      <c r="G1256" s="32">
        <f>_xlfn.XLOOKUP(B1256,Tableau13[ID_Antenne],Tableau13[Longitude],"Non répertoriées")</f>
        <v>30.446543999999999</v>
      </c>
      <c r="H1256" t="s">
        <v>8</v>
      </c>
    </row>
    <row r="1257" spans="1:8" x14ac:dyDescent="0.25">
      <c r="A1257" s="1">
        <v>45227.568749999999</v>
      </c>
      <c r="B1257" t="s">
        <v>312</v>
      </c>
      <c r="C1257" s="29" t="str">
        <f>_xlfn.XLOOKUP(B1257,Tableau13[ID_Antenne],Tableau13[Province_RDC],"Non répertoriées")</f>
        <v>Mongala</v>
      </c>
      <c r="D1257">
        <v>64</v>
      </c>
      <c r="E1257" s="31" t="str">
        <f>_xlfn.XLOOKUP(B1257,Tableau13[ID_Antenne],Tableau13[Technologie],"Non répertoriées")</f>
        <v>3G</v>
      </c>
      <c r="F1257" s="3">
        <f>_xlfn.XLOOKUP(B1257,Tableau13[ID_Antenne],Tableau13[Latitude],"Non répertoriées")</f>
        <v>-1.231033</v>
      </c>
      <c r="G1257" s="32">
        <f>_xlfn.XLOOKUP(B1257,Tableau13[ID_Antenne],Tableau13[Longitude],"Non répertoriées")</f>
        <v>28.851388</v>
      </c>
      <c r="H1257" t="s">
        <v>5</v>
      </c>
    </row>
    <row r="1258" spans="1:8" x14ac:dyDescent="0.25">
      <c r="A1258" s="1">
        <v>45223.207638888889</v>
      </c>
      <c r="B1258" t="s">
        <v>324</v>
      </c>
      <c r="C1258" s="29" t="str">
        <f>_xlfn.XLOOKUP(B1258,Tableau13[ID_Antenne],Tableau13[Province_RDC],"Non répertoriées")</f>
        <v>Sud-Kivu</v>
      </c>
      <c r="D1258">
        <v>107</v>
      </c>
      <c r="E1258" s="31" t="str">
        <f>_xlfn.XLOOKUP(B1258,Tableau13[ID_Antenne],Tableau13[Technologie],"Non répertoriées")</f>
        <v>3G</v>
      </c>
      <c r="F1258" s="3">
        <f>_xlfn.XLOOKUP(B1258,Tableau13[ID_Antenne],Tableau13[Latitude],"Non répertoriées")</f>
        <v>4.2904629999999999</v>
      </c>
      <c r="G1258" s="32">
        <f>_xlfn.XLOOKUP(B1258,Tableau13[ID_Antenne],Tableau13[Longitude],"Non répertoriées")</f>
        <v>26.354195000000001</v>
      </c>
      <c r="H1258" t="s">
        <v>8</v>
      </c>
    </row>
    <row r="1259" spans="1:8" x14ac:dyDescent="0.25">
      <c r="A1259" s="1">
        <v>45229.329861111109</v>
      </c>
      <c r="B1259" t="s">
        <v>78</v>
      </c>
      <c r="C1259" s="29" t="str">
        <f>_xlfn.XLOOKUP(B1259,Tableau13[ID_Antenne],Tableau13[Province_RDC],"Non répertoriées")</f>
        <v>Sud-Ubangi</v>
      </c>
      <c r="D1259">
        <v>75</v>
      </c>
      <c r="E1259" s="31" t="str">
        <f>_xlfn.XLOOKUP(B1259,Tableau13[ID_Antenne],Tableau13[Technologie],"Non répertoriées")</f>
        <v>5G</v>
      </c>
      <c r="F1259" s="3">
        <f>_xlfn.XLOOKUP(B1259,Tableau13[ID_Antenne],Tableau13[Latitude],"Non répertoriées")</f>
        <v>-12.141233</v>
      </c>
      <c r="G1259" s="32">
        <f>_xlfn.XLOOKUP(B1259,Tableau13[ID_Antenne],Tableau13[Longitude],"Non répertoriées")</f>
        <v>15.179043999999999</v>
      </c>
      <c r="H1259" t="s">
        <v>8</v>
      </c>
    </row>
    <row r="1260" spans="1:8" x14ac:dyDescent="0.25">
      <c r="A1260" s="1">
        <v>45205.24722222222</v>
      </c>
      <c r="B1260" t="s">
        <v>6</v>
      </c>
      <c r="C1260" t="str">
        <f>_xlfn.XLOOKUP(B1260,Tableau13[ID_Antenne],Tableau13[Province_RDC],"Non répertoriées")</f>
        <v>Non répertoriées</v>
      </c>
      <c r="D1260">
        <v>21</v>
      </c>
      <c r="E1260" t="str">
        <f>_xlfn.XLOOKUP(B1260,Tableau13[ID_Antenne],Tableau13[Technologie],"Non répertoriées")</f>
        <v>Non répertoriées</v>
      </c>
      <c r="F1260" t="str">
        <f>_xlfn.XLOOKUP(B1260,Tableau13[ID_Antenne],Tableau13[Latitude],"Non répertoriées")</f>
        <v>Non répertoriées</v>
      </c>
      <c r="G1260" t="str">
        <f>_xlfn.XLOOKUP(B1260,Tableau13[ID_Antenne],Tableau13[Longitude],"Non répertoriées")</f>
        <v>Non répertoriées</v>
      </c>
      <c r="H1260" t="s">
        <v>5</v>
      </c>
    </row>
    <row r="1261" spans="1:8" x14ac:dyDescent="0.25">
      <c r="A1261" s="1">
        <v>45213.007638888892</v>
      </c>
      <c r="B1261" t="s">
        <v>717</v>
      </c>
      <c r="C1261" t="str">
        <f>_xlfn.XLOOKUP(B1261,Tableau13[ID_Antenne],Tableau13[Province_RDC],"Non répertoriées")</f>
        <v>Non répertoriées</v>
      </c>
      <c r="D1261">
        <v>83</v>
      </c>
      <c r="E1261" t="str">
        <f>_xlfn.XLOOKUP(B1261,Tableau13[ID_Antenne],Tableau13[Technologie],"Non répertoriées")</f>
        <v>Non répertoriées</v>
      </c>
      <c r="F1261" t="str">
        <f>_xlfn.XLOOKUP(B1261,Tableau13[ID_Antenne],Tableau13[Latitude],"Non répertoriées")</f>
        <v>Non répertoriées</v>
      </c>
      <c r="G1261" t="str">
        <f>_xlfn.XLOOKUP(B1261,Tableau13[ID_Antenne],Tableau13[Longitude],"Non répertoriées")</f>
        <v>Non répertoriées</v>
      </c>
      <c r="H1261" t="s">
        <v>10</v>
      </c>
    </row>
    <row r="1262" spans="1:8" x14ac:dyDescent="0.25">
      <c r="A1262" s="1">
        <v>45223.451388888891</v>
      </c>
      <c r="B1262" t="s">
        <v>690</v>
      </c>
      <c r="C1262" t="str">
        <f>_xlfn.XLOOKUP(B1262,Tableau13[ID_Antenne],Tableau13[Province_RDC],"Non répertoriées")</f>
        <v>Non répertoriées</v>
      </c>
      <c r="D1262">
        <v>118</v>
      </c>
      <c r="E1262" t="str">
        <f>_xlfn.XLOOKUP(B1262,Tableau13[ID_Antenne],Tableau13[Technologie],"Non répertoriées")</f>
        <v>Non répertoriées</v>
      </c>
      <c r="F1262" t="str">
        <f>_xlfn.XLOOKUP(B1262,Tableau13[ID_Antenne],Tableau13[Latitude],"Non répertoriées")</f>
        <v>Non répertoriées</v>
      </c>
      <c r="G1262" t="str">
        <f>_xlfn.XLOOKUP(B1262,Tableau13[ID_Antenne],Tableau13[Longitude],"Non répertoriées")</f>
        <v>Non répertoriées</v>
      </c>
      <c r="H1262" t="s">
        <v>8</v>
      </c>
    </row>
    <row r="1263" spans="1:8" x14ac:dyDescent="0.25">
      <c r="A1263" t="s">
        <v>718</v>
      </c>
      <c r="B1263" t="s">
        <v>695</v>
      </c>
      <c r="C1263" t="str">
        <f>_xlfn.XLOOKUP(B1263,Tableau13[ID_Antenne],Tableau13[Province_RDC],"Non répertoriées")</f>
        <v>Non répertoriées</v>
      </c>
      <c r="D1263">
        <v>16</v>
      </c>
      <c r="E1263" t="str">
        <f>_xlfn.XLOOKUP(B1263,Tableau13[ID_Antenne],Tableau13[Technologie],"Non répertoriées")</f>
        <v>Non répertoriées</v>
      </c>
      <c r="F1263" t="str">
        <f>_xlfn.XLOOKUP(B1263,Tableau13[ID_Antenne],Tableau13[Latitude],"Non répertoriées")</f>
        <v>Non répertoriées</v>
      </c>
      <c r="G1263" t="str">
        <f>_xlfn.XLOOKUP(B1263,Tableau13[ID_Antenne],Tableau13[Longitude],"Non répertoriées")</f>
        <v>Non répertoriées</v>
      </c>
      <c r="H1263" t="s">
        <v>8</v>
      </c>
    </row>
    <row r="1264" spans="1:8" x14ac:dyDescent="0.25">
      <c r="A1264" s="1">
        <v>45221.993750000001</v>
      </c>
      <c r="B1264" t="s">
        <v>686</v>
      </c>
      <c r="C1264" t="str">
        <f>_xlfn.XLOOKUP(B1264,Tableau13[ID_Antenne],Tableau13[Province_RDC],"Non répertoriées")</f>
        <v>Non répertoriées</v>
      </c>
      <c r="D1264">
        <v>13</v>
      </c>
      <c r="E1264" t="str">
        <f>_xlfn.XLOOKUP(B1264,Tableau13[ID_Antenne],Tableau13[Technologie],"Non répertoriées")</f>
        <v>Non répertoriées</v>
      </c>
      <c r="F1264" t="str">
        <f>_xlfn.XLOOKUP(B1264,Tableau13[ID_Antenne],Tableau13[Latitude],"Non répertoriées")</f>
        <v>Non répertoriées</v>
      </c>
      <c r="G1264" t="str">
        <f>_xlfn.XLOOKUP(B1264,Tableau13[ID_Antenne],Tableau13[Longitude],"Non répertoriées")</f>
        <v>Non répertoriées</v>
      </c>
      <c r="H1264" t="s">
        <v>10</v>
      </c>
    </row>
    <row r="1265" spans="1:8" x14ac:dyDescent="0.25">
      <c r="A1265" s="1">
        <v>45207.340277777781</v>
      </c>
      <c r="B1265" t="s">
        <v>719</v>
      </c>
      <c r="C1265" s="29" t="str">
        <f>_xlfn.XLOOKUP(B1265,Tableau13[ID_Antenne],Tableau13[Province_RDC],"Non répertoriées")</f>
        <v>Tshuapa</v>
      </c>
      <c r="D1265">
        <v>44</v>
      </c>
      <c r="E1265" s="31" t="str">
        <f>_xlfn.XLOOKUP(B1265,Tableau13[ID_Antenne],Tableau13[Technologie],"Non répertoriées")</f>
        <v>3G</v>
      </c>
      <c r="F1265" s="3">
        <f>_xlfn.XLOOKUP(B1265,Tableau13[ID_Antenne],Tableau13[Latitude],"Non répertoriées")</f>
        <v>-12.018316</v>
      </c>
      <c r="G1265" s="32">
        <f>_xlfn.XLOOKUP(B1265,Tableau13[ID_Antenne],Tableau13[Longitude],"Non répertoriées")</f>
        <v>16.700451000000001</v>
      </c>
      <c r="H1265" t="s">
        <v>5</v>
      </c>
    </row>
    <row r="1266" spans="1:8" x14ac:dyDescent="0.25">
      <c r="A1266" s="1">
        <v>45225.92083333333</v>
      </c>
      <c r="B1266" t="s">
        <v>421</v>
      </c>
      <c r="C1266" s="29" t="str">
        <f>_xlfn.XLOOKUP(B1266,Tableau13[ID_Antenne],Tableau13[Province_RDC],"Non répertoriées")</f>
        <v>Nord-Ubangi</v>
      </c>
      <c r="D1266">
        <v>55</v>
      </c>
      <c r="E1266" s="31" t="str">
        <f>_xlfn.XLOOKUP(B1266,Tableau13[ID_Antenne],Tableau13[Technologie],"Non répertoriées")</f>
        <v>3G</v>
      </c>
      <c r="F1266" s="3">
        <f>_xlfn.XLOOKUP(B1266,Tableau13[ID_Antenne],Tableau13[Latitude],"Non répertoriées")</f>
        <v>8.5490999999999998E-2</v>
      </c>
      <c r="G1266" s="32">
        <f>_xlfn.XLOOKUP(B1266,Tableau13[ID_Antenne],Tableau13[Longitude],"Non répertoriées")</f>
        <v>26.296129000000001</v>
      </c>
      <c r="H1266" t="s">
        <v>5</v>
      </c>
    </row>
    <row r="1267" spans="1:8" x14ac:dyDescent="0.25">
      <c r="A1267" s="1">
        <v>45212.07916666667</v>
      </c>
      <c r="B1267" t="s">
        <v>622</v>
      </c>
      <c r="C1267" s="29" t="str">
        <f>_xlfn.XLOOKUP(B1267,Tableau13[ID_Antenne],Tableau13[Province_RDC],"Non répertoriées")</f>
        <v>Bas-Uele</v>
      </c>
      <c r="D1267">
        <v>96</v>
      </c>
      <c r="E1267" s="31" t="str">
        <f>_xlfn.XLOOKUP(B1267,Tableau13[ID_Antenne],Tableau13[Technologie],"Non répertoriées")</f>
        <v>4G</v>
      </c>
      <c r="F1267" s="3">
        <f>_xlfn.XLOOKUP(B1267,Tableau13[ID_Antenne],Tableau13[Latitude],"Non répertoriées")</f>
        <v>-1.6893210000000001</v>
      </c>
      <c r="G1267" s="32">
        <f>_xlfn.XLOOKUP(B1267,Tableau13[ID_Antenne],Tableau13[Longitude],"Non répertoriées")</f>
        <v>30.446543999999999</v>
      </c>
      <c r="H1267" t="s">
        <v>5</v>
      </c>
    </row>
    <row r="1268" spans="1:8" x14ac:dyDescent="0.25">
      <c r="A1268" s="1">
        <v>45215.3</v>
      </c>
      <c r="B1268" t="s">
        <v>558</v>
      </c>
      <c r="C1268" t="str">
        <f>_xlfn.XLOOKUP(B1268,Tableau13[ID_Antenne],Tableau13[Province_RDC],"Non répertoriées")</f>
        <v>Non répertoriées</v>
      </c>
      <c r="D1268">
        <v>97</v>
      </c>
      <c r="E1268" t="str">
        <f>_xlfn.XLOOKUP(B1268,Tableau13[ID_Antenne],Tableau13[Technologie],"Non répertoriées")</f>
        <v>Non répertoriées</v>
      </c>
      <c r="F1268" t="str">
        <f>_xlfn.XLOOKUP(B1268,Tableau13[ID_Antenne],Tableau13[Latitude],"Non répertoriées")</f>
        <v>Non répertoriées</v>
      </c>
      <c r="G1268" t="str">
        <f>_xlfn.XLOOKUP(B1268,Tableau13[ID_Antenne],Tableau13[Longitude],"Non répertoriées")</f>
        <v>Non répertoriées</v>
      </c>
      <c r="H1268" t="s">
        <v>5</v>
      </c>
    </row>
    <row r="1269" spans="1:8" x14ac:dyDescent="0.25">
      <c r="A1269" s="1">
        <v>45226.598611111112</v>
      </c>
      <c r="B1269" t="s">
        <v>708</v>
      </c>
      <c r="C1269" s="29" t="str">
        <f>_xlfn.XLOOKUP(B1269,Tableau13[ID_Antenne],Tableau13[Province_RDC],"Non répertoriées")</f>
        <v>Nord-Kivu</v>
      </c>
      <c r="D1269">
        <v>66</v>
      </c>
      <c r="E1269" s="31" t="str">
        <f>_xlfn.XLOOKUP(B1269,Tableau13[ID_Antenne],Tableau13[Technologie],"Non répertoriées")</f>
        <v>5G</v>
      </c>
      <c r="F1269" s="3">
        <f>_xlfn.XLOOKUP(B1269,Tableau13[ID_Antenne],Tableau13[Latitude],"Non répertoriées")</f>
        <v>0.92885200000000001</v>
      </c>
      <c r="G1269" s="32">
        <f>_xlfn.XLOOKUP(B1269,Tableau13[ID_Antenne],Tableau13[Longitude],"Non répertoriées")</f>
        <v>25.868548000000001</v>
      </c>
      <c r="H1269" t="s">
        <v>5</v>
      </c>
    </row>
    <row r="1270" spans="1:8" x14ac:dyDescent="0.25">
      <c r="A1270" s="1">
        <v>45209.301388888889</v>
      </c>
      <c r="B1270" t="s">
        <v>551</v>
      </c>
      <c r="C1270" t="str">
        <f>_xlfn.XLOOKUP(B1270,Tableau13[ID_Antenne],Tableau13[Province_RDC],"Non répertoriées")</f>
        <v>Non répertoriées</v>
      </c>
      <c r="D1270">
        <v>72</v>
      </c>
      <c r="E1270" t="str">
        <f>_xlfn.XLOOKUP(B1270,Tableau13[ID_Antenne],Tableau13[Technologie],"Non répertoriées")</f>
        <v>Non répertoriées</v>
      </c>
      <c r="F1270" t="str">
        <f>_xlfn.XLOOKUP(B1270,Tableau13[ID_Antenne],Tableau13[Latitude],"Non répertoriées")</f>
        <v>Non répertoriées</v>
      </c>
      <c r="G1270" t="str">
        <f>_xlfn.XLOOKUP(B1270,Tableau13[ID_Antenne],Tableau13[Longitude],"Non répertoriées")</f>
        <v>Non répertoriées</v>
      </c>
      <c r="H1270" t="s">
        <v>8</v>
      </c>
    </row>
    <row r="1271" spans="1:8" x14ac:dyDescent="0.25">
      <c r="A1271" s="1">
        <v>45200.883333333331</v>
      </c>
      <c r="B1271" t="s">
        <v>693</v>
      </c>
      <c r="C1271" t="str">
        <f>_xlfn.XLOOKUP(B1271,Tableau13[ID_Antenne],Tableau13[Province_RDC],"Non répertoriées")</f>
        <v>Non répertoriées</v>
      </c>
      <c r="D1271">
        <v>57</v>
      </c>
      <c r="E1271" t="str">
        <f>_xlfn.XLOOKUP(B1271,Tableau13[ID_Antenne],Tableau13[Technologie],"Non répertoriées")</f>
        <v>Non répertoriées</v>
      </c>
      <c r="F1271" t="str">
        <f>_xlfn.XLOOKUP(B1271,Tableau13[ID_Antenne],Tableau13[Latitude],"Non répertoriées")</f>
        <v>Non répertoriées</v>
      </c>
      <c r="G1271" t="str">
        <f>_xlfn.XLOOKUP(B1271,Tableau13[ID_Antenne],Tableau13[Longitude],"Non répertoriées")</f>
        <v>Non répertoriées</v>
      </c>
      <c r="H1271" t="s">
        <v>8</v>
      </c>
    </row>
    <row r="1272" spans="1:8" x14ac:dyDescent="0.25">
      <c r="A1272" s="1">
        <v>45212.428472222222</v>
      </c>
      <c r="B1272" t="s">
        <v>60</v>
      </c>
      <c r="C1272" t="str">
        <f>_xlfn.XLOOKUP(B1272,Tableau13[ID_Antenne],Tableau13[Province_RDC],"Non répertoriées")</f>
        <v>Non répertoriées</v>
      </c>
      <c r="D1272">
        <v>103</v>
      </c>
      <c r="E1272" t="str">
        <f>_xlfn.XLOOKUP(B1272,Tableau13[ID_Antenne],Tableau13[Technologie],"Non répertoriées")</f>
        <v>Non répertoriées</v>
      </c>
      <c r="F1272" t="str">
        <f>_xlfn.XLOOKUP(B1272,Tableau13[ID_Antenne],Tableau13[Latitude],"Non répertoriées")</f>
        <v>Non répertoriées</v>
      </c>
      <c r="G1272" t="str">
        <f>_xlfn.XLOOKUP(B1272,Tableau13[ID_Antenne],Tableau13[Longitude],"Non répertoriées")</f>
        <v>Non répertoriées</v>
      </c>
      <c r="H1272" t="s">
        <v>10</v>
      </c>
    </row>
    <row r="1273" spans="1:8" x14ac:dyDescent="0.25">
      <c r="A1273" s="1">
        <v>45227.117361111108</v>
      </c>
      <c r="B1273" t="s">
        <v>263</v>
      </c>
      <c r="C1273" t="str">
        <f>_xlfn.XLOOKUP(B1273,Tableau13[ID_Antenne],Tableau13[Province_RDC],"Non répertoriées")</f>
        <v>Non répertoriées</v>
      </c>
      <c r="D1273">
        <v>57</v>
      </c>
      <c r="E1273" t="str">
        <f>_xlfn.XLOOKUP(B1273,Tableau13[ID_Antenne],Tableau13[Technologie],"Non répertoriées")</f>
        <v>Non répertoriées</v>
      </c>
      <c r="F1273" t="str">
        <f>_xlfn.XLOOKUP(B1273,Tableau13[ID_Antenne],Tableau13[Latitude],"Non répertoriées")</f>
        <v>Non répertoriées</v>
      </c>
      <c r="G1273" t="str">
        <f>_xlfn.XLOOKUP(B1273,Tableau13[ID_Antenne],Tableau13[Longitude],"Non répertoriées")</f>
        <v>Non répertoriées</v>
      </c>
      <c r="H1273" t="s">
        <v>10</v>
      </c>
    </row>
    <row r="1274" spans="1:8" x14ac:dyDescent="0.25">
      <c r="A1274" s="1">
        <v>45208.486805555563</v>
      </c>
      <c r="B1274" t="s">
        <v>524</v>
      </c>
      <c r="C1274" t="str">
        <f>_xlfn.XLOOKUP(B1274,Tableau13[ID_Antenne],Tableau13[Province_RDC],"Non répertoriées")</f>
        <v>Non répertoriées</v>
      </c>
      <c r="D1274">
        <v>110</v>
      </c>
      <c r="E1274" t="str">
        <f>_xlfn.XLOOKUP(B1274,Tableau13[ID_Antenne],Tableau13[Technologie],"Non répertoriées")</f>
        <v>Non répertoriées</v>
      </c>
      <c r="F1274" t="str">
        <f>_xlfn.XLOOKUP(B1274,Tableau13[ID_Antenne],Tableau13[Latitude],"Non répertoriées")</f>
        <v>Non répertoriées</v>
      </c>
      <c r="G1274" t="str">
        <f>_xlfn.XLOOKUP(B1274,Tableau13[ID_Antenne],Tableau13[Longitude],"Non répertoriées")</f>
        <v>Non répertoriées</v>
      </c>
      <c r="H1274" t="s">
        <v>10</v>
      </c>
    </row>
    <row r="1275" spans="1:8" x14ac:dyDescent="0.25">
      <c r="A1275" s="1">
        <v>45216.529861111107</v>
      </c>
      <c r="B1275" t="s">
        <v>309</v>
      </c>
      <c r="C1275" s="29" t="str">
        <f>_xlfn.XLOOKUP(B1275,Tableau13[ID_Antenne],Tableau13[Province_RDC],"Non répertoriées")</f>
        <v>Tanganyika</v>
      </c>
      <c r="D1275">
        <v>78</v>
      </c>
      <c r="E1275" s="31" t="str">
        <f>_xlfn.XLOOKUP(B1275,Tableau13[ID_Antenne],Tableau13[Technologie],"Non répertoriées")</f>
        <v>4G</v>
      </c>
      <c r="F1275" s="3">
        <f>_xlfn.XLOOKUP(B1275,Tableau13[ID_Antenne],Tableau13[Latitude],"Non répertoriées")</f>
        <v>-12.229338</v>
      </c>
      <c r="G1275" s="32">
        <f>_xlfn.XLOOKUP(B1275,Tableau13[ID_Antenne],Tableau13[Longitude],"Non répertoriées")</f>
        <v>29.587834999999998</v>
      </c>
      <c r="H1275" t="s">
        <v>10</v>
      </c>
    </row>
    <row r="1276" spans="1:8" x14ac:dyDescent="0.25">
      <c r="A1276" s="1">
        <v>45230.004861111112</v>
      </c>
      <c r="B1276" t="s">
        <v>296</v>
      </c>
      <c r="C1276" t="str">
        <f>_xlfn.XLOOKUP(B1276,Tableau13[ID_Antenne],Tableau13[Province_RDC],"Non répertoriées")</f>
        <v>Non répertoriées</v>
      </c>
      <c r="D1276">
        <v>21</v>
      </c>
      <c r="E1276" t="str">
        <f>_xlfn.XLOOKUP(B1276,Tableau13[ID_Antenne],Tableau13[Technologie],"Non répertoriées")</f>
        <v>Non répertoriées</v>
      </c>
      <c r="F1276" t="str">
        <f>_xlfn.XLOOKUP(B1276,Tableau13[ID_Antenne],Tableau13[Latitude],"Non répertoriées")</f>
        <v>Non répertoriées</v>
      </c>
      <c r="G1276" t="str">
        <f>_xlfn.XLOOKUP(B1276,Tableau13[ID_Antenne],Tableau13[Longitude],"Non répertoriées")</f>
        <v>Non répertoriées</v>
      </c>
      <c r="H1276" t="s">
        <v>5</v>
      </c>
    </row>
    <row r="1277" spans="1:8" x14ac:dyDescent="0.25">
      <c r="A1277" s="1">
        <v>45228.34097222222</v>
      </c>
      <c r="B1277" t="s">
        <v>516</v>
      </c>
      <c r="C1277" t="str">
        <f>_xlfn.XLOOKUP(B1277,Tableau13[ID_Antenne],Tableau13[Province_RDC],"Non répertoriées")</f>
        <v>Non répertoriées</v>
      </c>
      <c r="D1277">
        <v>45</v>
      </c>
      <c r="E1277" t="str">
        <f>_xlfn.XLOOKUP(B1277,Tableau13[ID_Antenne],Tableau13[Technologie],"Non répertoriées")</f>
        <v>Non répertoriées</v>
      </c>
      <c r="F1277" t="str">
        <f>_xlfn.XLOOKUP(B1277,Tableau13[ID_Antenne],Tableau13[Latitude],"Non répertoriées")</f>
        <v>Non répertoriées</v>
      </c>
      <c r="G1277" t="str">
        <f>_xlfn.XLOOKUP(B1277,Tableau13[ID_Antenne],Tableau13[Longitude],"Non répertoriées")</f>
        <v>Non répertoriées</v>
      </c>
      <c r="H1277" t="s">
        <v>10</v>
      </c>
    </row>
    <row r="1278" spans="1:8" x14ac:dyDescent="0.25">
      <c r="A1278" s="1">
        <v>45218.334722222222</v>
      </c>
      <c r="B1278" t="s">
        <v>538</v>
      </c>
      <c r="C1278" t="str">
        <f>_xlfn.XLOOKUP(B1278,Tableau13[ID_Antenne],Tableau13[Province_RDC],"Non répertoriées")</f>
        <v>Non répertoriées</v>
      </c>
      <c r="D1278">
        <v>87</v>
      </c>
      <c r="E1278" t="str">
        <f>_xlfn.XLOOKUP(B1278,Tableau13[ID_Antenne],Tableau13[Technologie],"Non répertoriées")</f>
        <v>Non répertoriées</v>
      </c>
      <c r="F1278" t="str">
        <f>_xlfn.XLOOKUP(B1278,Tableau13[ID_Antenne],Tableau13[Latitude],"Non répertoriées")</f>
        <v>Non répertoriées</v>
      </c>
      <c r="G1278" t="str">
        <f>_xlfn.XLOOKUP(B1278,Tableau13[ID_Antenne],Tableau13[Longitude],"Non répertoriées")</f>
        <v>Non répertoriées</v>
      </c>
      <c r="H1278" t="s">
        <v>8</v>
      </c>
    </row>
    <row r="1279" spans="1:8" x14ac:dyDescent="0.25">
      <c r="A1279" s="1">
        <v>45203.810416666667</v>
      </c>
      <c r="B1279" t="s">
        <v>720</v>
      </c>
      <c r="C1279" s="29" t="str">
        <f>_xlfn.XLOOKUP(B1279,Tableau13[ID_Antenne],Tableau13[Province_RDC],"Non répertoriées")</f>
        <v>Sud-Ubangi</v>
      </c>
      <c r="D1279">
        <v>14</v>
      </c>
      <c r="E1279" s="31" t="str">
        <f>_xlfn.XLOOKUP(B1279,Tableau13[ID_Antenne],Tableau13[Technologie],"Non répertoriées")</f>
        <v>5G</v>
      </c>
      <c r="F1279" s="3">
        <f>_xlfn.XLOOKUP(B1279,Tableau13[ID_Antenne],Tableau13[Latitude],"Non répertoriées")</f>
        <v>3.4676979999999999</v>
      </c>
      <c r="G1279" s="32">
        <f>_xlfn.XLOOKUP(B1279,Tableau13[ID_Antenne],Tableau13[Longitude],"Non répertoriées")</f>
        <v>13.459707</v>
      </c>
      <c r="H1279" t="s">
        <v>5</v>
      </c>
    </row>
    <row r="1280" spans="1:8" x14ac:dyDescent="0.25">
      <c r="A1280" s="1">
        <v>45211.993055555547</v>
      </c>
      <c r="B1280" t="s">
        <v>539</v>
      </c>
      <c r="C1280" t="str">
        <f>_xlfn.XLOOKUP(B1280,Tableau13[ID_Antenne],Tableau13[Province_RDC],"Non répertoriées")</f>
        <v>Non répertoriées</v>
      </c>
      <c r="D1280">
        <v>62</v>
      </c>
      <c r="E1280" t="str">
        <f>_xlfn.XLOOKUP(B1280,Tableau13[ID_Antenne],Tableau13[Technologie],"Non répertoriées")</f>
        <v>Non répertoriées</v>
      </c>
      <c r="F1280" t="str">
        <f>_xlfn.XLOOKUP(B1280,Tableau13[ID_Antenne],Tableau13[Latitude],"Non répertoriées")</f>
        <v>Non répertoriées</v>
      </c>
      <c r="G1280" t="str">
        <f>_xlfn.XLOOKUP(B1280,Tableau13[ID_Antenne],Tableau13[Longitude],"Non répertoriées")</f>
        <v>Non répertoriées</v>
      </c>
      <c r="H1280" t="s">
        <v>5</v>
      </c>
    </row>
    <row r="1281" spans="1:8" x14ac:dyDescent="0.25">
      <c r="A1281" s="1">
        <v>45210.568055555559</v>
      </c>
      <c r="B1281" t="s">
        <v>721</v>
      </c>
      <c r="C1281" t="str">
        <f>_xlfn.XLOOKUP(B1281,Tableau13[ID_Antenne],Tableau13[Province_RDC],"Non répertoriées")</f>
        <v>Non répertoriées</v>
      </c>
      <c r="D1281">
        <v>64</v>
      </c>
      <c r="E1281" t="str">
        <f>_xlfn.XLOOKUP(B1281,Tableau13[ID_Antenne],Tableau13[Technologie],"Non répertoriées")</f>
        <v>Non répertoriées</v>
      </c>
      <c r="F1281" t="str">
        <f>_xlfn.XLOOKUP(B1281,Tableau13[ID_Antenne],Tableau13[Latitude],"Non répertoriées")</f>
        <v>Non répertoriées</v>
      </c>
      <c r="G1281" t="str">
        <f>_xlfn.XLOOKUP(B1281,Tableau13[ID_Antenne],Tableau13[Longitude],"Non répertoriées")</f>
        <v>Non répertoriées</v>
      </c>
      <c r="H1281" t="s">
        <v>8</v>
      </c>
    </row>
    <row r="1282" spans="1:8" x14ac:dyDescent="0.25">
      <c r="A1282" s="1">
        <v>45216.14166666667</v>
      </c>
      <c r="B1282" t="s">
        <v>722</v>
      </c>
      <c r="C1282" t="str">
        <f>_xlfn.XLOOKUP(B1282,Tableau13[ID_Antenne],Tableau13[Province_RDC],"Non répertoriées")</f>
        <v>Non répertoriées</v>
      </c>
      <c r="D1282">
        <v>92</v>
      </c>
      <c r="E1282" t="str">
        <f>_xlfn.XLOOKUP(B1282,Tableau13[ID_Antenne],Tableau13[Technologie],"Non répertoriées")</f>
        <v>Non répertoriées</v>
      </c>
      <c r="F1282" t="str">
        <f>_xlfn.XLOOKUP(B1282,Tableau13[ID_Antenne],Tableau13[Latitude],"Non répertoriées")</f>
        <v>Non répertoriées</v>
      </c>
      <c r="G1282" t="str">
        <f>_xlfn.XLOOKUP(B1282,Tableau13[ID_Antenne],Tableau13[Longitude],"Non répertoriées")</f>
        <v>Non répertoriées</v>
      </c>
      <c r="H1282" t="s">
        <v>8</v>
      </c>
    </row>
    <row r="1283" spans="1:8" x14ac:dyDescent="0.25">
      <c r="A1283" s="1">
        <v>45228.758333333331</v>
      </c>
      <c r="B1283" t="s">
        <v>289</v>
      </c>
      <c r="C1283" s="29" t="str">
        <f>_xlfn.XLOOKUP(B1283,Tableau13[ID_Antenne],Tableau13[Province_RDC],"Non répertoriées")</f>
        <v>Maniema</v>
      </c>
      <c r="D1283">
        <v>71</v>
      </c>
      <c r="E1283" s="31" t="str">
        <f>_xlfn.XLOOKUP(B1283,Tableau13[ID_Antenne],Tableau13[Technologie],"Non répertoriées")</f>
        <v>5G</v>
      </c>
      <c r="F1283" s="3">
        <f>_xlfn.XLOOKUP(B1283,Tableau13[ID_Antenne],Tableau13[Latitude],"Non répertoriées")</f>
        <v>-8.4824669999999998</v>
      </c>
      <c r="G1283" s="32">
        <f>_xlfn.XLOOKUP(B1283,Tableau13[ID_Antenne],Tableau13[Longitude],"Non répertoriées")</f>
        <v>21.897777999999999</v>
      </c>
      <c r="H1283" t="s">
        <v>8</v>
      </c>
    </row>
    <row r="1284" spans="1:8" x14ac:dyDescent="0.25">
      <c r="A1284" s="1">
        <v>45208.072916666657</v>
      </c>
      <c r="B1284" t="s">
        <v>723</v>
      </c>
      <c r="C1284" t="str">
        <f>_xlfn.XLOOKUP(B1284,Tableau13[ID_Antenne],Tableau13[Province_RDC],"Non répertoriées")</f>
        <v>Non répertoriées</v>
      </c>
      <c r="D1284">
        <v>49</v>
      </c>
      <c r="E1284" t="str">
        <f>_xlfn.XLOOKUP(B1284,Tableau13[ID_Antenne],Tableau13[Technologie],"Non répertoriées")</f>
        <v>Non répertoriées</v>
      </c>
      <c r="F1284" t="str">
        <f>_xlfn.XLOOKUP(B1284,Tableau13[ID_Antenne],Tableau13[Latitude],"Non répertoriées")</f>
        <v>Non répertoriées</v>
      </c>
      <c r="G1284" t="str">
        <f>_xlfn.XLOOKUP(B1284,Tableau13[ID_Antenne],Tableau13[Longitude],"Non répertoriées")</f>
        <v>Non répertoriées</v>
      </c>
      <c r="H1284" t="s">
        <v>8</v>
      </c>
    </row>
    <row r="1285" spans="1:8" x14ac:dyDescent="0.25">
      <c r="A1285" s="1">
        <v>45213.022916666669</v>
      </c>
      <c r="B1285" t="s">
        <v>224</v>
      </c>
      <c r="C1285" s="29" t="str">
        <f>_xlfn.XLOOKUP(B1285,Tableau13[ID_Antenne],Tableau13[Province_RDC],"Non répertoriées")</f>
        <v>Kongo-Central</v>
      </c>
      <c r="D1285">
        <v>21</v>
      </c>
      <c r="E1285" s="31" t="str">
        <f>_xlfn.XLOOKUP(B1285,Tableau13[ID_Antenne],Tableau13[Technologie],"Non répertoriées")</f>
        <v>4G</v>
      </c>
      <c r="F1285" s="3">
        <f>_xlfn.XLOOKUP(B1285,Tableau13[ID_Antenne],Tableau13[Latitude],"Non répertoriées")</f>
        <v>2.975352</v>
      </c>
      <c r="G1285" s="32">
        <f>_xlfn.XLOOKUP(B1285,Tableau13[ID_Antenne],Tableau13[Longitude],"Non répertoriées")</f>
        <v>22.535886000000001</v>
      </c>
      <c r="H1285" t="s">
        <v>8</v>
      </c>
    </row>
    <row r="1286" spans="1:8" x14ac:dyDescent="0.25">
      <c r="A1286" s="1">
        <v>45229.738194444442</v>
      </c>
      <c r="B1286" t="s">
        <v>653</v>
      </c>
      <c r="C1286" s="29" t="str">
        <f>_xlfn.XLOOKUP(B1286,Tableau13[ID_Antenne],Tableau13[Province_RDC],"Non répertoriées")</f>
        <v>Kwilu</v>
      </c>
      <c r="D1286">
        <v>117</v>
      </c>
      <c r="E1286" s="31" t="str">
        <f>_xlfn.XLOOKUP(B1286,Tableau13[ID_Antenne],Tableau13[Technologie],"Non répertoriées")</f>
        <v>3G</v>
      </c>
      <c r="F1286" s="3">
        <f>_xlfn.XLOOKUP(B1286,Tableau13[ID_Antenne],Tableau13[Latitude],"Non répertoriées")</f>
        <v>1.2691650000000001</v>
      </c>
      <c r="G1286" s="32">
        <f>_xlfn.XLOOKUP(B1286,Tableau13[ID_Antenne],Tableau13[Longitude],"Non répertoriées")</f>
        <v>18.789956</v>
      </c>
      <c r="H1286" t="s">
        <v>10</v>
      </c>
    </row>
    <row r="1287" spans="1:8" x14ac:dyDescent="0.25">
      <c r="A1287" s="1">
        <v>45223.990972222222</v>
      </c>
      <c r="B1287" t="s">
        <v>322</v>
      </c>
      <c r="C1287" t="str">
        <f>_xlfn.XLOOKUP(B1287,Tableau13[ID_Antenne],Tableau13[Province_RDC],"Non répertoriées")</f>
        <v>Non répertoriées</v>
      </c>
      <c r="D1287">
        <v>111</v>
      </c>
      <c r="E1287" t="str">
        <f>_xlfn.XLOOKUP(B1287,Tableau13[ID_Antenne],Tableau13[Technologie],"Non répertoriées")</f>
        <v>Non répertoriées</v>
      </c>
      <c r="F1287" t="str">
        <f>_xlfn.XLOOKUP(B1287,Tableau13[ID_Antenne],Tableau13[Latitude],"Non répertoriées")</f>
        <v>Non répertoriées</v>
      </c>
      <c r="G1287" t="str">
        <f>_xlfn.XLOOKUP(B1287,Tableau13[ID_Antenne],Tableau13[Longitude],"Non répertoriées")</f>
        <v>Non répertoriées</v>
      </c>
      <c r="H1287" t="s">
        <v>8</v>
      </c>
    </row>
    <row r="1288" spans="1:8" x14ac:dyDescent="0.25">
      <c r="A1288" s="1">
        <v>45221.265972222223</v>
      </c>
      <c r="B1288" t="s">
        <v>720</v>
      </c>
      <c r="C1288" s="29" t="str">
        <f>_xlfn.XLOOKUP(B1288,Tableau13[ID_Antenne],Tableau13[Province_RDC],"Non répertoriées")</f>
        <v>Sud-Ubangi</v>
      </c>
      <c r="D1288">
        <v>104</v>
      </c>
      <c r="E1288" s="31" t="str">
        <f>_xlfn.XLOOKUP(B1288,Tableau13[ID_Antenne],Tableau13[Technologie],"Non répertoriées")</f>
        <v>5G</v>
      </c>
      <c r="F1288" s="3">
        <f>_xlfn.XLOOKUP(B1288,Tableau13[ID_Antenne],Tableau13[Latitude],"Non répertoriées")</f>
        <v>3.4676979999999999</v>
      </c>
      <c r="G1288" s="32">
        <f>_xlfn.XLOOKUP(B1288,Tableau13[ID_Antenne],Tableau13[Longitude],"Non répertoriées")</f>
        <v>13.459707</v>
      </c>
      <c r="H1288" t="s">
        <v>5</v>
      </c>
    </row>
    <row r="1289" spans="1:8" x14ac:dyDescent="0.25">
      <c r="A1289" s="1">
        <v>45213.112500000003</v>
      </c>
      <c r="B1289" t="s">
        <v>692</v>
      </c>
      <c r="C1289" t="str">
        <f>_xlfn.XLOOKUP(B1289,Tableau13[ID_Antenne],Tableau13[Province_RDC],"Non répertoriées")</f>
        <v>Non répertoriées</v>
      </c>
      <c r="D1289">
        <v>75</v>
      </c>
      <c r="E1289" t="str">
        <f>_xlfn.XLOOKUP(B1289,Tableau13[ID_Antenne],Tableau13[Technologie],"Non répertoriées")</f>
        <v>Non répertoriées</v>
      </c>
      <c r="F1289" t="str">
        <f>_xlfn.XLOOKUP(B1289,Tableau13[ID_Antenne],Tableau13[Latitude],"Non répertoriées")</f>
        <v>Non répertoriées</v>
      </c>
      <c r="G1289" t="str">
        <f>_xlfn.XLOOKUP(B1289,Tableau13[ID_Antenne],Tableau13[Longitude],"Non répertoriées")</f>
        <v>Non répertoriées</v>
      </c>
      <c r="H1289" t="s">
        <v>8</v>
      </c>
    </row>
    <row r="1290" spans="1:8" x14ac:dyDescent="0.25">
      <c r="A1290" s="1">
        <v>45229.443749999999</v>
      </c>
      <c r="B1290" t="s">
        <v>464</v>
      </c>
      <c r="C1290" s="29" t="str">
        <f>_xlfn.XLOOKUP(B1290,Tableau13[ID_Antenne],Tableau13[Province_RDC],"Non répertoriées")</f>
        <v>Haut-Uele</v>
      </c>
      <c r="D1290">
        <v>86</v>
      </c>
      <c r="E1290" s="31" t="str">
        <f>_xlfn.XLOOKUP(B1290,Tableau13[ID_Antenne],Tableau13[Technologie],"Non répertoriées")</f>
        <v>5G</v>
      </c>
      <c r="F1290" s="3">
        <f>_xlfn.XLOOKUP(B1290,Tableau13[ID_Antenne],Tableau13[Latitude],"Non répertoriées")</f>
        <v>1.2391989999999999</v>
      </c>
      <c r="G1290" s="32">
        <f>_xlfn.XLOOKUP(B1290,Tableau13[ID_Antenne],Tableau13[Longitude],"Non répertoriées")</f>
        <v>15.386718999999999</v>
      </c>
      <c r="H1290" t="s">
        <v>10</v>
      </c>
    </row>
    <row r="1291" spans="1:8" x14ac:dyDescent="0.25">
      <c r="A1291" s="1">
        <v>45210.912499999999</v>
      </c>
      <c r="B1291" t="s">
        <v>600</v>
      </c>
      <c r="C1291" s="29" t="str">
        <f>_xlfn.XLOOKUP(B1291,Tableau13[ID_Antenne],Tableau13[Province_RDC],"Non répertoriées")</f>
        <v>Bas-Uele</v>
      </c>
      <c r="D1291">
        <v>80</v>
      </c>
      <c r="E1291" s="31" t="str">
        <f>_xlfn.XLOOKUP(B1291,Tableau13[ID_Antenne],Tableau13[Technologie],"Non répertoriées")</f>
        <v>4G</v>
      </c>
      <c r="F1291" s="3">
        <f>_xlfn.XLOOKUP(B1291,Tableau13[ID_Antenne],Tableau13[Latitude],"Non répertoriées")</f>
        <v>-7.3952039999999997</v>
      </c>
      <c r="G1291" s="32">
        <f>_xlfn.XLOOKUP(B1291,Tableau13[ID_Antenne],Tableau13[Longitude],"Non répertoriées")</f>
        <v>21.651043999999999</v>
      </c>
      <c r="H1291" t="s">
        <v>5</v>
      </c>
    </row>
    <row r="1292" spans="1:8" x14ac:dyDescent="0.25">
      <c r="A1292" s="1">
        <v>45203.997916666667</v>
      </c>
      <c r="B1292" t="s">
        <v>368</v>
      </c>
      <c r="C1292" s="29" t="str">
        <f>_xlfn.XLOOKUP(B1292,Tableau13[ID_Antenne],Tableau13[Province_RDC],"Non répertoriées")</f>
        <v>Sud-Ubangi</v>
      </c>
      <c r="D1292">
        <v>28</v>
      </c>
      <c r="E1292" s="31" t="str">
        <f>_xlfn.XLOOKUP(B1292,Tableau13[ID_Antenne],Tableau13[Technologie],"Non répertoriées")</f>
        <v>3G</v>
      </c>
      <c r="F1292" s="3">
        <f>_xlfn.XLOOKUP(B1292,Tableau13[ID_Antenne],Tableau13[Latitude],"Non répertoriées")</f>
        <v>-8.0864899999999995</v>
      </c>
      <c r="G1292" s="32">
        <f>_xlfn.XLOOKUP(B1292,Tableau13[ID_Antenne],Tableau13[Longitude],"Non répertoriées")</f>
        <v>14.555277</v>
      </c>
      <c r="H1292" t="s">
        <v>8</v>
      </c>
    </row>
    <row r="1293" spans="1:8" x14ac:dyDescent="0.25">
      <c r="A1293" s="1">
        <v>45209.679861111108</v>
      </c>
      <c r="B1293" t="s">
        <v>701</v>
      </c>
      <c r="C1293" s="29" t="str">
        <f>_xlfn.XLOOKUP(B1293,Tableau13[ID_Antenne],Tableau13[Province_RDC],"Non répertoriées")</f>
        <v>Haut-Katanga</v>
      </c>
      <c r="D1293">
        <v>103</v>
      </c>
      <c r="E1293" s="31" t="str">
        <f>_xlfn.XLOOKUP(B1293,Tableau13[ID_Antenne],Tableau13[Technologie],"Non répertoriées")</f>
        <v>3G</v>
      </c>
      <c r="F1293" s="3">
        <f>_xlfn.XLOOKUP(B1293,Tableau13[ID_Antenne],Tableau13[Latitude],"Non répertoriées")</f>
        <v>-12.776386</v>
      </c>
      <c r="G1293" s="32">
        <f>_xlfn.XLOOKUP(B1293,Tableau13[ID_Antenne],Tableau13[Longitude],"Non répertoriées")</f>
        <v>14.157596</v>
      </c>
      <c r="H1293" t="s">
        <v>8</v>
      </c>
    </row>
    <row r="1294" spans="1:8" x14ac:dyDescent="0.25">
      <c r="A1294" s="1">
        <v>45221.555555555547</v>
      </c>
      <c r="B1294" t="s">
        <v>60</v>
      </c>
      <c r="C1294" t="str">
        <f>_xlfn.XLOOKUP(B1294,Tableau13[ID_Antenne],Tableau13[Province_RDC],"Non répertoriées")</f>
        <v>Non répertoriées</v>
      </c>
      <c r="D1294">
        <v>21</v>
      </c>
      <c r="E1294" t="str">
        <f>_xlfn.XLOOKUP(B1294,Tableau13[ID_Antenne],Tableau13[Technologie],"Non répertoriées")</f>
        <v>Non répertoriées</v>
      </c>
      <c r="F1294" t="str">
        <f>_xlfn.XLOOKUP(B1294,Tableau13[ID_Antenne],Tableau13[Latitude],"Non répertoriées")</f>
        <v>Non répertoriées</v>
      </c>
      <c r="G1294" t="str">
        <f>_xlfn.XLOOKUP(B1294,Tableau13[ID_Antenne],Tableau13[Longitude],"Non répertoriées")</f>
        <v>Non répertoriées</v>
      </c>
      <c r="H1294" t="s">
        <v>8</v>
      </c>
    </row>
    <row r="1295" spans="1:8" x14ac:dyDescent="0.25">
      <c r="A1295" s="1">
        <v>45212.929166666669</v>
      </c>
      <c r="B1295" t="s">
        <v>61</v>
      </c>
      <c r="C1295" t="str">
        <f>_xlfn.XLOOKUP(B1295,Tableau13[ID_Antenne],Tableau13[Province_RDC],"Non répertoriées")</f>
        <v>Non répertoriées</v>
      </c>
      <c r="D1295">
        <v>60</v>
      </c>
      <c r="E1295" t="str">
        <f>_xlfn.XLOOKUP(B1295,Tableau13[ID_Antenne],Tableau13[Technologie],"Non répertoriées")</f>
        <v>Non répertoriées</v>
      </c>
      <c r="F1295" t="str">
        <f>_xlfn.XLOOKUP(B1295,Tableau13[ID_Antenne],Tableau13[Latitude],"Non répertoriées")</f>
        <v>Non répertoriées</v>
      </c>
      <c r="G1295" t="str">
        <f>_xlfn.XLOOKUP(B1295,Tableau13[ID_Antenne],Tableau13[Longitude],"Non répertoriées")</f>
        <v>Non répertoriées</v>
      </c>
      <c r="H1295" t="s">
        <v>5</v>
      </c>
    </row>
    <row r="1296" spans="1:8" x14ac:dyDescent="0.25">
      <c r="A1296" s="1">
        <v>45217.175000000003</v>
      </c>
      <c r="B1296" t="s">
        <v>283</v>
      </c>
      <c r="C1296" s="29" t="str">
        <f>_xlfn.XLOOKUP(B1296,Tableau13[ID_Antenne],Tableau13[Province_RDC],"Non répertoriées")</f>
        <v>Tshuapa</v>
      </c>
      <c r="D1296">
        <v>69</v>
      </c>
      <c r="E1296" s="31" t="str">
        <f>_xlfn.XLOOKUP(B1296,Tableau13[ID_Antenne],Tableau13[Technologie],"Non répertoriées")</f>
        <v>4G</v>
      </c>
      <c r="F1296" s="3">
        <f>_xlfn.XLOOKUP(B1296,Tableau13[ID_Antenne],Tableau13[Latitude],"Non répertoriées")</f>
        <v>-10.577049000000001</v>
      </c>
      <c r="G1296" s="32">
        <f>_xlfn.XLOOKUP(B1296,Tableau13[ID_Antenne],Tableau13[Longitude],"Non répertoriées")</f>
        <v>23.721854</v>
      </c>
      <c r="H1296" t="s">
        <v>8</v>
      </c>
    </row>
    <row r="1297" spans="1:8" x14ac:dyDescent="0.25">
      <c r="A1297" s="1">
        <v>45213.89166666667</v>
      </c>
      <c r="B1297" t="s">
        <v>319</v>
      </c>
      <c r="C1297" s="29" t="str">
        <f>_xlfn.XLOOKUP(B1297,Tableau13[ID_Antenne],Tableau13[Province_RDC],"Non répertoriées")</f>
        <v>Bas-Uele</v>
      </c>
      <c r="D1297">
        <v>116</v>
      </c>
      <c r="E1297" s="31" t="str">
        <f>_xlfn.XLOOKUP(B1297,Tableau13[ID_Antenne],Tableau13[Technologie],"Non répertoriées")</f>
        <v>4G</v>
      </c>
      <c r="F1297" s="3">
        <f>_xlfn.XLOOKUP(B1297,Tableau13[ID_Antenne],Tableau13[Latitude],"Non répertoriées")</f>
        <v>-2.2876210000000001</v>
      </c>
      <c r="G1297" s="32">
        <f>_xlfn.XLOOKUP(B1297,Tableau13[ID_Antenne],Tableau13[Longitude],"Non répertoriées")</f>
        <v>27.582545</v>
      </c>
      <c r="H1297" t="s">
        <v>10</v>
      </c>
    </row>
    <row r="1298" spans="1:8" x14ac:dyDescent="0.25">
      <c r="A1298" s="1">
        <v>45221.997916666667</v>
      </c>
      <c r="B1298" t="s">
        <v>673</v>
      </c>
      <c r="C1298" t="str">
        <f>_xlfn.XLOOKUP(B1298,Tableau13[ID_Antenne],Tableau13[Province_RDC],"Non répertoriées")</f>
        <v>Non répertoriées</v>
      </c>
      <c r="D1298">
        <v>12</v>
      </c>
      <c r="E1298" t="str">
        <f>_xlfn.XLOOKUP(B1298,Tableau13[ID_Antenne],Tableau13[Technologie],"Non répertoriées")</f>
        <v>Non répertoriées</v>
      </c>
      <c r="F1298" t="str">
        <f>_xlfn.XLOOKUP(B1298,Tableau13[ID_Antenne],Tableau13[Latitude],"Non répertoriées")</f>
        <v>Non répertoriées</v>
      </c>
      <c r="G1298" t="str">
        <f>_xlfn.XLOOKUP(B1298,Tableau13[ID_Antenne],Tableau13[Longitude],"Non répertoriées")</f>
        <v>Non répertoriées</v>
      </c>
      <c r="H1298" t="s">
        <v>10</v>
      </c>
    </row>
    <row r="1299" spans="1:8" x14ac:dyDescent="0.25">
      <c r="A1299" s="1">
        <v>45205.816666666673</v>
      </c>
      <c r="B1299" t="s">
        <v>353</v>
      </c>
      <c r="C1299" t="str">
        <f>_xlfn.XLOOKUP(B1299,Tableau13[ID_Antenne],Tableau13[Province_RDC],"Non répertoriées")</f>
        <v>Non répertoriées</v>
      </c>
      <c r="D1299">
        <v>111</v>
      </c>
      <c r="E1299" t="str">
        <f>_xlfn.XLOOKUP(B1299,Tableau13[ID_Antenne],Tableau13[Technologie],"Non répertoriées")</f>
        <v>Non répertoriées</v>
      </c>
      <c r="F1299" t="str">
        <f>_xlfn.XLOOKUP(B1299,Tableau13[ID_Antenne],Tableau13[Latitude],"Non répertoriées")</f>
        <v>Non répertoriées</v>
      </c>
      <c r="G1299" t="str">
        <f>_xlfn.XLOOKUP(B1299,Tableau13[ID_Antenne],Tableau13[Longitude],"Non répertoriées")</f>
        <v>Non répertoriées</v>
      </c>
      <c r="H1299" t="s">
        <v>8</v>
      </c>
    </row>
    <row r="1300" spans="1:8" x14ac:dyDescent="0.25">
      <c r="A1300" s="1">
        <v>45209.524305555547</v>
      </c>
      <c r="B1300" t="s">
        <v>703</v>
      </c>
      <c r="C1300" t="str">
        <f>_xlfn.XLOOKUP(B1300,Tableau13[ID_Antenne],Tableau13[Province_RDC],"Non répertoriées")</f>
        <v>Non répertoriées</v>
      </c>
      <c r="D1300">
        <v>20</v>
      </c>
      <c r="E1300" t="str">
        <f>_xlfn.XLOOKUP(B1300,Tableau13[ID_Antenne],Tableau13[Technologie],"Non répertoriées")</f>
        <v>Non répertoriées</v>
      </c>
      <c r="F1300" t="str">
        <f>_xlfn.XLOOKUP(B1300,Tableau13[ID_Antenne],Tableau13[Latitude],"Non répertoriées")</f>
        <v>Non répertoriées</v>
      </c>
      <c r="G1300" t="str">
        <f>_xlfn.XLOOKUP(B1300,Tableau13[ID_Antenne],Tableau13[Longitude],"Non répertoriées")</f>
        <v>Non répertoriées</v>
      </c>
      <c r="H1300" t="s">
        <v>5</v>
      </c>
    </row>
    <row r="1301" spans="1:8" x14ac:dyDescent="0.25">
      <c r="A1301" s="1">
        <v>45226.013194444437</v>
      </c>
      <c r="B1301" t="s">
        <v>695</v>
      </c>
      <c r="C1301" t="str">
        <f>_xlfn.XLOOKUP(B1301,Tableau13[ID_Antenne],Tableau13[Province_RDC],"Non répertoriées")</f>
        <v>Non répertoriées</v>
      </c>
      <c r="D1301">
        <v>71</v>
      </c>
      <c r="E1301" t="str">
        <f>_xlfn.XLOOKUP(B1301,Tableau13[ID_Antenne],Tableau13[Technologie],"Non répertoriées")</f>
        <v>Non répertoriées</v>
      </c>
      <c r="F1301" t="str">
        <f>_xlfn.XLOOKUP(B1301,Tableau13[ID_Antenne],Tableau13[Latitude],"Non répertoriées")</f>
        <v>Non répertoriées</v>
      </c>
      <c r="G1301" t="str">
        <f>_xlfn.XLOOKUP(B1301,Tableau13[ID_Antenne],Tableau13[Longitude],"Non répertoriées")</f>
        <v>Non répertoriées</v>
      </c>
      <c r="H1301" t="s">
        <v>5</v>
      </c>
    </row>
    <row r="1302" spans="1:8" x14ac:dyDescent="0.25">
      <c r="A1302" s="1">
        <v>45209.268750000003</v>
      </c>
      <c r="B1302" t="s">
        <v>724</v>
      </c>
      <c r="C1302" s="29" t="str">
        <f>_xlfn.XLOOKUP(B1302,Tableau13[ID_Antenne],Tableau13[Province_RDC],"Non répertoriées")</f>
        <v>Ituri</v>
      </c>
      <c r="D1302">
        <v>24</v>
      </c>
      <c r="E1302" s="31" t="str">
        <f>_xlfn.XLOOKUP(B1302,Tableau13[ID_Antenne],Tableau13[Technologie],"Non répertoriées")</f>
        <v>3G</v>
      </c>
      <c r="F1302" s="3">
        <f>_xlfn.XLOOKUP(B1302,Tableau13[ID_Antenne],Tableau13[Latitude],"Non répertoriées")</f>
        <v>-0.767455</v>
      </c>
      <c r="G1302" s="32">
        <f>_xlfn.XLOOKUP(B1302,Tableau13[ID_Antenne],Tableau13[Longitude],"Non répertoriées")</f>
        <v>30.924261000000001</v>
      </c>
      <c r="H1302" t="s">
        <v>10</v>
      </c>
    </row>
    <row r="1303" spans="1:8" x14ac:dyDescent="0.25">
      <c r="A1303" s="1">
        <v>45225.776388888888</v>
      </c>
      <c r="B1303" t="s">
        <v>691</v>
      </c>
      <c r="C1303" s="29" t="str">
        <f>_xlfn.XLOOKUP(B1303,Tableau13[ID_Antenne],Tableau13[Province_RDC],"Non répertoriées")</f>
        <v>Equateur</v>
      </c>
      <c r="D1303">
        <v>43</v>
      </c>
      <c r="E1303" s="31" t="str">
        <f>_xlfn.XLOOKUP(B1303,Tableau13[ID_Antenne],Tableau13[Technologie],"Non répertoriées")</f>
        <v>4G</v>
      </c>
      <c r="F1303" s="3">
        <f>_xlfn.XLOOKUP(B1303,Tableau13[ID_Antenne],Tableau13[Latitude],"Non répertoriées")</f>
        <v>-3.544581</v>
      </c>
      <c r="G1303" s="32">
        <f>_xlfn.XLOOKUP(B1303,Tableau13[ID_Antenne],Tableau13[Longitude],"Non répertoriées")</f>
        <v>14.776605</v>
      </c>
      <c r="H1303" t="s">
        <v>10</v>
      </c>
    </row>
    <row r="1304" spans="1:8" x14ac:dyDescent="0.25">
      <c r="A1304" s="1">
        <v>45220.436805555553</v>
      </c>
      <c r="B1304" t="s">
        <v>723</v>
      </c>
      <c r="C1304" t="str">
        <f>_xlfn.XLOOKUP(B1304,Tableau13[ID_Antenne],Tableau13[Province_RDC],"Non répertoriées")</f>
        <v>Non répertoriées</v>
      </c>
      <c r="D1304">
        <v>26</v>
      </c>
      <c r="E1304" t="str">
        <f>_xlfn.XLOOKUP(B1304,Tableau13[ID_Antenne],Tableau13[Technologie],"Non répertoriées")</f>
        <v>Non répertoriées</v>
      </c>
      <c r="F1304" t="str">
        <f>_xlfn.XLOOKUP(B1304,Tableau13[ID_Antenne],Tableau13[Latitude],"Non répertoriées")</f>
        <v>Non répertoriées</v>
      </c>
      <c r="G1304" t="str">
        <f>_xlfn.XLOOKUP(B1304,Tableau13[ID_Antenne],Tableau13[Longitude],"Non répertoriées")</f>
        <v>Non répertoriées</v>
      </c>
      <c r="H1304" t="s">
        <v>5</v>
      </c>
    </row>
    <row r="1305" spans="1:8" x14ac:dyDescent="0.25">
      <c r="A1305" s="1">
        <v>45214.613194444442</v>
      </c>
      <c r="B1305" t="s">
        <v>309</v>
      </c>
      <c r="C1305" s="29" t="str">
        <f>_xlfn.XLOOKUP(B1305,Tableau13[ID_Antenne],Tableau13[Province_RDC],"Non répertoriées")</f>
        <v>Tanganyika</v>
      </c>
      <c r="D1305">
        <v>25</v>
      </c>
      <c r="E1305" s="31" t="str">
        <f>_xlfn.XLOOKUP(B1305,Tableau13[ID_Antenne],Tableau13[Technologie],"Non répertoriées")</f>
        <v>4G</v>
      </c>
      <c r="F1305" s="3">
        <f>_xlfn.XLOOKUP(B1305,Tableau13[ID_Antenne],Tableau13[Latitude],"Non répertoriées")</f>
        <v>-12.229338</v>
      </c>
      <c r="G1305" s="32">
        <f>_xlfn.XLOOKUP(B1305,Tableau13[ID_Antenne],Tableau13[Longitude],"Non répertoriées")</f>
        <v>29.587834999999998</v>
      </c>
      <c r="H1305" t="s">
        <v>5</v>
      </c>
    </row>
    <row r="1306" spans="1:8" x14ac:dyDescent="0.25">
      <c r="A1306" s="1">
        <v>45206.6875</v>
      </c>
      <c r="B1306" t="s">
        <v>725</v>
      </c>
      <c r="C1306" s="29" t="str">
        <f>_xlfn.XLOOKUP(B1306,Tableau13[ID_Antenne],Tableau13[Province_RDC],"Non répertoriées")</f>
        <v>Lualaba</v>
      </c>
      <c r="D1306">
        <v>46</v>
      </c>
      <c r="E1306" s="31" t="str">
        <f>_xlfn.XLOOKUP(B1306,Tableau13[ID_Antenne],Tableau13[Technologie],"Non répertoriées")</f>
        <v>4G</v>
      </c>
      <c r="F1306" s="3">
        <f>_xlfn.XLOOKUP(B1306,Tableau13[ID_Antenne],Tableau13[Latitude],"Non répertoriées")</f>
        <v>-1.7476179999999999</v>
      </c>
      <c r="G1306" s="32">
        <f>_xlfn.XLOOKUP(B1306,Tableau13[ID_Antenne],Tableau13[Longitude],"Non répertoriées")</f>
        <v>18.129401000000001</v>
      </c>
      <c r="H1306" t="s">
        <v>10</v>
      </c>
    </row>
    <row r="1307" spans="1:8" x14ac:dyDescent="0.25">
      <c r="A1307" s="1">
        <v>45225.965277777781</v>
      </c>
      <c r="B1307" t="s">
        <v>672</v>
      </c>
      <c r="C1307" s="29" t="str">
        <f>_xlfn.XLOOKUP(B1307,Tableau13[ID_Antenne],Tableau13[Province_RDC],"Non répertoriées")</f>
        <v>Kwango</v>
      </c>
      <c r="D1307">
        <v>95</v>
      </c>
      <c r="E1307" s="31" t="str">
        <f>_xlfn.XLOOKUP(B1307,Tableau13[ID_Antenne],Tableau13[Technologie],"Non répertoriées")</f>
        <v>4G</v>
      </c>
      <c r="F1307" s="3">
        <f>_xlfn.XLOOKUP(B1307,Tableau13[ID_Antenne],Tableau13[Latitude],"Non répertoriées")</f>
        <v>-9.8995180000000005</v>
      </c>
      <c r="G1307" s="32">
        <f>_xlfn.XLOOKUP(B1307,Tableau13[ID_Antenne],Tableau13[Longitude],"Non répertoriées")</f>
        <v>24.156687999999999</v>
      </c>
      <c r="H1307" t="s">
        <v>8</v>
      </c>
    </row>
    <row r="1308" spans="1:8" x14ac:dyDescent="0.25">
      <c r="A1308" s="1">
        <v>45221.095833333333</v>
      </c>
      <c r="B1308" t="s">
        <v>464</v>
      </c>
      <c r="C1308" s="29" t="str">
        <f>_xlfn.XLOOKUP(B1308,Tableau13[ID_Antenne],Tableau13[Province_RDC],"Non répertoriées")</f>
        <v>Haut-Uele</v>
      </c>
      <c r="D1308">
        <v>33</v>
      </c>
      <c r="E1308" s="31" t="str">
        <f>_xlfn.XLOOKUP(B1308,Tableau13[ID_Antenne],Tableau13[Technologie],"Non répertoriées")</f>
        <v>5G</v>
      </c>
      <c r="F1308" s="3">
        <f>_xlfn.XLOOKUP(B1308,Tableau13[ID_Antenne],Tableau13[Latitude],"Non répertoriées")</f>
        <v>1.2391989999999999</v>
      </c>
      <c r="G1308" s="32">
        <f>_xlfn.XLOOKUP(B1308,Tableau13[ID_Antenne],Tableau13[Longitude],"Non répertoriées")</f>
        <v>15.386718999999999</v>
      </c>
      <c r="H1308" t="s">
        <v>8</v>
      </c>
    </row>
    <row r="1309" spans="1:8" x14ac:dyDescent="0.25">
      <c r="A1309" s="1">
        <v>45216.902777777781</v>
      </c>
      <c r="B1309" t="s">
        <v>709</v>
      </c>
      <c r="C1309" t="str">
        <f>_xlfn.XLOOKUP(B1309,Tableau13[ID_Antenne],Tableau13[Province_RDC],"Non répertoriées")</f>
        <v>Non répertoriées</v>
      </c>
      <c r="D1309">
        <v>49</v>
      </c>
      <c r="E1309" t="str">
        <f>_xlfn.XLOOKUP(B1309,Tableau13[ID_Antenne],Tableau13[Technologie],"Non répertoriées")</f>
        <v>Non répertoriées</v>
      </c>
      <c r="F1309" t="str">
        <f>_xlfn.XLOOKUP(B1309,Tableau13[ID_Antenne],Tableau13[Latitude],"Non répertoriées")</f>
        <v>Non répertoriées</v>
      </c>
      <c r="G1309" t="str">
        <f>_xlfn.XLOOKUP(B1309,Tableau13[ID_Antenne],Tableau13[Longitude],"Non répertoriées")</f>
        <v>Non répertoriées</v>
      </c>
      <c r="H1309" t="s">
        <v>5</v>
      </c>
    </row>
    <row r="1310" spans="1:8" x14ac:dyDescent="0.25">
      <c r="A1310" s="1">
        <v>45219.420138888891</v>
      </c>
      <c r="B1310" t="s">
        <v>249</v>
      </c>
      <c r="C1310" t="str">
        <f>_xlfn.XLOOKUP(B1310,Tableau13[ID_Antenne],Tableau13[Province_RDC],"Non répertoriées")</f>
        <v>Non répertoriées</v>
      </c>
      <c r="D1310">
        <v>71</v>
      </c>
      <c r="E1310" t="str">
        <f>_xlfn.XLOOKUP(B1310,Tableau13[ID_Antenne],Tableau13[Technologie],"Non répertoriées")</f>
        <v>Non répertoriées</v>
      </c>
      <c r="F1310" t="str">
        <f>_xlfn.XLOOKUP(B1310,Tableau13[ID_Antenne],Tableau13[Latitude],"Non répertoriées")</f>
        <v>Non répertoriées</v>
      </c>
      <c r="G1310" t="str">
        <f>_xlfn.XLOOKUP(B1310,Tableau13[ID_Antenne],Tableau13[Longitude],"Non répertoriées")</f>
        <v>Non répertoriées</v>
      </c>
      <c r="H1310" t="s">
        <v>8</v>
      </c>
    </row>
    <row r="1311" spans="1:8" x14ac:dyDescent="0.25">
      <c r="A1311" s="1">
        <v>45226.321527777778</v>
      </c>
      <c r="B1311" t="s">
        <v>689</v>
      </c>
      <c r="C1311" s="29" t="str">
        <f>_xlfn.XLOOKUP(B1311,Tableau13[ID_Antenne],Tableau13[Province_RDC],"Non répertoriées")</f>
        <v>Tshopo</v>
      </c>
      <c r="D1311">
        <v>119</v>
      </c>
      <c r="E1311" s="31" t="str">
        <f>_xlfn.XLOOKUP(B1311,Tableau13[ID_Antenne],Tableau13[Technologie],"Non répertoriées")</f>
        <v>4G</v>
      </c>
      <c r="F1311" s="3">
        <f>_xlfn.XLOOKUP(B1311,Tableau13[ID_Antenne],Tableau13[Latitude],"Non répertoriées")</f>
        <v>1.472051</v>
      </c>
      <c r="G1311" s="32">
        <f>_xlfn.XLOOKUP(B1311,Tableau13[ID_Antenne],Tableau13[Longitude],"Non répertoriées")</f>
        <v>17.36289</v>
      </c>
      <c r="H1311" t="s">
        <v>5</v>
      </c>
    </row>
    <row r="1312" spans="1:8" x14ac:dyDescent="0.25">
      <c r="A1312" s="1">
        <v>45209.32708333333</v>
      </c>
      <c r="B1312" t="s">
        <v>726</v>
      </c>
      <c r="C1312" t="str">
        <f>_xlfn.XLOOKUP(B1312,Tableau13[ID_Antenne],Tableau13[Province_RDC],"Non répertoriées")</f>
        <v>Non répertoriées</v>
      </c>
      <c r="D1312">
        <v>41</v>
      </c>
      <c r="E1312" t="str">
        <f>_xlfn.XLOOKUP(B1312,Tableau13[ID_Antenne],Tableau13[Technologie],"Non répertoriées")</f>
        <v>Non répertoriées</v>
      </c>
      <c r="F1312" t="str">
        <f>_xlfn.XLOOKUP(B1312,Tableau13[ID_Antenne],Tableau13[Latitude],"Non répertoriées")</f>
        <v>Non répertoriées</v>
      </c>
      <c r="G1312" t="str">
        <f>_xlfn.XLOOKUP(B1312,Tableau13[ID_Antenne],Tableau13[Longitude],"Non répertoriées")</f>
        <v>Non répertoriées</v>
      </c>
      <c r="H1312" t="s">
        <v>10</v>
      </c>
    </row>
    <row r="1313" spans="1:8" x14ac:dyDescent="0.25">
      <c r="A1313" s="1">
        <v>45206.167361111111</v>
      </c>
      <c r="B1313" t="s">
        <v>713</v>
      </c>
      <c r="C1313" t="str">
        <f>_xlfn.XLOOKUP(B1313,Tableau13[ID_Antenne],Tableau13[Province_RDC],"Non répertoriées")</f>
        <v>Non répertoriées</v>
      </c>
      <c r="D1313">
        <v>113</v>
      </c>
      <c r="E1313" t="str">
        <f>_xlfn.XLOOKUP(B1313,Tableau13[ID_Antenne],Tableau13[Technologie],"Non répertoriées")</f>
        <v>Non répertoriées</v>
      </c>
      <c r="F1313" t="str">
        <f>_xlfn.XLOOKUP(B1313,Tableau13[ID_Antenne],Tableau13[Latitude],"Non répertoriées")</f>
        <v>Non répertoriées</v>
      </c>
      <c r="G1313" t="str">
        <f>_xlfn.XLOOKUP(B1313,Tableau13[ID_Antenne],Tableau13[Longitude],"Non répertoriées")</f>
        <v>Non répertoriées</v>
      </c>
      <c r="H1313" t="s">
        <v>10</v>
      </c>
    </row>
    <row r="1314" spans="1:8" x14ac:dyDescent="0.25">
      <c r="A1314" s="1">
        <v>45201.3125</v>
      </c>
      <c r="B1314" t="s">
        <v>334</v>
      </c>
      <c r="C1314" s="29" t="str">
        <f>_xlfn.XLOOKUP(B1314,Tableau13[ID_Antenne],Tableau13[Province_RDC],"Non répertoriées")</f>
        <v>Ituri</v>
      </c>
      <c r="D1314">
        <v>15</v>
      </c>
      <c r="E1314" s="31" t="str">
        <f>_xlfn.XLOOKUP(B1314,Tableau13[ID_Antenne],Tableau13[Technologie],"Non répertoriées")</f>
        <v>5G</v>
      </c>
      <c r="F1314" s="3">
        <f>_xlfn.XLOOKUP(B1314,Tableau13[ID_Antenne],Tableau13[Latitude],"Non répertoriées")</f>
        <v>-0.34051900000000002</v>
      </c>
      <c r="G1314" s="32">
        <f>_xlfn.XLOOKUP(B1314,Tableau13[ID_Antenne],Tableau13[Longitude],"Non répertoriées")</f>
        <v>17.079799000000001</v>
      </c>
      <c r="H1314" t="s">
        <v>5</v>
      </c>
    </row>
    <row r="1315" spans="1:8" x14ac:dyDescent="0.25">
      <c r="A1315" s="1">
        <v>45219.103472222218</v>
      </c>
      <c r="B1315" t="s">
        <v>538</v>
      </c>
      <c r="C1315" t="str">
        <f>_xlfn.XLOOKUP(B1315,Tableau13[ID_Antenne],Tableau13[Province_RDC],"Non répertoriées")</f>
        <v>Non répertoriées</v>
      </c>
      <c r="D1315">
        <v>37</v>
      </c>
      <c r="E1315" t="str">
        <f>_xlfn.XLOOKUP(B1315,Tableau13[ID_Antenne],Tableau13[Technologie],"Non répertoriées")</f>
        <v>Non répertoriées</v>
      </c>
      <c r="F1315" t="str">
        <f>_xlfn.XLOOKUP(B1315,Tableau13[ID_Antenne],Tableau13[Latitude],"Non répertoriées")</f>
        <v>Non répertoriées</v>
      </c>
      <c r="G1315" t="str">
        <f>_xlfn.XLOOKUP(B1315,Tableau13[ID_Antenne],Tableau13[Longitude],"Non répertoriées")</f>
        <v>Non répertoriées</v>
      </c>
      <c r="H1315" t="s">
        <v>10</v>
      </c>
    </row>
    <row r="1316" spans="1:8" x14ac:dyDescent="0.25">
      <c r="A1316" s="1">
        <v>45213.85833333333</v>
      </c>
      <c r="B1316" t="s">
        <v>525</v>
      </c>
      <c r="C1316" t="str">
        <f>_xlfn.XLOOKUP(B1316,Tableau13[ID_Antenne],Tableau13[Province_RDC],"Non répertoriées")</f>
        <v>Non répertoriées</v>
      </c>
      <c r="D1316">
        <v>30</v>
      </c>
      <c r="E1316" t="str">
        <f>_xlfn.XLOOKUP(B1316,Tableau13[ID_Antenne],Tableau13[Technologie],"Non répertoriées")</f>
        <v>Non répertoriées</v>
      </c>
      <c r="F1316" t="str">
        <f>_xlfn.XLOOKUP(B1316,Tableau13[ID_Antenne],Tableau13[Latitude],"Non répertoriées")</f>
        <v>Non répertoriées</v>
      </c>
      <c r="G1316" t="str">
        <f>_xlfn.XLOOKUP(B1316,Tableau13[ID_Antenne],Tableau13[Longitude],"Non répertoriées")</f>
        <v>Non répertoriées</v>
      </c>
      <c r="H1316" t="s">
        <v>8</v>
      </c>
    </row>
    <row r="1317" spans="1:8" x14ac:dyDescent="0.25">
      <c r="A1317" s="1">
        <v>45206.947222222218</v>
      </c>
      <c r="B1317" t="s">
        <v>558</v>
      </c>
      <c r="C1317" t="str">
        <f>_xlfn.XLOOKUP(B1317,Tableau13[ID_Antenne],Tableau13[Province_RDC],"Non répertoriées")</f>
        <v>Non répertoriées</v>
      </c>
      <c r="D1317">
        <v>86</v>
      </c>
      <c r="E1317" t="str">
        <f>_xlfn.XLOOKUP(B1317,Tableau13[ID_Antenne],Tableau13[Technologie],"Non répertoriées")</f>
        <v>Non répertoriées</v>
      </c>
      <c r="F1317" t="str">
        <f>_xlfn.XLOOKUP(B1317,Tableau13[ID_Antenne],Tableau13[Latitude],"Non répertoriées")</f>
        <v>Non répertoriées</v>
      </c>
      <c r="G1317" t="str">
        <f>_xlfn.XLOOKUP(B1317,Tableau13[ID_Antenne],Tableau13[Longitude],"Non répertoriées")</f>
        <v>Non répertoriées</v>
      </c>
      <c r="H1317" t="s">
        <v>10</v>
      </c>
    </row>
    <row r="1318" spans="1:8" x14ac:dyDescent="0.25">
      <c r="A1318" s="1">
        <v>45212.642361111109</v>
      </c>
      <c r="B1318" t="s">
        <v>322</v>
      </c>
      <c r="C1318" t="str">
        <f>_xlfn.XLOOKUP(B1318,Tableau13[ID_Antenne],Tableau13[Province_RDC],"Non répertoriées")</f>
        <v>Non répertoriées</v>
      </c>
      <c r="D1318">
        <v>75</v>
      </c>
      <c r="E1318" t="str">
        <f>_xlfn.XLOOKUP(B1318,Tableau13[ID_Antenne],Tableau13[Technologie],"Non répertoriées")</f>
        <v>Non répertoriées</v>
      </c>
      <c r="F1318" t="str">
        <f>_xlfn.XLOOKUP(B1318,Tableau13[ID_Antenne],Tableau13[Latitude],"Non répertoriées")</f>
        <v>Non répertoriées</v>
      </c>
      <c r="G1318" t="str">
        <f>_xlfn.XLOOKUP(B1318,Tableau13[ID_Antenne],Tableau13[Longitude],"Non répertoriées")</f>
        <v>Non répertoriées</v>
      </c>
      <c r="H1318" t="s">
        <v>10</v>
      </c>
    </row>
    <row r="1319" spans="1:8" x14ac:dyDescent="0.25">
      <c r="A1319" s="1">
        <v>45207.195138888892</v>
      </c>
      <c r="B1319" t="s">
        <v>212</v>
      </c>
      <c r="C1319" t="str">
        <f>_xlfn.XLOOKUP(B1319,Tableau13[ID_Antenne],Tableau13[Province_RDC],"Non répertoriées")</f>
        <v>Non répertoriées</v>
      </c>
      <c r="D1319">
        <v>40</v>
      </c>
      <c r="E1319" t="str">
        <f>_xlfn.XLOOKUP(B1319,Tableau13[ID_Antenne],Tableau13[Technologie],"Non répertoriées")</f>
        <v>Non répertoriées</v>
      </c>
      <c r="F1319" t="str">
        <f>_xlfn.XLOOKUP(B1319,Tableau13[ID_Antenne],Tableau13[Latitude],"Non répertoriées")</f>
        <v>Non répertoriées</v>
      </c>
      <c r="G1319" t="str">
        <f>_xlfn.XLOOKUP(B1319,Tableau13[ID_Antenne],Tableau13[Longitude],"Non répertoriées")</f>
        <v>Non répertoriées</v>
      </c>
      <c r="H1319" t="s">
        <v>8</v>
      </c>
    </row>
    <row r="1320" spans="1:8" x14ac:dyDescent="0.25">
      <c r="A1320" s="1">
        <v>45222.039583333331</v>
      </c>
      <c r="B1320" t="s">
        <v>685</v>
      </c>
      <c r="C1320" t="str">
        <f>_xlfn.XLOOKUP(B1320,Tableau13[ID_Antenne],Tableau13[Province_RDC],"Non répertoriées")</f>
        <v>Non répertoriées</v>
      </c>
      <c r="D1320">
        <v>21</v>
      </c>
      <c r="E1320" t="str">
        <f>_xlfn.XLOOKUP(B1320,Tableau13[ID_Antenne],Tableau13[Technologie],"Non répertoriées")</f>
        <v>Non répertoriées</v>
      </c>
      <c r="F1320" t="str">
        <f>_xlfn.XLOOKUP(B1320,Tableau13[ID_Antenne],Tableau13[Latitude],"Non répertoriées")</f>
        <v>Non répertoriées</v>
      </c>
      <c r="G1320" t="str">
        <f>_xlfn.XLOOKUP(B1320,Tableau13[ID_Antenne],Tableau13[Longitude],"Non répertoriées")</f>
        <v>Non répertoriées</v>
      </c>
      <c r="H1320" t="s">
        <v>8</v>
      </c>
    </row>
    <row r="1321" spans="1:8" x14ac:dyDescent="0.25">
      <c r="A1321" s="1">
        <v>45224.15902777778</v>
      </c>
      <c r="B1321" t="s">
        <v>270</v>
      </c>
      <c r="C1321" t="str">
        <f>_xlfn.XLOOKUP(B1321,Tableau13[ID_Antenne],Tableau13[Province_RDC],"Non répertoriées")</f>
        <v>Non répertoriées</v>
      </c>
      <c r="D1321">
        <v>85</v>
      </c>
      <c r="E1321" t="str">
        <f>_xlfn.XLOOKUP(B1321,Tableau13[ID_Antenne],Tableau13[Technologie],"Non répertoriées")</f>
        <v>Non répertoriées</v>
      </c>
      <c r="F1321" t="str">
        <f>_xlfn.XLOOKUP(B1321,Tableau13[ID_Antenne],Tableau13[Latitude],"Non répertoriées")</f>
        <v>Non répertoriées</v>
      </c>
      <c r="G1321" t="str">
        <f>_xlfn.XLOOKUP(B1321,Tableau13[ID_Antenne],Tableau13[Longitude],"Non répertoriées")</f>
        <v>Non répertoriées</v>
      </c>
      <c r="H1321" t="s">
        <v>5</v>
      </c>
    </row>
    <row r="1322" spans="1:8" x14ac:dyDescent="0.25">
      <c r="A1322" s="1">
        <v>45213.299305555563</v>
      </c>
      <c r="B1322" t="s">
        <v>536</v>
      </c>
      <c r="C1322" t="str">
        <f>_xlfn.XLOOKUP(B1322,Tableau13[ID_Antenne],Tableau13[Province_RDC],"Non répertoriées")</f>
        <v>Non répertoriées</v>
      </c>
      <c r="D1322">
        <v>43</v>
      </c>
      <c r="E1322" t="str">
        <f>_xlfn.XLOOKUP(B1322,Tableau13[ID_Antenne],Tableau13[Technologie],"Non répertoriées")</f>
        <v>Non répertoriées</v>
      </c>
      <c r="F1322" t="str">
        <f>_xlfn.XLOOKUP(B1322,Tableau13[ID_Antenne],Tableau13[Latitude],"Non répertoriées")</f>
        <v>Non répertoriées</v>
      </c>
      <c r="G1322" t="str">
        <f>_xlfn.XLOOKUP(B1322,Tableau13[ID_Antenne],Tableau13[Longitude],"Non répertoriées")</f>
        <v>Non répertoriées</v>
      </c>
      <c r="H1322" t="s">
        <v>10</v>
      </c>
    </row>
    <row r="1323" spans="1:8" x14ac:dyDescent="0.25">
      <c r="A1323" s="1">
        <v>45225.939583333333</v>
      </c>
      <c r="B1323" t="s">
        <v>579</v>
      </c>
      <c r="C1323" s="29" t="str">
        <f>_xlfn.XLOOKUP(B1323,Tableau13[ID_Antenne],Tableau13[Province_RDC],"Non répertoriées")</f>
        <v>Kasai-Oriental</v>
      </c>
      <c r="D1323">
        <v>83</v>
      </c>
      <c r="E1323" s="31" t="str">
        <f>_xlfn.XLOOKUP(B1323,Tableau13[ID_Antenne],Tableau13[Technologie],"Non répertoriées")</f>
        <v>5G</v>
      </c>
      <c r="F1323" s="3">
        <f>_xlfn.XLOOKUP(B1323,Tableau13[ID_Antenne],Tableau13[Latitude],"Non répertoriées")</f>
        <v>1.7832440000000001</v>
      </c>
      <c r="G1323" s="32">
        <f>_xlfn.XLOOKUP(B1323,Tableau13[ID_Antenne],Tableau13[Longitude],"Non répertoriées")</f>
        <v>25.477405999999998</v>
      </c>
      <c r="H1323" t="s">
        <v>5</v>
      </c>
    </row>
    <row r="1324" spans="1:8" x14ac:dyDescent="0.25">
      <c r="A1324" s="1">
        <v>45214.065972222219</v>
      </c>
      <c r="B1324" t="s">
        <v>141</v>
      </c>
      <c r="C1324" t="str">
        <f>_xlfn.XLOOKUP(B1324,Tableau13[ID_Antenne],Tableau13[Province_RDC],"Non répertoriées")</f>
        <v>Non répertoriées</v>
      </c>
      <c r="D1324">
        <v>73</v>
      </c>
      <c r="E1324" t="str">
        <f>_xlfn.XLOOKUP(B1324,Tableau13[ID_Antenne],Tableau13[Technologie],"Non répertoriées")</f>
        <v>Non répertoriées</v>
      </c>
      <c r="F1324" t="str">
        <f>_xlfn.XLOOKUP(B1324,Tableau13[ID_Antenne],Tableau13[Latitude],"Non répertoriées")</f>
        <v>Non répertoriées</v>
      </c>
      <c r="G1324" t="str">
        <f>_xlfn.XLOOKUP(B1324,Tableau13[ID_Antenne],Tableau13[Longitude],"Non répertoriées")</f>
        <v>Non répertoriées</v>
      </c>
      <c r="H1324" t="s">
        <v>5</v>
      </c>
    </row>
    <row r="1325" spans="1:8" x14ac:dyDescent="0.25">
      <c r="A1325" s="1">
        <v>45207.145138888889</v>
      </c>
      <c r="B1325" t="s">
        <v>352</v>
      </c>
      <c r="C1325" t="str">
        <f>_xlfn.XLOOKUP(B1325,Tableau13[ID_Antenne],Tableau13[Province_RDC],"Non répertoriées")</f>
        <v>Non répertoriées</v>
      </c>
      <c r="D1325">
        <v>16</v>
      </c>
      <c r="E1325" t="str">
        <f>_xlfn.XLOOKUP(B1325,Tableau13[ID_Antenne],Tableau13[Technologie],"Non répertoriées")</f>
        <v>Non répertoriées</v>
      </c>
      <c r="F1325" t="str">
        <f>_xlfn.XLOOKUP(B1325,Tableau13[ID_Antenne],Tableau13[Latitude],"Non répertoriées")</f>
        <v>Non répertoriées</v>
      </c>
      <c r="G1325" t="str">
        <f>_xlfn.XLOOKUP(B1325,Tableau13[ID_Antenne],Tableau13[Longitude],"Non répertoriées")</f>
        <v>Non répertoriées</v>
      </c>
      <c r="H1325" t="s">
        <v>8</v>
      </c>
    </row>
    <row r="1326" spans="1:8" x14ac:dyDescent="0.25">
      <c r="A1326" s="1">
        <v>45204.612500000003</v>
      </c>
      <c r="B1326" t="s">
        <v>645</v>
      </c>
      <c r="C1326" t="str">
        <f>_xlfn.XLOOKUP(B1326,Tableau13[ID_Antenne],Tableau13[Province_RDC],"Non répertoriées")</f>
        <v>Non répertoriées</v>
      </c>
      <c r="D1326">
        <v>69</v>
      </c>
      <c r="E1326" t="str">
        <f>_xlfn.XLOOKUP(B1326,Tableau13[ID_Antenne],Tableau13[Technologie],"Non répertoriées")</f>
        <v>Non répertoriées</v>
      </c>
      <c r="F1326" t="str">
        <f>_xlfn.XLOOKUP(B1326,Tableau13[ID_Antenne],Tableau13[Latitude],"Non répertoriées")</f>
        <v>Non répertoriées</v>
      </c>
      <c r="G1326" t="str">
        <f>_xlfn.XLOOKUP(B1326,Tableau13[ID_Antenne],Tableau13[Longitude],"Non répertoriées")</f>
        <v>Non répertoriées</v>
      </c>
      <c r="H1326" t="s">
        <v>5</v>
      </c>
    </row>
    <row r="1327" spans="1:8" x14ac:dyDescent="0.25">
      <c r="A1327" s="1">
        <v>45216.734722222223</v>
      </c>
      <c r="B1327" t="s">
        <v>628</v>
      </c>
      <c r="C1327" s="29" t="str">
        <f>_xlfn.XLOOKUP(B1327,Tableau13[ID_Antenne],Tableau13[Province_RDC],"Non répertoriées")</f>
        <v>Sud-Ubangi</v>
      </c>
      <c r="D1327">
        <v>87</v>
      </c>
      <c r="E1327" s="31" t="str">
        <f>_xlfn.XLOOKUP(B1327,Tableau13[ID_Antenne],Tableau13[Technologie],"Non répertoriées")</f>
        <v>5G</v>
      </c>
      <c r="F1327" s="3">
        <f>_xlfn.XLOOKUP(B1327,Tableau13[ID_Antenne],Tableau13[Latitude],"Non répertoriées")</f>
        <v>-0.54908599999999996</v>
      </c>
      <c r="G1327" s="32">
        <f>_xlfn.XLOOKUP(B1327,Tableau13[ID_Antenne],Tableau13[Longitude],"Non répertoriées")</f>
        <v>14.816867</v>
      </c>
      <c r="H1327" t="s">
        <v>5</v>
      </c>
    </row>
    <row r="1328" spans="1:8" x14ac:dyDescent="0.25">
      <c r="A1328" s="1">
        <v>45210.61041666667</v>
      </c>
      <c r="B1328" t="s">
        <v>695</v>
      </c>
      <c r="C1328" t="str">
        <f>_xlfn.XLOOKUP(B1328,Tableau13[ID_Antenne],Tableau13[Province_RDC],"Non répertoriées")</f>
        <v>Non répertoriées</v>
      </c>
      <c r="D1328">
        <v>26</v>
      </c>
      <c r="E1328" t="str">
        <f>_xlfn.XLOOKUP(B1328,Tableau13[ID_Antenne],Tableau13[Technologie],"Non répertoriées")</f>
        <v>Non répertoriées</v>
      </c>
      <c r="F1328" t="str">
        <f>_xlfn.XLOOKUP(B1328,Tableau13[ID_Antenne],Tableau13[Latitude],"Non répertoriées")</f>
        <v>Non répertoriées</v>
      </c>
      <c r="G1328" t="str">
        <f>_xlfn.XLOOKUP(B1328,Tableau13[ID_Antenne],Tableau13[Longitude],"Non répertoriées")</f>
        <v>Non répertoriées</v>
      </c>
      <c r="H1328" t="s">
        <v>10</v>
      </c>
    </row>
    <row r="1329" spans="1:8" x14ac:dyDescent="0.25">
      <c r="A1329" s="1">
        <v>45226.997916666667</v>
      </c>
      <c r="B1329" t="s">
        <v>352</v>
      </c>
      <c r="C1329" t="str">
        <f>_xlfn.XLOOKUP(B1329,Tableau13[ID_Antenne],Tableau13[Province_RDC],"Non répertoriées")</f>
        <v>Non répertoriées</v>
      </c>
      <c r="D1329">
        <v>80</v>
      </c>
      <c r="E1329" t="str">
        <f>_xlfn.XLOOKUP(B1329,Tableau13[ID_Antenne],Tableau13[Technologie],"Non répertoriées")</f>
        <v>Non répertoriées</v>
      </c>
      <c r="F1329" t="str">
        <f>_xlfn.XLOOKUP(B1329,Tableau13[ID_Antenne],Tableau13[Latitude],"Non répertoriées")</f>
        <v>Non répertoriées</v>
      </c>
      <c r="G1329" t="str">
        <f>_xlfn.XLOOKUP(B1329,Tableau13[ID_Antenne],Tableau13[Longitude],"Non répertoriées")</f>
        <v>Non répertoriées</v>
      </c>
      <c r="H1329" t="s">
        <v>5</v>
      </c>
    </row>
    <row r="1330" spans="1:8" x14ac:dyDescent="0.25">
      <c r="A1330" s="1">
        <v>45216.578472222223</v>
      </c>
      <c r="B1330" t="s">
        <v>265</v>
      </c>
      <c r="C1330" t="str">
        <f>_xlfn.XLOOKUP(B1330,Tableau13[ID_Antenne],Tableau13[Province_RDC],"Non répertoriées")</f>
        <v>Non répertoriées</v>
      </c>
      <c r="D1330">
        <v>79</v>
      </c>
      <c r="E1330" t="str">
        <f>_xlfn.XLOOKUP(B1330,Tableau13[ID_Antenne],Tableau13[Technologie],"Non répertoriées")</f>
        <v>Non répertoriées</v>
      </c>
      <c r="F1330" t="str">
        <f>_xlfn.XLOOKUP(B1330,Tableau13[ID_Antenne],Tableau13[Latitude],"Non répertoriées")</f>
        <v>Non répertoriées</v>
      </c>
      <c r="G1330" t="str">
        <f>_xlfn.XLOOKUP(B1330,Tableau13[ID_Antenne],Tableau13[Longitude],"Non répertoriées")</f>
        <v>Non répertoriées</v>
      </c>
      <c r="H1330" t="s">
        <v>5</v>
      </c>
    </row>
    <row r="1331" spans="1:8" x14ac:dyDescent="0.25">
      <c r="A1331" s="1">
        <v>45229.727777777778</v>
      </c>
      <c r="B1331" t="s">
        <v>327</v>
      </c>
      <c r="C1331" s="29" t="str">
        <f>_xlfn.XLOOKUP(B1331,Tableau13[ID_Antenne],Tableau13[Province_RDC],"Non répertoriées")</f>
        <v>Nord-Kivu</v>
      </c>
      <c r="D1331">
        <v>24</v>
      </c>
      <c r="E1331" s="31" t="str">
        <f>_xlfn.XLOOKUP(B1331,Tableau13[ID_Antenne],Tableau13[Technologie],"Non répertoriées")</f>
        <v>3G</v>
      </c>
      <c r="F1331" s="3">
        <f>_xlfn.XLOOKUP(B1331,Tableau13[ID_Antenne],Tableau13[Latitude],"Non répertoriées")</f>
        <v>-6.5529849999999996</v>
      </c>
      <c r="G1331" s="32">
        <f>_xlfn.XLOOKUP(B1331,Tableau13[ID_Antenne],Tableau13[Longitude],"Non répertoriées")</f>
        <v>21.990606</v>
      </c>
      <c r="H1331" t="s">
        <v>5</v>
      </c>
    </row>
    <row r="1332" spans="1:8" x14ac:dyDescent="0.25">
      <c r="A1332" s="1">
        <v>45228.240972222222</v>
      </c>
      <c r="B1332" t="s">
        <v>727</v>
      </c>
      <c r="C1332" s="29" t="str">
        <f>_xlfn.XLOOKUP(B1332,Tableau13[ID_Antenne],Tableau13[Province_RDC],"Non répertoriées")</f>
        <v>Haut-Uele</v>
      </c>
      <c r="D1332">
        <v>26</v>
      </c>
      <c r="E1332" s="31" t="str">
        <f>_xlfn.XLOOKUP(B1332,Tableau13[ID_Antenne],Tableau13[Technologie],"Non répertoriées")</f>
        <v>5G</v>
      </c>
      <c r="F1332" s="3">
        <f>_xlfn.XLOOKUP(B1332,Tableau13[ID_Antenne],Tableau13[Latitude],"Non répertoriées")</f>
        <v>-2.5254650000000001</v>
      </c>
      <c r="G1332" s="32">
        <f>_xlfn.XLOOKUP(B1332,Tableau13[ID_Antenne],Tableau13[Longitude],"Non répertoriées")</f>
        <v>21.338113</v>
      </c>
      <c r="H1332" t="s">
        <v>10</v>
      </c>
    </row>
    <row r="1333" spans="1:8" x14ac:dyDescent="0.25">
      <c r="A1333" s="1">
        <v>45227.644444444442</v>
      </c>
      <c r="B1333" t="s">
        <v>276</v>
      </c>
      <c r="C1333" s="29" t="str">
        <f>_xlfn.XLOOKUP(B1333,Tableau13[ID_Antenne],Tableau13[Province_RDC],"Non répertoriées")</f>
        <v>Sankuru</v>
      </c>
      <c r="D1333">
        <v>89</v>
      </c>
      <c r="E1333" s="31" t="str">
        <f>_xlfn.XLOOKUP(B1333,Tableau13[ID_Antenne],Tableau13[Technologie],"Non répertoriées")</f>
        <v>3G</v>
      </c>
      <c r="F1333" s="3">
        <f>_xlfn.XLOOKUP(B1333,Tableau13[ID_Antenne],Tableau13[Latitude],"Non répertoriées")</f>
        <v>-4.7886769999999999</v>
      </c>
      <c r="G1333" s="32">
        <f>_xlfn.XLOOKUP(B1333,Tableau13[ID_Antenne],Tableau13[Longitude],"Non répertoriées")</f>
        <v>23.600221999999999</v>
      </c>
      <c r="H1333" t="s">
        <v>8</v>
      </c>
    </row>
    <row r="1334" spans="1:8" x14ac:dyDescent="0.25">
      <c r="A1334" s="1">
        <v>45208.328472222223</v>
      </c>
      <c r="B1334" t="s">
        <v>327</v>
      </c>
      <c r="C1334" s="29" t="str">
        <f>_xlfn.XLOOKUP(B1334,Tableau13[ID_Antenne],Tableau13[Province_RDC],"Non répertoriées")</f>
        <v>Nord-Kivu</v>
      </c>
      <c r="D1334">
        <v>84</v>
      </c>
      <c r="E1334" s="31" t="str">
        <f>_xlfn.XLOOKUP(B1334,Tableau13[ID_Antenne],Tableau13[Technologie],"Non répertoriées")</f>
        <v>3G</v>
      </c>
      <c r="F1334" s="3">
        <f>_xlfn.XLOOKUP(B1334,Tableau13[ID_Antenne],Tableau13[Latitude],"Non répertoriées")</f>
        <v>-6.5529849999999996</v>
      </c>
      <c r="G1334" s="32">
        <f>_xlfn.XLOOKUP(B1334,Tableau13[ID_Antenne],Tableau13[Longitude],"Non répertoriées")</f>
        <v>21.990606</v>
      </c>
      <c r="H1334" t="s">
        <v>10</v>
      </c>
    </row>
    <row r="1335" spans="1:8" x14ac:dyDescent="0.25">
      <c r="A1335" s="1">
        <v>45220.367361111108</v>
      </c>
      <c r="B1335" t="s">
        <v>348</v>
      </c>
      <c r="C1335" t="str">
        <f>_xlfn.XLOOKUP(B1335,Tableau13[ID_Antenne],Tableau13[Province_RDC],"Non répertoriées")</f>
        <v>Non répertoriées</v>
      </c>
      <c r="D1335">
        <v>97</v>
      </c>
      <c r="E1335" t="str">
        <f>_xlfn.XLOOKUP(B1335,Tableau13[ID_Antenne],Tableau13[Technologie],"Non répertoriées")</f>
        <v>Non répertoriées</v>
      </c>
      <c r="F1335" t="str">
        <f>_xlfn.XLOOKUP(B1335,Tableau13[ID_Antenne],Tableau13[Latitude],"Non répertoriées")</f>
        <v>Non répertoriées</v>
      </c>
      <c r="G1335" t="str">
        <f>_xlfn.XLOOKUP(B1335,Tableau13[ID_Antenne],Tableau13[Longitude],"Non répertoriées")</f>
        <v>Non répertoriées</v>
      </c>
      <c r="H1335" t="s">
        <v>8</v>
      </c>
    </row>
    <row r="1336" spans="1:8" x14ac:dyDescent="0.25">
      <c r="A1336" s="1">
        <v>45224.688194444447</v>
      </c>
      <c r="B1336" t="s">
        <v>464</v>
      </c>
      <c r="C1336" s="29" t="str">
        <f>_xlfn.XLOOKUP(B1336,Tableau13[ID_Antenne],Tableau13[Province_RDC],"Non répertoriées")</f>
        <v>Haut-Uele</v>
      </c>
      <c r="D1336">
        <v>120</v>
      </c>
      <c r="E1336" s="31" t="str">
        <f>_xlfn.XLOOKUP(B1336,Tableau13[ID_Antenne],Tableau13[Technologie],"Non répertoriées")</f>
        <v>5G</v>
      </c>
      <c r="F1336" s="3">
        <f>_xlfn.XLOOKUP(B1336,Tableau13[ID_Antenne],Tableau13[Latitude],"Non répertoriées")</f>
        <v>1.2391989999999999</v>
      </c>
      <c r="G1336" s="32">
        <f>_xlfn.XLOOKUP(B1336,Tableau13[ID_Antenne],Tableau13[Longitude],"Non répertoriées")</f>
        <v>15.386718999999999</v>
      </c>
      <c r="H1336" t="s">
        <v>8</v>
      </c>
    </row>
    <row r="1337" spans="1:8" x14ac:dyDescent="0.25">
      <c r="A1337" s="1">
        <v>45220.303472222222</v>
      </c>
      <c r="B1337" t="s">
        <v>688</v>
      </c>
      <c r="C1337" t="str">
        <f>_xlfn.XLOOKUP(B1337,Tableau13[ID_Antenne],Tableau13[Province_RDC],"Non répertoriées")</f>
        <v>Non répertoriées</v>
      </c>
      <c r="D1337">
        <v>82</v>
      </c>
      <c r="E1337" t="str">
        <f>_xlfn.XLOOKUP(B1337,Tableau13[ID_Antenne],Tableau13[Technologie],"Non répertoriées")</f>
        <v>Non répertoriées</v>
      </c>
      <c r="F1337" t="str">
        <f>_xlfn.XLOOKUP(B1337,Tableau13[ID_Antenne],Tableau13[Latitude],"Non répertoriées")</f>
        <v>Non répertoriées</v>
      </c>
      <c r="G1337" t="str">
        <f>_xlfn.XLOOKUP(B1337,Tableau13[ID_Antenne],Tableau13[Longitude],"Non répertoriées")</f>
        <v>Non répertoriées</v>
      </c>
      <c r="H1337" t="s">
        <v>8</v>
      </c>
    </row>
    <row r="1338" spans="1:8" x14ac:dyDescent="0.25">
      <c r="A1338" s="1">
        <v>45214.114583333343</v>
      </c>
      <c r="B1338" t="s">
        <v>352</v>
      </c>
      <c r="C1338" t="str">
        <f>_xlfn.XLOOKUP(B1338,Tableau13[ID_Antenne],Tableau13[Province_RDC],"Non répertoriées")</f>
        <v>Non répertoriées</v>
      </c>
      <c r="D1338">
        <v>48</v>
      </c>
      <c r="E1338" t="str">
        <f>_xlfn.XLOOKUP(B1338,Tableau13[ID_Antenne],Tableau13[Technologie],"Non répertoriées")</f>
        <v>Non répertoriées</v>
      </c>
      <c r="F1338" t="str">
        <f>_xlfn.XLOOKUP(B1338,Tableau13[ID_Antenne],Tableau13[Latitude],"Non répertoriées")</f>
        <v>Non répertoriées</v>
      </c>
      <c r="G1338" t="str">
        <f>_xlfn.XLOOKUP(B1338,Tableau13[ID_Antenne],Tableau13[Longitude],"Non répertoriées")</f>
        <v>Non répertoriées</v>
      </c>
      <c r="H1338" t="s">
        <v>10</v>
      </c>
    </row>
    <row r="1339" spans="1:8" x14ac:dyDescent="0.25">
      <c r="A1339" s="1">
        <v>45209.303472222222</v>
      </c>
      <c r="B1339" t="s">
        <v>710</v>
      </c>
      <c r="C1339" s="29" t="str">
        <f>_xlfn.XLOOKUP(B1339,Tableau13[ID_Antenne],Tableau13[Province_RDC],"Non répertoriées")</f>
        <v>Equateur</v>
      </c>
      <c r="D1339">
        <v>112</v>
      </c>
      <c r="E1339" s="31" t="str">
        <f>_xlfn.XLOOKUP(B1339,Tableau13[ID_Antenne],Tableau13[Technologie],"Non répertoriées")</f>
        <v>3G</v>
      </c>
      <c r="F1339" s="3">
        <f>_xlfn.XLOOKUP(B1339,Tableau13[ID_Antenne],Tableau13[Latitude],"Non répertoriées")</f>
        <v>-6.7420359999999997</v>
      </c>
      <c r="G1339" s="32">
        <f>_xlfn.XLOOKUP(B1339,Tableau13[ID_Antenne],Tableau13[Longitude],"Non répertoriées")</f>
        <v>28.905578999999999</v>
      </c>
      <c r="H1339" t="s">
        <v>10</v>
      </c>
    </row>
    <row r="1340" spans="1:8" x14ac:dyDescent="0.25">
      <c r="A1340" s="1">
        <v>45210.456250000003</v>
      </c>
      <c r="B1340" t="s">
        <v>676</v>
      </c>
      <c r="C1340" t="str">
        <f>_xlfn.XLOOKUP(B1340,Tableau13[ID_Antenne],Tableau13[Province_RDC],"Non répertoriées")</f>
        <v>Non répertoriées</v>
      </c>
      <c r="D1340">
        <v>77</v>
      </c>
      <c r="E1340" t="str">
        <f>_xlfn.XLOOKUP(B1340,Tableau13[ID_Antenne],Tableau13[Technologie],"Non répertoriées")</f>
        <v>Non répertoriées</v>
      </c>
      <c r="F1340" t="str">
        <f>_xlfn.XLOOKUP(B1340,Tableau13[ID_Antenne],Tableau13[Latitude],"Non répertoriées")</f>
        <v>Non répertoriées</v>
      </c>
      <c r="G1340" t="str">
        <f>_xlfn.XLOOKUP(B1340,Tableau13[ID_Antenne],Tableau13[Longitude],"Non répertoriées")</f>
        <v>Non répertoriées</v>
      </c>
      <c r="H1340" t="s">
        <v>8</v>
      </c>
    </row>
    <row r="1341" spans="1:8" x14ac:dyDescent="0.25">
      <c r="A1341" s="1">
        <v>45217.088888888888</v>
      </c>
      <c r="B1341" t="s">
        <v>628</v>
      </c>
      <c r="C1341" s="29" t="str">
        <f>_xlfn.XLOOKUP(B1341,Tableau13[ID_Antenne],Tableau13[Province_RDC],"Non répertoriées")</f>
        <v>Sud-Ubangi</v>
      </c>
      <c r="D1341">
        <v>10</v>
      </c>
      <c r="E1341" s="31" t="str">
        <f>_xlfn.XLOOKUP(B1341,Tableau13[ID_Antenne],Tableau13[Technologie],"Non répertoriées")</f>
        <v>5G</v>
      </c>
      <c r="F1341" s="3">
        <f>_xlfn.XLOOKUP(B1341,Tableau13[ID_Antenne],Tableau13[Latitude],"Non répertoriées")</f>
        <v>-0.54908599999999996</v>
      </c>
      <c r="G1341" s="32">
        <f>_xlfn.XLOOKUP(B1341,Tableau13[ID_Antenne],Tableau13[Longitude],"Non répertoriées")</f>
        <v>14.816867</v>
      </c>
      <c r="H1341" t="s">
        <v>10</v>
      </c>
    </row>
    <row r="1342" spans="1:8" x14ac:dyDescent="0.25">
      <c r="A1342" s="1">
        <v>45204.308333333327</v>
      </c>
      <c r="B1342" t="s">
        <v>728</v>
      </c>
      <c r="C1342" s="29" t="str">
        <f>_xlfn.XLOOKUP(B1342,Tableau13[ID_Antenne],Tableau13[Province_RDC],"Non répertoriées")</f>
        <v>Kongo-Central</v>
      </c>
      <c r="D1342">
        <v>110</v>
      </c>
      <c r="E1342" s="31" t="str">
        <f>_xlfn.XLOOKUP(B1342,Tableau13[ID_Antenne],Tableau13[Technologie],"Non répertoriées")</f>
        <v>5G</v>
      </c>
      <c r="F1342" s="3">
        <f>_xlfn.XLOOKUP(B1342,Tableau13[ID_Antenne],Tableau13[Latitude],"Non répertoriées")</f>
        <v>2.9836019999999999</v>
      </c>
      <c r="G1342" s="32">
        <f>_xlfn.XLOOKUP(B1342,Tableau13[ID_Antenne],Tableau13[Longitude],"Non répertoriées")</f>
        <v>21.893065</v>
      </c>
      <c r="H1342" t="s">
        <v>5</v>
      </c>
    </row>
    <row r="1343" spans="1:8" x14ac:dyDescent="0.25">
      <c r="A1343" s="1">
        <v>45222.197916666657</v>
      </c>
      <c r="B1343" t="s">
        <v>197</v>
      </c>
      <c r="C1343" t="str">
        <f>_xlfn.XLOOKUP(B1343,Tableau13[ID_Antenne],Tableau13[Province_RDC],"Non répertoriées")</f>
        <v>Non répertoriées</v>
      </c>
      <c r="D1343">
        <v>115</v>
      </c>
      <c r="E1343" t="str">
        <f>_xlfn.XLOOKUP(B1343,Tableau13[ID_Antenne],Tableau13[Technologie],"Non répertoriées")</f>
        <v>Non répertoriées</v>
      </c>
      <c r="F1343" t="str">
        <f>_xlfn.XLOOKUP(B1343,Tableau13[ID_Antenne],Tableau13[Latitude],"Non répertoriées")</f>
        <v>Non répertoriées</v>
      </c>
      <c r="G1343" t="str">
        <f>_xlfn.XLOOKUP(B1343,Tableau13[ID_Antenne],Tableau13[Longitude],"Non répertoriées")</f>
        <v>Non répertoriées</v>
      </c>
      <c r="H1343" t="s">
        <v>8</v>
      </c>
    </row>
    <row r="1344" spans="1:8" x14ac:dyDescent="0.25">
      <c r="A1344" s="1">
        <v>45206.101388888892</v>
      </c>
      <c r="B1344" t="s">
        <v>678</v>
      </c>
      <c r="C1344" t="str">
        <f>_xlfn.XLOOKUP(B1344,Tableau13[ID_Antenne],Tableau13[Province_RDC],"Non répertoriées")</f>
        <v>Non répertoriées</v>
      </c>
      <c r="D1344">
        <v>8</v>
      </c>
      <c r="E1344" t="str">
        <f>_xlfn.XLOOKUP(B1344,Tableau13[ID_Antenne],Tableau13[Technologie],"Non répertoriées")</f>
        <v>Non répertoriées</v>
      </c>
      <c r="F1344" t="str">
        <f>_xlfn.XLOOKUP(B1344,Tableau13[ID_Antenne],Tableau13[Latitude],"Non répertoriées")</f>
        <v>Non répertoriées</v>
      </c>
      <c r="G1344" t="str">
        <f>_xlfn.XLOOKUP(B1344,Tableau13[ID_Antenne],Tableau13[Longitude],"Non répertoriées")</f>
        <v>Non répertoriées</v>
      </c>
      <c r="H1344" t="s">
        <v>8</v>
      </c>
    </row>
    <row r="1345" spans="1:8" x14ac:dyDescent="0.25">
      <c r="A1345" s="1">
        <v>45213.44027777778</v>
      </c>
      <c r="B1345" t="s">
        <v>40</v>
      </c>
      <c r="C1345" s="29" t="str">
        <f>_xlfn.XLOOKUP(B1345,Tableau13[ID_Antenne],Tableau13[Province_RDC],"Non répertoriées")</f>
        <v>Kasai</v>
      </c>
      <c r="D1345">
        <v>15</v>
      </c>
      <c r="E1345" s="31" t="str">
        <f>_xlfn.XLOOKUP(B1345,Tableau13[ID_Antenne],Tableau13[Technologie],"Non répertoriées")</f>
        <v>4G</v>
      </c>
      <c r="F1345" s="3">
        <f>_xlfn.XLOOKUP(B1345,Tableau13[ID_Antenne],Tableau13[Latitude],"Non répertoriées")</f>
        <v>-10.059846</v>
      </c>
      <c r="G1345" s="32">
        <f>_xlfn.XLOOKUP(B1345,Tableau13[ID_Antenne],Tableau13[Longitude],"Non répertoriées")</f>
        <v>14.375757999999999</v>
      </c>
      <c r="H1345" t="s">
        <v>8</v>
      </c>
    </row>
    <row r="1346" spans="1:8" x14ac:dyDescent="0.25">
      <c r="A1346" s="1">
        <v>45214.543749999997</v>
      </c>
      <c r="B1346" t="s">
        <v>707</v>
      </c>
      <c r="C1346" s="29" t="str">
        <f>_xlfn.XLOOKUP(B1346,Tableau13[ID_Antenne],Tableau13[Province_RDC],"Non répertoriées")</f>
        <v>Lualaba</v>
      </c>
      <c r="D1346">
        <v>10</v>
      </c>
      <c r="E1346" s="31" t="str">
        <f>_xlfn.XLOOKUP(B1346,Tableau13[ID_Antenne],Tableau13[Technologie],"Non répertoriées")</f>
        <v>4G</v>
      </c>
      <c r="F1346" s="3">
        <f>_xlfn.XLOOKUP(B1346,Tableau13[ID_Antenne],Tableau13[Latitude],"Non répertoriées")</f>
        <v>2.266232</v>
      </c>
      <c r="G1346" s="32">
        <f>_xlfn.XLOOKUP(B1346,Tableau13[ID_Antenne],Tableau13[Longitude],"Non répertoriées")</f>
        <v>29.532896000000001</v>
      </c>
      <c r="H1346" t="s">
        <v>8</v>
      </c>
    </row>
    <row r="1347" spans="1:8" x14ac:dyDescent="0.25">
      <c r="A1347" s="1">
        <v>45206.558333333327</v>
      </c>
      <c r="B1347" t="s">
        <v>431</v>
      </c>
      <c r="C1347" t="str">
        <f>_xlfn.XLOOKUP(B1347,Tableau13[ID_Antenne],Tableau13[Province_RDC],"Non répertoriées")</f>
        <v>Non répertoriées</v>
      </c>
      <c r="D1347">
        <v>87</v>
      </c>
      <c r="E1347" t="str">
        <f>_xlfn.XLOOKUP(B1347,Tableau13[ID_Antenne],Tableau13[Technologie],"Non répertoriées")</f>
        <v>Non répertoriées</v>
      </c>
      <c r="F1347" t="str">
        <f>_xlfn.XLOOKUP(B1347,Tableau13[ID_Antenne],Tableau13[Latitude],"Non répertoriées")</f>
        <v>Non répertoriées</v>
      </c>
      <c r="G1347" t="str">
        <f>_xlfn.XLOOKUP(B1347,Tableau13[ID_Antenne],Tableau13[Longitude],"Non répertoriées")</f>
        <v>Non répertoriées</v>
      </c>
      <c r="H1347" t="s">
        <v>5</v>
      </c>
    </row>
    <row r="1348" spans="1:8" x14ac:dyDescent="0.25">
      <c r="A1348" s="1">
        <v>45228.780555555553</v>
      </c>
      <c r="B1348" t="s">
        <v>141</v>
      </c>
      <c r="C1348" t="str">
        <f>_xlfn.XLOOKUP(B1348,Tableau13[ID_Antenne],Tableau13[Province_RDC],"Non répertoriées")</f>
        <v>Non répertoriées</v>
      </c>
      <c r="D1348">
        <v>103</v>
      </c>
      <c r="E1348" t="str">
        <f>_xlfn.XLOOKUP(B1348,Tableau13[ID_Antenne],Tableau13[Technologie],"Non répertoriées")</f>
        <v>Non répertoriées</v>
      </c>
      <c r="F1348" t="str">
        <f>_xlfn.XLOOKUP(B1348,Tableau13[ID_Antenne],Tableau13[Latitude],"Non répertoriées")</f>
        <v>Non répertoriées</v>
      </c>
      <c r="G1348" t="str">
        <f>_xlfn.XLOOKUP(B1348,Tableau13[ID_Antenne],Tableau13[Longitude],"Non répertoriées")</f>
        <v>Non répertoriées</v>
      </c>
      <c r="H1348" t="s">
        <v>10</v>
      </c>
    </row>
    <row r="1349" spans="1:8" x14ac:dyDescent="0.25">
      <c r="A1349" s="1">
        <v>45200.76666666667</v>
      </c>
      <c r="B1349" t="s">
        <v>180</v>
      </c>
      <c r="C1349" s="29" t="str">
        <f>_xlfn.XLOOKUP(B1349,Tableau13[ID_Antenne],Tableau13[Province_RDC],"Non répertoriées")</f>
        <v>Mai-Ndombe</v>
      </c>
      <c r="D1349">
        <v>78</v>
      </c>
      <c r="E1349" s="31" t="str">
        <f>_xlfn.XLOOKUP(B1349,Tableau13[ID_Antenne],Tableau13[Technologie],"Non répertoriées")</f>
        <v>4G</v>
      </c>
      <c r="F1349" s="3">
        <f>_xlfn.XLOOKUP(B1349,Tableau13[ID_Antenne],Tableau13[Latitude],"Non répertoriées")</f>
        <v>-10.442425</v>
      </c>
      <c r="G1349" s="32">
        <f>_xlfn.XLOOKUP(B1349,Tableau13[ID_Antenne],Tableau13[Longitude],"Non répertoriées")</f>
        <v>23.243632000000002</v>
      </c>
      <c r="H1349" t="s">
        <v>5</v>
      </c>
    </row>
    <row r="1350" spans="1:8" x14ac:dyDescent="0.25">
      <c r="A1350" s="1">
        <v>45215.015277777777</v>
      </c>
      <c r="B1350" t="s">
        <v>319</v>
      </c>
      <c r="C1350" s="29" t="str">
        <f>_xlfn.XLOOKUP(B1350,Tableau13[ID_Antenne],Tableau13[Province_RDC],"Non répertoriées")</f>
        <v>Bas-Uele</v>
      </c>
      <c r="D1350">
        <v>38</v>
      </c>
      <c r="E1350" s="31" t="str">
        <f>_xlfn.XLOOKUP(B1350,Tableau13[ID_Antenne],Tableau13[Technologie],"Non répertoriées")</f>
        <v>4G</v>
      </c>
      <c r="F1350" s="3">
        <f>_xlfn.XLOOKUP(B1350,Tableau13[ID_Antenne],Tableau13[Latitude],"Non répertoriées")</f>
        <v>-2.2876210000000001</v>
      </c>
      <c r="G1350" s="32">
        <f>_xlfn.XLOOKUP(B1350,Tableau13[ID_Antenne],Tableau13[Longitude],"Non répertoriées")</f>
        <v>27.582545</v>
      </c>
      <c r="H1350" t="s">
        <v>10</v>
      </c>
    </row>
    <row r="1351" spans="1:8" x14ac:dyDescent="0.25">
      <c r="A1351" s="1">
        <v>45209.537499999999</v>
      </c>
      <c r="B1351" t="s">
        <v>348</v>
      </c>
      <c r="C1351" t="str">
        <f>_xlfn.XLOOKUP(B1351,Tableau13[ID_Antenne],Tableau13[Province_RDC],"Non répertoriées")</f>
        <v>Non répertoriées</v>
      </c>
      <c r="D1351">
        <v>88</v>
      </c>
      <c r="E1351" t="str">
        <f>_xlfn.XLOOKUP(B1351,Tableau13[ID_Antenne],Tableau13[Technologie],"Non répertoriées")</f>
        <v>Non répertoriées</v>
      </c>
      <c r="F1351" t="str">
        <f>_xlfn.XLOOKUP(B1351,Tableau13[ID_Antenne],Tableau13[Latitude],"Non répertoriées")</f>
        <v>Non répertoriées</v>
      </c>
      <c r="G1351" t="str">
        <f>_xlfn.XLOOKUP(B1351,Tableau13[ID_Antenne],Tableau13[Longitude],"Non répertoriées")</f>
        <v>Non répertoriées</v>
      </c>
      <c r="H1351" t="s">
        <v>5</v>
      </c>
    </row>
    <row r="1352" spans="1:8" x14ac:dyDescent="0.25">
      <c r="A1352" s="1">
        <v>45228.56527777778</v>
      </c>
      <c r="B1352" t="s">
        <v>390</v>
      </c>
      <c r="C1352" s="29" t="str">
        <f>_xlfn.XLOOKUP(B1352,Tableau13[ID_Antenne],Tableau13[Province_RDC],"Non répertoriées")</f>
        <v>Kasai-Oriental</v>
      </c>
      <c r="D1352">
        <v>31</v>
      </c>
      <c r="E1352" s="31" t="str">
        <f>_xlfn.XLOOKUP(B1352,Tableau13[ID_Antenne],Tableau13[Technologie],"Non répertoriées")</f>
        <v>4G</v>
      </c>
      <c r="F1352" s="3">
        <f>_xlfn.XLOOKUP(B1352,Tableau13[ID_Antenne],Tableau13[Latitude],"Non répertoriées")</f>
        <v>-1.648326</v>
      </c>
      <c r="G1352" s="32">
        <f>_xlfn.XLOOKUP(B1352,Tableau13[ID_Antenne],Tableau13[Longitude],"Non répertoriées")</f>
        <v>25.528901999999999</v>
      </c>
      <c r="H1352" t="s">
        <v>8</v>
      </c>
    </row>
    <row r="1353" spans="1:8" x14ac:dyDescent="0.25">
      <c r="A1353" s="1">
        <v>45223.981944444437</v>
      </c>
      <c r="B1353" t="s">
        <v>48</v>
      </c>
      <c r="C1353" t="str">
        <f>_xlfn.XLOOKUP(B1353,Tableau13[ID_Antenne],Tableau13[Province_RDC],"Non répertoriées")</f>
        <v>Non répertoriées</v>
      </c>
      <c r="D1353">
        <v>103</v>
      </c>
      <c r="E1353" t="str">
        <f>_xlfn.XLOOKUP(B1353,Tableau13[ID_Antenne],Tableau13[Technologie],"Non répertoriées")</f>
        <v>Non répertoriées</v>
      </c>
      <c r="F1353" t="str">
        <f>_xlfn.XLOOKUP(B1353,Tableau13[ID_Antenne],Tableau13[Latitude],"Non répertoriées")</f>
        <v>Non répertoriées</v>
      </c>
      <c r="G1353" t="str">
        <f>_xlfn.XLOOKUP(B1353,Tableau13[ID_Antenne],Tableau13[Longitude],"Non répertoriées")</f>
        <v>Non répertoriées</v>
      </c>
      <c r="H1353" t="s">
        <v>5</v>
      </c>
    </row>
    <row r="1354" spans="1:8" x14ac:dyDescent="0.25">
      <c r="A1354" s="1">
        <v>45225.831250000003</v>
      </c>
      <c r="B1354" t="s">
        <v>154</v>
      </c>
      <c r="C1354" t="str">
        <f>_xlfn.XLOOKUP(B1354,Tableau13[ID_Antenne],Tableau13[Province_RDC],"Non répertoriées")</f>
        <v>Non répertoriées</v>
      </c>
      <c r="D1354">
        <v>78</v>
      </c>
      <c r="E1354" t="str">
        <f>_xlfn.XLOOKUP(B1354,Tableau13[ID_Antenne],Tableau13[Technologie],"Non répertoriées")</f>
        <v>Non répertoriées</v>
      </c>
      <c r="F1354" t="str">
        <f>_xlfn.XLOOKUP(B1354,Tableau13[ID_Antenne],Tableau13[Latitude],"Non répertoriées")</f>
        <v>Non répertoriées</v>
      </c>
      <c r="G1354" t="str">
        <f>_xlfn.XLOOKUP(B1354,Tableau13[ID_Antenne],Tableau13[Longitude],"Non répertoriées")</f>
        <v>Non répertoriées</v>
      </c>
      <c r="H1354" t="s">
        <v>5</v>
      </c>
    </row>
    <row r="1355" spans="1:8" x14ac:dyDescent="0.25">
      <c r="A1355" s="1">
        <v>45207.634722222218</v>
      </c>
      <c r="B1355" t="s">
        <v>711</v>
      </c>
      <c r="C1355" s="29" t="str">
        <f>_xlfn.XLOOKUP(B1355,Tableau13[ID_Antenne],Tableau13[Province_RDC],"Non répertoriées")</f>
        <v>Lualaba</v>
      </c>
      <c r="D1355">
        <v>58</v>
      </c>
      <c r="E1355" s="31" t="str">
        <f>_xlfn.XLOOKUP(B1355,Tableau13[ID_Antenne],Tableau13[Technologie],"Non répertoriées")</f>
        <v>4G</v>
      </c>
      <c r="F1355" s="3">
        <f>_xlfn.XLOOKUP(B1355,Tableau13[ID_Antenne],Tableau13[Latitude],"Non répertoriées")</f>
        <v>-3.234483</v>
      </c>
      <c r="G1355" s="32">
        <f>_xlfn.XLOOKUP(B1355,Tableau13[ID_Antenne],Tableau13[Longitude],"Non répertoriées")</f>
        <v>13.241939</v>
      </c>
      <c r="H1355" t="s">
        <v>8</v>
      </c>
    </row>
    <row r="1356" spans="1:8" x14ac:dyDescent="0.25">
      <c r="A1356" s="1">
        <v>45208.563194444447</v>
      </c>
      <c r="B1356" t="s">
        <v>666</v>
      </c>
      <c r="C1356" s="29" t="str">
        <f>_xlfn.XLOOKUP(B1356,Tableau13[ID_Antenne],Tableau13[Province_RDC],"Non répertoriées")</f>
        <v>Mongala</v>
      </c>
      <c r="D1356">
        <v>84</v>
      </c>
      <c r="E1356" s="31" t="str">
        <f>_xlfn.XLOOKUP(B1356,Tableau13[ID_Antenne],Tableau13[Technologie],"Non répertoriées")</f>
        <v>3G</v>
      </c>
      <c r="F1356" s="3">
        <f>_xlfn.XLOOKUP(B1356,Tableau13[ID_Antenne],Tableau13[Latitude],"Non répertoriées")</f>
        <v>4.0988100000000003</v>
      </c>
      <c r="G1356" s="32">
        <f>_xlfn.XLOOKUP(B1356,Tableau13[ID_Antenne],Tableau13[Longitude],"Non répertoriées")</f>
        <v>29.843810999999999</v>
      </c>
      <c r="H1356" t="s">
        <v>10</v>
      </c>
    </row>
    <row r="1357" spans="1:8" x14ac:dyDescent="0.25">
      <c r="A1357" s="1">
        <v>45200.51458333333</v>
      </c>
      <c r="B1357" t="s">
        <v>729</v>
      </c>
      <c r="C1357" t="str">
        <f>_xlfn.XLOOKUP(B1357,Tableau13[ID_Antenne],Tableau13[Province_RDC],"Non répertoriées")</f>
        <v>Non répertoriées</v>
      </c>
      <c r="D1357">
        <v>86</v>
      </c>
      <c r="E1357" t="str">
        <f>_xlfn.XLOOKUP(B1357,Tableau13[ID_Antenne],Tableau13[Technologie],"Non répertoriées")</f>
        <v>Non répertoriées</v>
      </c>
      <c r="F1357" t="str">
        <f>_xlfn.XLOOKUP(B1357,Tableau13[ID_Antenne],Tableau13[Latitude],"Non répertoriées")</f>
        <v>Non répertoriées</v>
      </c>
      <c r="G1357" t="str">
        <f>_xlfn.XLOOKUP(B1357,Tableau13[ID_Antenne],Tableau13[Longitude],"Non répertoriées")</f>
        <v>Non répertoriées</v>
      </c>
      <c r="H1357" t="s">
        <v>10</v>
      </c>
    </row>
    <row r="1358" spans="1:8" x14ac:dyDescent="0.25">
      <c r="A1358" s="1">
        <v>45221.910416666673</v>
      </c>
      <c r="B1358" t="s">
        <v>186</v>
      </c>
      <c r="C1358" s="29" t="str">
        <f>_xlfn.XLOOKUP(B1358,Tableau13[ID_Antenne],Tableau13[Province_RDC],"Non répertoriées")</f>
        <v>Mai-Ndombe</v>
      </c>
      <c r="D1358">
        <v>8</v>
      </c>
      <c r="E1358" s="31" t="str">
        <f>_xlfn.XLOOKUP(B1358,Tableau13[ID_Antenne],Tableau13[Technologie],"Non répertoriées")</f>
        <v>4G</v>
      </c>
      <c r="F1358" s="3">
        <f>_xlfn.XLOOKUP(B1358,Tableau13[ID_Antenne],Tableau13[Latitude],"Non répertoriées")</f>
        <v>-9.3652280000000001</v>
      </c>
      <c r="G1358" s="32">
        <f>_xlfn.XLOOKUP(B1358,Tableau13[ID_Antenne],Tableau13[Longitude],"Non répertoriées")</f>
        <v>18.674116000000001</v>
      </c>
      <c r="H1358" t="s">
        <v>8</v>
      </c>
    </row>
    <row r="1359" spans="1:8" x14ac:dyDescent="0.25">
      <c r="A1359" s="1">
        <v>45212.965277777781</v>
      </c>
      <c r="B1359" t="s">
        <v>255</v>
      </c>
      <c r="C1359" t="str">
        <f>_xlfn.XLOOKUP(B1359,Tableau13[ID_Antenne],Tableau13[Province_RDC],"Non répertoriées")</f>
        <v>Non répertoriées</v>
      </c>
      <c r="D1359">
        <v>68</v>
      </c>
      <c r="E1359" t="str">
        <f>_xlfn.XLOOKUP(B1359,Tableau13[ID_Antenne],Tableau13[Technologie],"Non répertoriées")</f>
        <v>Non répertoriées</v>
      </c>
      <c r="F1359" t="str">
        <f>_xlfn.XLOOKUP(B1359,Tableau13[ID_Antenne],Tableau13[Latitude],"Non répertoriées")</f>
        <v>Non répertoriées</v>
      </c>
      <c r="G1359" t="str">
        <f>_xlfn.XLOOKUP(B1359,Tableau13[ID_Antenne],Tableau13[Longitude],"Non répertoriées")</f>
        <v>Non répertoriées</v>
      </c>
      <c r="H1359" t="s">
        <v>8</v>
      </c>
    </row>
    <row r="1360" spans="1:8" x14ac:dyDescent="0.25">
      <c r="A1360" s="1">
        <v>45226.623611111107</v>
      </c>
      <c r="B1360" t="s">
        <v>460</v>
      </c>
      <c r="C1360" s="29" t="str">
        <f>_xlfn.XLOOKUP(B1360,Tableau13[ID_Antenne],Tableau13[Province_RDC],"Non répertoriées")</f>
        <v>Maniema</v>
      </c>
      <c r="D1360">
        <v>118</v>
      </c>
      <c r="E1360" s="31" t="str">
        <f>_xlfn.XLOOKUP(B1360,Tableau13[ID_Antenne],Tableau13[Technologie],"Non répertoriées")</f>
        <v>4G</v>
      </c>
      <c r="F1360" s="3">
        <f>_xlfn.XLOOKUP(B1360,Tableau13[ID_Antenne],Tableau13[Latitude],"Non répertoriées")</f>
        <v>1.938083</v>
      </c>
      <c r="G1360" s="32">
        <f>_xlfn.XLOOKUP(B1360,Tableau13[ID_Antenne],Tableau13[Longitude],"Non répertoriées")</f>
        <v>28.25281</v>
      </c>
      <c r="H1360" t="s">
        <v>8</v>
      </c>
    </row>
    <row r="1361" spans="1:8" x14ac:dyDescent="0.25">
      <c r="A1361" s="1">
        <v>45204.81527777778</v>
      </c>
      <c r="B1361" t="s">
        <v>155</v>
      </c>
      <c r="C1361" s="29" t="str">
        <f>_xlfn.XLOOKUP(B1361,Tableau13[ID_Antenne],Tableau13[Province_RDC],"Non répertoriées")</f>
        <v>Tshopo</v>
      </c>
      <c r="D1361">
        <v>85</v>
      </c>
      <c r="E1361" s="31" t="str">
        <f>_xlfn.XLOOKUP(B1361,Tableau13[ID_Antenne],Tableau13[Technologie],"Non répertoriées")</f>
        <v>3G</v>
      </c>
      <c r="F1361" s="3">
        <f>_xlfn.XLOOKUP(B1361,Tableau13[ID_Antenne],Tableau13[Latitude],"Non répertoriées")</f>
        <v>3.0603760000000002</v>
      </c>
      <c r="G1361" s="32">
        <f>_xlfn.XLOOKUP(B1361,Tableau13[ID_Antenne],Tableau13[Longitude],"Non répertoriées")</f>
        <v>19.708034000000001</v>
      </c>
      <c r="H1361" t="s">
        <v>8</v>
      </c>
    </row>
    <row r="1362" spans="1:8" x14ac:dyDescent="0.25">
      <c r="A1362" s="1">
        <v>45200.525694444441</v>
      </c>
      <c r="B1362" t="s">
        <v>677</v>
      </c>
      <c r="C1362" s="29" t="str">
        <f>_xlfn.XLOOKUP(B1362,Tableau13[ID_Antenne],Tableau13[Province_RDC],"Non répertoriées")</f>
        <v>Kongo-Central</v>
      </c>
      <c r="D1362">
        <v>74</v>
      </c>
      <c r="E1362" s="31" t="str">
        <f>_xlfn.XLOOKUP(B1362,Tableau13[ID_Antenne],Tableau13[Technologie],"Non répertoriées")</f>
        <v>5G</v>
      </c>
      <c r="F1362" s="3">
        <f>_xlfn.XLOOKUP(B1362,Tableau13[ID_Antenne],Tableau13[Latitude],"Non répertoriées")</f>
        <v>2.9836019999999999</v>
      </c>
      <c r="G1362" s="32">
        <f>_xlfn.XLOOKUP(B1362,Tableau13[ID_Antenne],Tableau13[Longitude],"Non répertoriées")</f>
        <v>21.893065</v>
      </c>
      <c r="H1362" t="s">
        <v>8</v>
      </c>
    </row>
    <row r="1363" spans="1:8" x14ac:dyDescent="0.25">
      <c r="A1363" s="1">
        <v>45218.875694444447</v>
      </c>
      <c r="B1363" t="s">
        <v>420</v>
      </c>
      <c r="C1363" s="29" t="str">
        <f>_xlfn.XLOOKUP(B1363,Tableau13[ID_Antenne],Tableau13[Province_RDC],"Non répertoriées")</f>
        <v>Sud-Kivu</v>
      </c>
      <c r="D1363">
        <v>42</v>
      </c>
      <c r="E1363" s="31" t="str">
        <f>_xlfn.XLOOKUP(B1363,Tableau13[ID_Antenne],Tableau13[Technologie],"Non répertoriées")</f>
        <v>5G</v>
      </c>
      <c r="F1363" s="3">
        <f>_xlfn.XLOOKUP(B1363,Tableau13[ID_Antenne],Tableau13[Latitude],"Non répertoriées")</f>
        <v>2.4414509999999998</v>
      </c>
      <c r="G1363" s="32">
        <f>_xlfn.XLOOKUP(B1363,Tableau13[ID_Antenne],Tableau13[Longitude],"Non répertoriées")</f>
        <v>30.167489</v>
      </c>
      <c r="H1363" t="s">
        <v>5</v>
      </c>
    </row>
    <row r="1364" spans="1:8" x14ac:dyDescent="0.25">
      <c r="A1364" s="1">
        <v>45202.852083333331</v>
      </c>
      <c r="B1364" t="s">
        <v>342</v>
      </c>
      <c r="C1364" s="29" t="str">
        <f>_xlfn.XLOOKUP(B1364,Tableau13[ID_Antenne],Tableau13[Province_RDC],"Non répertoriées")</f>
        <v>Kinshasa</v>
      </c>
      <c r="D1364">
        <v>87</v>
      </c>
      <c r="E1364" s="31" t="str">
        <f>_xlfn.XLOOKUP(B1364,Tableau13[ID_Antenne],Tableau13[Technologie],"Non répertoriées")</f>
        <v>5G</v>
      </c>
      <c r="F1364" s="3">
        <f>_xlfn.XLOOKUP(B1364,Tableau13[ID_Antenne],Tableau13[Latitude],"Non répertoriées")</f>
        <v>-11.389362</v>
      </c>
      <c r="G1364" s="32">
        <f>_xlfn.XLOOKUP(B1364,Tableau13[ID_Antenne],Tableau13[Longitude],"Non répertoriées")</f>
        <v>22.240174</v>
      </c>
      <c r="H1364" t="s">
        <v>10</v>
      </c>
    </row>
    <row r="1365" spans="1:8" x14ac:dyDescent="0.25">
      <c r="A1365" s="1">
        <v>45204.59097222222</v>
      </c>
      <c r="B1365" t="s">
        <v>730</v>
      </c>
      <c r="C1365" s="29" t="str">
        <f>_xlfn.XLOOKUP(B1365,Tableau13[ID_Antenne],Tableau13[Province_RDC],"Non répertoriées")</f>
        <v>Kwilu</v>
      </c>
      <c r="D1365">
        <v>43</v>
      </c>
      <c r="E1365" s="31" t="str">
        <f>_xlfn.XLOOKUP(B1365,Tableau13[ID_Antenne],Tableau13[Technologie],"Non répertoriées")</f>
        <v>4G</v>
      </c>
      <c r="F1365" s="3">
        <f>_xlfn.XLOOKUP(B1365,Tableau13[ID_Antenne],Tableau13[Latitude],"Non répertoriées")</f>
        <v>-3.571288</v>
      </c>
      <c r="G1365" s="32">
        <f>_xlfn.XLOOKUP(B1365,Tableau13[ID_Antenne],Tableau13[Longitude],"Non répertoriées")</f>
        <v>12.931596000000001</v>
      </c>
      <c r="H1365" t="s">
        <v>8</v>
      </c>
    </row>
    <row r="1366" spans="1:8" x14ac:dyDescent="0.25">
      <c r="A1366" s="1">
        <v>45201.35</v>
      </c>
      <c r="B1366" t="s">
        <v>631</v>
      </c>
      <c r="C1366" t="str">
        <f>_xlfn.XLOOKUP(B1366,Tableau13[ID_Antenne],Tableau13[Province_RDC],"Non répertoriées")</f>
        <v>Non répertoriées</v>
      </c>
      <c r="D1366">
        <v>66</v>
      </c>
      <c r="E1366" t="str">
        <f>_xlfn.XLOOKUP(B1366,Tableau13[ID_Antenne],Tableau13[Technologie],"Non répertoriées")</f>
        <v>Non répertoriées</v>
      </c>
      <c r="F1366" t="str">
        <f>_xlfn.XLOOKUP(B1366,Tableau13[ID_Antenne],Tableau13[Latitude],"Non répertoriées")</f>
        <v>Non répertoriées</v>
      </c>
      <c r="G1366" t="str">
        <f>_xlfn.XLOOKUP(B1366,Tableau13[ID_Antenne],Tableau13[Longitude],"Non répertoriées")</f>
        <v>Non répertoriées</v>
      </c>
      <c r="H1366" t="s">
        <v>10</v>
      </c>
    </row>
    <row r="1367" spans="1:8" x14ac:dyDescent="0.25">
      <c r="A1367" s="1">
        <v>45210.270138888889</v>
      </c>
      <c r="B1367" t="s">
        <v>731</v>
      </c>
      <c r="C1367" t="str">
        <f>_xlfn.XLOOKUP(B1367,Tableau13[ID_Antenne],Tableau13[Province_RDC],"Non répertoriées")</f>
        <v>Non répertoriées</v>
      </c>
      <c r="D1367">
        <v>36</v>
      </c>
      <c r="E1367" t="str">
        <f>_xlfn.XLOOKUP(B1367,Tableau13[ID_Antenne],Tableau13[Technologie],"Non répertoriées")</f>
        <v>Non répertoriées</v>
      </c>
      <c r="F1367" t="str">
        <f>_xlfn.XLOOKUP(B1367,Tableau13[ID_Antenne],Tableau13[Latitude],"Non répertoriées")</f>
        <v>Non répertoriées</v>
      </c>
      <c r="G1367" t="str">
        <f>_xlfn.XLOOKUP(B1367,Tableau13[ID_Antenne],Tableau13[Longitude],"Non répertoriées")</f>
        <v>Non répertoriées</v>
      </c>
      <c r="H1367" t="s">
        <v>8</v>
      </c>
    </row>
    <row r="1368" spans="1:8" x14ac:dyDescent="0.25">
      <c r="A1368" s="1">
        <v>45210.45</v>
      </c>
      <c r="B1368" t="s">
        <v>240</v>
      </c>
      <c r="C1368" t="str">
        <f>_xlfn.XLOOKUP(B1368,Tableau13[ID_Antenne],Tableau13[Province_RDC],"Non répertoriées")</f>
        <v>Non répertoriées</v>
      </c>
      <c r="D1368">
        <v>108</v>
      </c>
      <c r="E1368" t="str">
        <f>_xlfn.XLOOKUP(B1368,Tableau13[ID_Antenne],Tableau13[Technologie],"Non répertoriées")</f>
        <v>Non répertoriées</v>
      </c>
      <c r="F1368" t="str">
        <f>_xlfn.XLOOKUP(B1368,Tableau13[ID_Antenne],Tableau13[Latitude],"Non répertoriées")</f>
        <v>Non répertoriées</v>
      </c>
      <c r="G1368" t="str">
        <f>_xlfn.XLOOKUP(B1368,Tableau13[ID_Antenne],Tableau13[Longitude],"Non répertoriées")</f>
        <v>Non répertoriées</v>
      </c>
      <c r="H1368" t="s">
        <v>5</v>
      </c>
    </row>
    <row r="1369" spans="1:8" x14ac:dyDescent="0.25">
      <c r="A1369" s="1">
        <v>45228.511805555558</v>
      </c>
      <c r="B1369" t="s">
        <v>732</v>
      </c>
      <c r="C1369" t="str">
        <f>_xlfn.XLOOKUP(B1369,Tableau13[ID_Antenne],Tableau13[Province_RDC],"Non répertoriées")</f>
        <v>Non répertoriées</v>
      </c>
      <c r="D1369">
        <v>108</v>
      </c>
      <c r="E1369" t="str">
        <f>_xlfn.XLOOKUP(B1369,Tableau13[ID_Antenne],Tableau13[Technologie],"Non répertoriées")</f>
        <v>Non répertoriées</v>
      </c>
      <c r="F1369" t="str">
        <f>_xlfn.XLOOKUP(B1369,Tableau13[ID_Antenne],Tableau13[Latitude],"Non répertoriées")</f>
        <v>Non répertoriées</v>
      </c>
      <c r="G1369" t="str">
        <f>_xlfn.XLOOKUP(B1369,Tableau13[ID_Antenne],Tableau13[Longitude],"Non répertoriées")</f>
        <v>Non répertoriées</v>
      </c>
      <c r="H1369" t="s">
        <v>5</v>
      </c>
    </row>
    <row r="1370" spans="1:8" x14ac:dyDescent="0.25">
      <c r="A1370" s="1">
        <v>45224.552777777782</v>
      </c>
      <c r="B1370" t="s">
        <v>691</v>
      </c>
      <c r="C1370" s="29" t="str">
        <f>_xlfn.XLOOKUP(B1370,Tableau13[ID_Antenne],Tableau13[Province_RDC],"Non répertoriées")</f>
        <v>Equateur</v>
      </c>
      <c r="D1370">
        <v>92</v>
      </c>
      <c r="E1370" s="31" t="str">
        <f>_xlfn.XLOOKUP(B1370,Tableau13[ID_Antenne],Tableau13[Technologie],"Non répertoriées")</f>
        <v>4G</v>
      </c>
      <c r="F1370" s="3">
        <f>_xlfn.XLOOKUP(B1370,Tableau13[ID_Antenne],Tableau13[Latitude],"Non répertoriées")</f>
        <v>-3.544581</v>
      </c>
      <c r="G1370" s="32">
        <f>_xlfn.XLOOKUP(B1370,Tableau13[ID_Antenne],Tableau13[Longitude],"Non répertoriées")</f>
        <v>14.776605</v>
      </c>
      <c r="H1370" t="s">
        <v>5</v>
      </c>
    </row>
    <row r="1371" spans="1:8" x14ac:dyDescent="0.25">
      <c r="A1371" s="1">
        <v>45226.104166666657</v>
      </c>
      <c r="B1371" t="s">
        <v>180</v>
      </c>
      <c r="C1371" s="29" t="str">
        <f>_xlfn.XLOOKUP(B1371,Tableau13[ID_Antenne],Tableau13[Province_RDC],"Non répertoriées")</f>
        <v>Mai-Ndombe</v>
      </c>
      <c r="D1371">
        <v>56</v>
      </c>
      <c r="E1371" s="31" t="str">
        <f>_xlfn.XLOOKUP(B1371,Tableau13[ID_Antenne],Tableau13[Technologie],"Non répertoriées")</f>
        <v>4G</v>
      </c>
      <c r="F1371" s="3">
        <f>_xlfn.XLOOKUP(B1371,Tableau13[ID_Antenne],Tableau13[Latitude],"Non répertoriées")</f>
        <v>-10.442425</v>
      </c>
      <c r="G1371" s="32">
        <f>_xlfn.XLOOKUP(B1371,Tableau13[ID_Antenne],Tableau13[Longitude],"Non répertoriées")</f>
        <v>23.243632000000002</v>
      </c>
      <c r="H1371" t="s">
        <v>5</v>
      </c>
    </row>
    <row r="1372" spans="1:8" x14ac:dyDescent="0.25">
      <c r="A1372" s="1">
        <v>45201.468055555553</v>
      </c>
      <c r="B1372" t="s">
        <v>309</v>
      </c>
      <c r="C1372" s="29" t="str">
        <f>_xlfn.XLOOKUP(B1372,Tableau13[ID_Antenne],Tableau13[Province_RDC],"Non répertoriées")</f>
        <v>Tanganyika</v>
      </c>
      <c r="D1372">
        <v>63</v>
      </c>
      <c r="E1372" s="31" t="str">
        <f>_xlfn.XLOOKUP(B1372,Tableau13[ID_Antenne],Tableau13[Technologie],"Non répertoriées")</f>
        <v>4G</v>
      </c>
      <c r="F1372" s="3">
        <f>_xlfn.XLOOKUP(B1372,Tableau13[ID_Antenne],Tableau13[Latitude],"Non répertoriées")</f>
        <v>-12.229338</v>
      </c>
      <c r="G1372" s="32">
        <f>_xlfn.XLOOKUP(B1372,Tableau13[ID_Antenne],Tableau13[Longitude],"Non répertoriées")</f>
        <v>29.587834999999998</v>
      </c>
      <c r="H1372" t="s">
        <v>5</v>
      </c>
    </row>
    <row r="1373" spans="1:8" x14ac:dyDescent="0.25">
      <c r="A1373" s="1">
        <v>45220.117361111108</v>
      </c>
      <c r="B1373" t="s">
        <v>319</v>
      </c>
      <c r="C1373" s="29" t="str">
        <f>_xlfn.XLOOKUP(B1373,Tableau13[ID_Antenne],Tableau13[Province_RDC],"Non répertoriées")</f>
        <v>Bas-Uele</v>
      </c>
      <c r="D1373">
        <v>14</v>
      </c>
      <c r="E1373" s="31" t="str">
        <f>_xlfn.XLOOKUP(B1373,Tableau13[ID_Antenne],Tableau13[Technologie],"Non répertoriées")</f>
        <v>4G</v>
      </c>
      <c r="F1373" s="3">
        <f>_xlfn.XLOOKUP(B1373,Tableau13[ID_Antenne],Tableau13[Latitude],"Non répertoriées")</f>
        <v>-2.2876210000000001</v>
      </c>
      <c r="G1373" s="32">
        <f>_xlfn.XLOOKUP(B1373,Tableau13[ID_Antenne],Tableau13[Longitude],"Non répertoriées")</f>
        <v>27.582545</v>
      </c>
      <c r="H1373" t="s">
        <v>10</v>
      </c>
    </row>
    <row r="1374" spans="1:8" x14ac:dyDescent="0.25">
      <c r="A1374" s="1">
        <v>45230.834722222222</v>
      </c>
      <c r="B1374" t="s">
        <v>6</v>
      </c>
      <c r="C1374" t="str">
        <f>_xlfn.XLOOKUP(B1374,Tableau13[ID_Antenne],Tableau13[Province_RDC],"Non répertoriées")</f>
        <v>Non répertoriées</v>
      </c>
      <c r="D1374">
        <v>93</v>
      </c>
      <c r="E1374" t="str">
        <f>_xlfn.XLOOKUP(B1374,Tableau13[ID_Antenne],Tableau13[Technologie],"Non répertoriées")</f>
        <v>Non répertoriées</v>
      </c>
      <c r="F1374" t="str">
        <f>_xlfn.XLOOKUP(B1374,Tableau13[ID_Antenne],Tableau13[Latitude],"Non répertoriées")</f>
        <v>Non répertoriées</v>
      </c>
      <c r="G1374" t="str">
        <f>_xlfn.XLOOKUP(B1374,Tableau13[ID_Antenne],Tableau13[Longitude],"Non répertoriées")</f>
        <v>Non répertoriées</v>
      </c>
      <c r="H1374" t="s">
        <v>8</v>
      </c>
    </row>
    <row r="1375" spans="1:8" x14ac:dyDescent="0.25">
      <c r="A1375" s="1">
        <v>45224.010416666657</v>
      </c>
      <c r="B1375" t="s">
        <v>691</v>
      </c>
      <c r="C1375" s="29" t="str">
        <f>_xlfn.XLOOKUP(B1375,Tableau13[ID_Antenne],Tableau13[Province_RDC],"Non répertoriées")</f>
        <v>Equateur</v>
      </c>
      <c r="D1375">
        <v>12</v>
      </c>
      <c r="E1375" s="31" t="str">
        <f>_xlfn.XLOOKUP(B1375,Tableau13[ID_Antenne],Tableau13[Technologie],"Non répertoriées")</f>
        <v>4G</v>
      </c>
      <c r="F1375" s="3">
        <f>_xlfn.XLOOKUP(B1375,Tableau13[ID_Antenne],Tableau13[Latitude],"Non répertoriées")</f>
        <v>-3.544581</v>
      </c>
      <c r="G1375" s="32">
        <f>_xlfn.XLOOKUP(B1375,Tableau13[ID_Antenne],Tableau13[Longitude],"Non répertoriées")</f>
        <v>14.776605</v>
      </c>
      <c r="H1375" t="s">
        <v>8</v>
      </c>
    </row>
    <row r="1376" spans="1:8" x14ac:dyDescent="0.25">
      <c r="A1376" s="1">
        <v>45206.027083333327</v>
      </c>
      <c r="B1376" t="s">
        <v>232</v>
      </c>
      <c r="C1376" s="29" t="str">
        <f>_xlfn.XLOOKUP(B1376,Tableau13[ID_Antenne],Tableau13[Province_RDC],"Non répertoriées")</f>
        <v>Sud-Kivu</v>
      </c>
      <c r="D1376">
        <v>25</v>
      </c>
      <c r="E1376" s="31" t="str">
        <f>_xlfn.XLOOKUP(B1376,Tableau13[ID_Antenne],Tableau13[Technologie],"Non répertoriées")</f>
        <v>3G</v>
      </c>
      <c r="F1376" s="3">
        <f>_xlfn.XLOOKUP(B1376,Tableau13[ID_Antenne],Tableau13[Latitude],"Non répertoriées")</f>
        <v>-9.3900009999999998</v>
      </c>
      <c r="G1376" s="32">
        <f>_xlfn.XLOOKUP(B1376,Tableau13[ID_Antenne],Tableau13[Longitude],"Non répertoriées")</f>
        <v>30.001517</v>
      </c>
      <c r="H1376" t="s">
        <v>5</v>
      </c>
    </row>
    <row r="1377" spans="1:8" x14ac:dyDescent="0.25">
      <c r="A1377" s="1">
        <v>45204.297222222223</v>
      </c>
      <c r="B1377" t="s">
        <v>464</v>
      </c>
      <c r="C1377" s="29" t="str">
        <f>_xlfn.XLOOKUP(B1377,Tableau13[ID_Antenne],Tableau13[Province_RDC],"Non répertoriées")</f>
        <v>Haut-Uele</v>
      </c>
      <c r="D1377">
        <v>61</v>
      </c>
      <c r="E1377" s="31" t="str">
        <f>_xlfn.XLOOKUP(B1377,Tableau13[ID_Antenne],Tableau13[Technologie],"Non répertoriées")</f>
        <v>5G</v>
      </c>
      <c r="F1377" s="3">
        <f>_xlfn.XLOOKUP(B1377,Tableau13[ID_Antenne],Tableau13[Latitude],"Non répertoriées")</f>
        <v>1.2391989999999999</v>
      </c>
      <c r="G1377" s="32">
        <f>_xlfn.XLOOKUP(B1377,Tableau13[ID_Antenne],Tableau13[Longitude],"Non répertoriées")</f>
        <v>15.386718999999999</v>
      </c>
      <c r="H1377" t="s">
        <v>10</v>
      </c>
    </row>
    <row r="1378" spans="1:8" x14ac:dyDescent="0.25">
      <c r="A1378" s="1">
        <v>45215.879861111112</v>
      </c>
      <c r="B1378" t="s">
        <v>475</v>
      </c>
      <c r="C1378" s="29" t="str">
        <f>_xlfn.XLOOKUP(B1378,Tableau13[ID_Antenne],Tableau13[Province_RDC],"Non répertoriées")</f>
        <v>Ituri</v>
      </c>
      <c r="D1378">
        <v>58</v>
      </c>
      <c r="E1378" s="31" t="str">
        <f>_xlfn.XLOOKUP(B1378,Tableau13[ID_Antenne],Tableau13[Technologie],"Non répertoriées")</f>
        <v>4G</v>
      </c>
      <c r="F1378" s="3">
        <f>_xlfn.XLOOKUP(B1378,Tableau13[ID_Antenne],Tableau13[Latitude],"Non répertoriées")</f>
        <v>-12.595355</v>
      </c>
      <c r="G1378" s="32">
        <f>_xlfn.XLOOKUP(B1378,Tableau13[ID_Antenne],Tableau13[Longitude],"Non répertoriées")</f>
        <v>17.897442000000002</v>
      </c>
      <c r="H1378" t="s">
        <v>8</v>
      </c>
    </row>
    <row r="1379" spans="1:8" x14ac:dyDescent="0.25">
      <c r="A1379" s="1">
        <v>45218.270138888889</v>
      </c>
      <c r="B1379" t="s">
        <v>687</v>
      </c>
      <c r="C1379" s="29" t="str">
        <f>_xlfn.XLOOKUP(B1379,Tableau13[ID_Antenne],Tableau13[Province_RDC],"Non répertoriées")</f>
        <v>Sud-Kivu</v>
      </c>
      <c r="D1379">
        <v>66</v>
      </c>
      <c r="E1379" s="31" t="str">
        <f>_xlfn.XLOOKUP(B1379,Tableau13[ID_Antenne],Tableau13[Technologie],"Non répertoriées")</f>
        <v>3G</v>
      </c>
      <c r="F1379" s="3">
        <f>_xlfn.XLOOKUP(B1379,Tableau13[ID_Antenne],Tableau13[Latitude],"Non répertoriées")</f>
        <v>-3.6233270000000002</v>
      </c>
      <c r="G1379" s="32">
        <f>_xlfn.XLOOKUP(B1379,Tableau13[ID_Antenne],Tableau13[Longitude],"Non répertoriées")</f>
        <v>25.915645999999999</v>
      </c>
      <c r="H1379" t="s">
        <v>8</v>
      </c>
    </row>
    <row r="1380" spans="1:8" x14ac:dyDescent="0.25">
      <c r="A1380" s="1">
        <v>45222.367361111108</v>
      </c>
      <c r="B1380" t="s">
        <v>679</v>
      </c>
      <c r="C1380" t="str">
        <f>_xlfn.XLOOKUP(B1380,Tableau13[ID_Antenne],Tableau13[Province_RDC],"Non répertoriées")</f>
        <v>Non répertoriées</v>
      </c>
      <c r="D1380">
        <v>64</v>
      </c>
      <c r="E1380" t="str">
        <f>_xlfn.XLOOKUP(B1380,Tableau13[ID_Antenne],Tableau13[Technologie],"Non répertoriées")</f>
        <v>Non répertoriées</v>
      </c>
      <c r="F1380" t="str">
        <f>_xlfn.XLOOKUP(B1380,Tableau13[ID_Antenne],Tableau13[Latitude],"Non répertoriées")</f>
        <v>Non répertoriées</v>
      </c>
      <c r="G1380" t="str">
        <f>_xlfn.XLOOKUP(B1380,Tableau13[ID_Antenne],Tableau13[Longitude],"Non répertoriées")</f>
        <v>Non répertoriées</v>
      </c>
      <c r="H1380" t="s">
        <v>8</v>
      </c>
    </row>
    <row r="1381" spans="1:8" x14ac:dyDescent="0.25">
      <c r="A1381" s="1">
        <v>45211.234722222223</v>
      </c>
      <c r="B1381" t="s">
        <v>691</v>
      </c>
      <c r="C1381" s="29" t="str">
        <f>_xlfn.XLOOKUP(B1381,Tableau13[ID_Antenne],Tableau13[Province_RDC],"Non répertoriées")</f>
        <v>Equateur</v>
      </c>
      <c r="D1381">
        <v>31</v>
      </c>
      <c r="E1381" s="31" t="str">
        <f>_xlfn.XLOOKUP(B1381,Tableau13[ID_Antenne],Tableau13[Technologie],"Non répertoriées")</f>
        <v>4G</v>
      </c>
      <c r="F1381" s="3">
        <f>_xlfn.XLOOKUP(B1381,Tableau13[ID_Antenne],Tableau13[Latitude],"Non répertoriées")</f>
        <v>-3.544581</v>
      </c>
      <c r="G1381" s="32">
        <f>_xlfn.XLOOKUP(B1381,Tableau13[ID_Antenne],Tableau13[Longitude],"Non répertoriées")</f>
        <v>14.776605</v>
      </c>
      <c r="H1381" t="s">
        <v>8</v>
      </c>
    </row>
    <row r="1382" spans="1:8" x14ac:dyDescent="0.25">
      <c r="A1382" s="1">
        <v>45219.989583333343</v>
      </c>
      <c r="B1382" t="s">
        <v>699</v>
      </c>
      <c r="C1382" t="str">
        <f>_xlfn.XLOOKUP(B1382,Tableau13[ID_Antenne],Tableau13[Province_RDC],"Non répertoriées")</f>
        <v>Non répertoriées</v>
      </c>
      <c r="D1382">
        <v>48</v>
      </c>
      <c r="E1382" t="str">
        <f>_xlfn.XLOOKUP(B1382,Tableau13[ID_Antenne],Tableau13[Technologie],"Non répertoriées")</f>
        <v>Non répertoriées</v>
      </c>
      <c r="F1382" t="str">
        <f>_xlfn.XLOOKUP(B1382,Tableau13[ID_Antenne],Tableau13[Latitude],"Non répertoriées")</f>
        <v>Non répertoriées</v>
      </c>
      <c r="G1382" t="str">
        <f>_xlfn.XLOOKUP(B1382,Tableau13[ID_Antenne],Tableau13[Longitude],"Non répertoriées")</f>
        <v>Non répertoriées</v>
      </c>
      <c r="H1382" t="s">
        <v>5</v>
      </c>
    </row>
    <row r="1383" spans="1:8" x14ac:dyDescent="0.25">
      <c r="A1383" s="1">
        <v>45203.22152777778</v>
      </c>
      <c r="B1383" t="s">
        <v>708</v>
      </c>
      <c r="C1383" s="29" t="str">
        <f>_xlfn.XLOOKUP(B1383,Tableau13[ID_Antenne],Tableau13[Province_RDC],"Non répertoriées")</f>
        <v>Nord-Kivu</v>
      </c>
      <c r="D1383">
        <v>82</v>
      </c>
      <c r="E1383" s="31" t="str">
        <f>_xlfn.XLOOKUP(B1383,Tableau13[ID_Antenne],Tableau13[Technologie],"Non répertoriées")</f>
        <v>5G</v>
      </c>
      <c r="F1383" s="3">
        <f>_xlfn.XLOOKUP(B1383,Tableau13[ID_Antenne],Tableau13[Latitude],"Non répertoriées")</f>
        <v>0.92885200000000001</v>
      </c>
      <c r="G1383" s="32">
        <f>_xlfn.XLOOKUP(B1383,Tableau13[ID_Antenne],Tableau13[Longitude],"Non répertoriées")</f>
        <v>25.868548000000001</v>
      </c>
      <c r="H1383" t="s">
        <v>5</v>
      </c>
    </row>
    <row r="1384" spans="1:8" x14ac:dyDescent="0.25">
      <c r="A1384" s="1">
        <v>45203.750694444447</v>
      </c>
      <c r="B1384" t="s">
        <v>288</v>
      </c>
      <c r="C1384" t="str">
        <f>_xlfn.XLOOKUP(B1384,Tableau13[ID_Antenne],Tableau13[Province_RDC],"Non répertoriées")</f>
        <v>Non répertoriées</v>
      </c>
      <c r="D1384">
        <v>23</v>
      </c>
      <c r="E1384" t="str">
        <f>_xlfn.XLOOKUP(B1384,Tableau13[ID_Antenne],Tableau13[Technologie],"Non répertoriées")</f>
        <v>Non répertoriées</v>
      </c>
      <c r="F1384" t="str">
        <f>_xlfn.XLOOKUP(B1384,Tableau13[ID_Antenne],Tableau13[Latitude],"Non répertoriées")</f>
        <v>Non répertoriées</v>
      </c>
      <c r="G1384" t="str">
        <f>_xlfn.XLOOKUP(B1384,Tableau13[ID_Antenne],Tableau13[Longitude],"Non répertoriées")</f>
        <v>Non répertoriées</v>
      </c>
      <c r="H1384" t="s">
        <v>5</v>
      </c>
    </row>
    <row r="1385" spans="1:8" x14ac:dyDescent="0.25">
      <c r="A1385" s="1">
        <v>45229.4</v>
      </c>
      <c r="B1385" t="s">
        <v>733</v>
      </c>
      <c r="C1385" t="str">
        <f>_xlfn.XLOOKUP(B1385,Tableau13[ID_Antenne],Tableau13[Province_RDC],"Non répertoriées")</f>
        <v>Non répertoriées</v>
      </c>
      <c r="D1385">
        <v>45</v>
      </c>
      <c r="E1385" t="str">
        <f>_xlfn.XLOOKUP(B1385,Tableau13[ID_Antenne],Tableau13[Technologie],"Non répertoriées")</f>
        <v>Non répertoriées</v>
      </c>
      <c r="F1385" t="str">
        <f>_xlfn.XLOOKUP(B1385,Tableau13[ID_Antenne],Tableau13[Latitude],"Non répertoriées")</f>
        <v>Non répertoriées</v>
      </c>
      <c r="G1385" t="str">
        <f>_xlfn.XLOOKUP(B1385,Tableau13[ID_Antenne],Tableau13[Longitude],"Non répertoriées")</f>
        <v>Non répertoriées</v>
      </c>
      <c r="H1385" t="s">
        <v>8</v>
      </c>
    </row>
    <row r="1386" spans="1:8" x14ac:dyDescent="0.25">
      <c r="A1386" s="1">
        <v>45221.517361111109</v>
      </c>
      <c r="B1386" t="s">
        <v>65</v>
      </c>
      <c r="C1386" t="str">
        <f>_xlfn.XLOOKUP(B1386,Tableau13[ID_Antenne],Tableau13[Province_RDC],"Non répertoriées")</f>
        <v>Non répertoriées</v>
      </c>
      <c r="D1386">
        <v>115</v>
      </c>
      <c r="E1386" t="str">
        <f>_xlfn.XLOOKUP(B1386,Tableau13[ID_Antenne],Tableau13[Technologie],"Non répertoriées")</f>
        <v>Non répertoriées</v>
      </c>
      <c r="F1386" t="str">
        <f>_xlfn.XLOOKUP(B1386,Tableau13[ID_Antenne],Tableau13[Latitude],"Non répertoriées")</f>
        <v>Non répertoriées</v>
      </c>
      <c r="G1386" t="str">
        <f>_xlfn.XLOOKUP(B1386,Tableau13[ID_Antenne],Tableau13[Longitude],"Non répertoriées")</f>
        <v>Non répertoriées</v>
      </c>
      <c r="H1386" t="s">
        <v>5</v>
      </c>
    </row>
    <row r="1387" spans="1:8" x14ac:dyDescent="0.25">
      <c r="A1387" s="1">
        <v>45230.925000000003</v>
      </c>
      <c r="B1387" t="s">
        <v>467</v>
      </c>
      <c r="C1387" t="str">
        <f>_xlfn.XLOOKUP(B1387,Tableau13[ID_Antenne],Tableau13[Province_RDC],"Non répertoriées")</f>
        <v>Non répertoriées</v>
      </c>
      <c r="D1387">
        <v>96</v>
      </c>
      <c r="E1387" t="str">
        <f>_xlfn.XLOOKUP(B1387,Tableau13[ID_Antenne],Tableau13[Technologie],"Non répertoriées")</f>
        <v>Non répertoriées</v>
      </c>
      <c r="F1387" t="str">
        <f>_xlfn.XLOOKUP(B1387,Tableau13[ID_Antenne],Tableau13[Latitude],"Non répertoriées")</f>
        <v>Non répertoriées</v>
      </c>
      <c r="G1387" t="str">
        <f>_xlfn.XLOOKUP(B1387,Tableau13[ID_Antenne],Tableau13[Longitude],"Non répertoriées")</f>
        <v>Non répertoriées</v>
      </c>
      <c r="H1387" t="s">
        <v>8</v>
      </c>
    </row>
    <row r="1388" spans="1:8" x14ac:dyDescent="0.25">
      <c r="A1388" s="1">
        <v>45202.780555555553</v>
      </c>
      <c r="B1388" t="s">
        <v>734</v>
      </c>
      <c r="C1388" t="str">
        <f>_xlfn.XLOOKUP(B1388,Tableau13[ID_Antenne],Tableau13[Province_RDC],"Non répertoriées")</f>
        <v>Non répertoriées</v>
      </c>
      <c r="D1388">
        <v>45</v>
      </c>
      <c r="E1388" t="str">
        <f>_xlfn.XLOOKUP(B1388,Tableau13[ID_Antenne],Tableau13[Technologie],"Non répertoriées")</f>
        <v>Non répertoriées</v>
      </c>
      <c r="F1388" t="str">
        <f>_xlfn.XLOOKUP(B1388,Tableau13[ID_Antenne],Tableau13[Latitude],"Non répertoriées")</f>
        <v>Non répertoriées</v>
      </c>
      <c r="G1388" t="str">
        <f>_xlfn.XLOOKUP(B1388,Tableau13[ID_Antenne],Tableau13[Longitude],"Non répertoriées")</f>
        <v>Non répertoriées</v>
      </c>
      <c r="H1388" t="s">
        <v>5</v>
      </c>
    </row>
    <row r="1389" spans="1:8" x14ac:dyDescent="0.25">
      <c r="A1389" s="1">
        <v>45226.84375</v>
      </c>
      <c r="B1389" t="s">
        <v>197</v>
      </c>
      <c r="C1389" t="str">
        <f>_xlfn.XLOOKUP(B1389,Tableau13[ID_Antenne],Tableau13[Province_RDC],"Non répertoriées")</f>
        <v>Non répertoriées</v>
      </c>
      <c r="D1389">
        <v>98</v>
      </c>
      <c r="E1389" t="str">
        <f>_xlfn.XLOOKUP(B1389,Tableau13[ID_Antenne],Tableau13[Technologie],"Non répertoriées")</f>
        <v>Non répertoriées</v>
      </c>
      <c r="F1389" t="str">
        <f>_xlfn.XLOOKUP(B1389,Tableau13[ID_Antenne],Tableau13[Latitude],"Non répertoriées")</f>
        <v>Non répertoriées</v>
      </c>
      <c r="G1389" t="str">
        <f>_xlfn.XLOOKUP(B1389,Tableau13[ID_Antenne],Tableau13[Longitude],"Non répertoriées")</f>
        <v>Non répertoriées</v>
      </c>
      <c r="H1389" t="s">
        <v>5</v>
      </c>
    </row>
    <row r="1390" spans="1:8" x14ac:dyDescent="0.25">
      <c r="A1390" s="1">
        <v>45203.950694444437</v>
      </c>
      <c r="B1390" t="s">
        <v>666</v>
      </c>
      <c r="C1390" s="29" t="str">
        <f>_xlfn.XLOOKUP(B1390,Tableau13[ID_Antenne],Tableau13[Province_RDC],"Non répertoriées")</f>
        <v>Mongala</v>
      </c>
      <c r="D1390">
        <v>115</v>
      </c>
      <c r="E1390" s="31" t="str">
        <f>_xlfn.XLOOKUP(B1390,Tableau13[ID_Antenne],Tableau13[Technologie],"Non répertoriées")</f>
        <v>3G</v>
      </c>
      <c r="F1390" s="3">
        <f>_xlfn.XLOOKUP(B1390,Tableau13[ID_Antenne],Tableau13[Latitude],"Non répertoriées")</f>
        <v>4.0988100000000003</v>
      </c>
      <c r="G1390" s="32">
        <f>_xlfn.XLOOKUP(B1390,Tableau13[ID_Antenne],Tableau13[Longitude],"Non répertoriées")</f>
        <v>29.843810999999999</v>
      </c>
      <c r="H1390" t="s">
        <v>10</v>
      </c>
    </row>
    <row r="1391" spans="1:8" x14ac:dyDescent="0.25">
      <c r="A1391" s="1">
        <v>45209.901388888888</v>
      </c>
      <c r="B1391" t="s">
        <v>524</v>
      </c>
      <c r="C1391" t="str">
        <f>_xlfn.XLOOKUP(B1391,Tableau13[ID_Antenne],Tableau13[Province_RDC],"Non répertoriées")</f>
        <v>Non répertoriées</v>
      </c>
      <c r="D1391">
        <v>49</v>
      </c>
      <c r="E1391" t="str">
        <f>_xlfn.XLOOKUP(B1391,Tableau13[ID_Antenne],Tableau13[Technologie],"Non répertoriées")</f>
        <v>Non répertoriées</v>
      </c>
      <c r="F1391" t="str">
        <f>_xlfn.XLOOKUP(B1391,Tableau13[ID_Antenne],Tableau13[Latitude],"Non répertoriées")</f>
        <v>Non répertoriées</v>
      </c>
      <c r="G1391" t="str">
        <f>_xlfn.XLOOKUP(B1391,Tableau13[ID_Antenne],Tableau13[Longitude],"Non répertoriées")</f>
        <v>Non répertoriées</v>
      </c>
      <c r="H1391" t="s">
        <v>10</v>
      </c>
    </row>
    <row r="1392" spans="1:8" x14ac:dyDescent="0.25">
      <c r="A1392" s="1">
        <v>45225.159722222219</v>
      </c>
      <c r="B1392" t="s">
        <v>585</v>
      </c>
      <c r="C1392" t="str">
        <f>_xlfn.XLOOKUP(B1392,Tableau13[ID_Antenne],Tableau13[Province_RDC],"Non répertoriées")</f>
        <v>Non répertoriées</v>
      </c>
      <c r="D1392">
        <v>56</v>
      </c>
      <c r="E1392" t="str">
        <f>_xlfn.XLOOKUP(B1392,Tableau13[ID_Antenne],Tableau13[Technologie],"Non répertoriées")</f>
        <v>Non répertoriées</v>
      </c>
      <c r="F1392" t="str">
        <f>_xlfn.XLOOKUP(B1392,Tableau13[ID_Antenne],Tableau13[Latitude],"Non répertoriées")</f>
        <v>Non répertoriées</v>
      </c>
      <c r="G1392" t="str">
        <f>_xlfn.XLOOKUP(B1392,Tableau13[ID_Antenne],Tableau13[Longitude],"Non répertoriées")</f>
        <v>Non répertoriées</v>
      </c>
      <c r="H1392" t="s">
        <v>8</v>
      </c>
    </row>
    <row r="1393" spans="1:8" x14ac:dyDescent="0.25">
      <c r="A1393" s="1">
        <v>45218.056944444441</v>
      </c>
      <c r="B1393" t="s">
        <v>420</v>
      </c>
      <c r="C1393" s="29" t="str">
        <f>_xlfn.XLOOKUP(B1393,Tableau13[ID_Antenne],Tableau13[Province_RDC],"Non répertoriées")</f>
        <v>Sud-Kivu</v>
      </c>
      <c r="D1393">
        <v>21</v>
      </c>
      <c r="E1393" s="31" t="str">
        <f>_xlfn.XLOOKUP(B1393,Tableau13[ID_Antenne],Tableau13[Technologie],"Non répertoriées")</f>
        <v>5G</v>
      </c>
      <c r="F1393" s="3">
        <f>_xlfn.XLOOKUP(B1393,Tableau13[ID_Antenne],Tableau13[Latitude],"Non répertoriées")</f>
        <v>2.4414509999999998</v>
      </c>
      <c r="G1393" s="32">
        <f>_xlfn.XLOOKUP(B1393,Tableau13[ID_Antenne],Tableau13[Longitude],"Non répertoriées")</f>
        <v>30.167489</v>
      </c>
      <c r="H1393" t="s">
        <v>8</v>
      </c>
    </row>
    <row r="1394" spans="1:8" x14ac:dyDescent="0.25">
      <c r="A1394" s="1">
        <v>45217.570833333331</v>
      </c>
      <c r="B1394" t="s">
        <v>197</v>
      </c>
      <c r="C1394" t="str">
        <f>_xlfn.XLOOKUP(B1394,Tableau13[ID_Antenne],Tableau13[Province_RDC],"Non répertoriées")</f>
        <v>Non répertoriées</v>
      </c>
      <c r="D1394">
        <v>102</v>
      </c>
      <c r="E1394" t="str">
        <f>_xlfn.XLOOKUP(B1394,Tableau13[ID_Antenne],Tableau13[Technologie],"Non répertoriées")</f>
        <v>Non répertoriées</v>
      </c>
      <c r="F1394" t="str">
        <f>_xlfn.XLOOKUP(B1394,Tableau13[ID_Antenne],Tableau13[Latitude],"Non répertoriées")</f>
        <v>Non répertoriées</v>
      </c>
      <c r="G1394" t="str">
        <f>_xlfn.XLOOKUP(B1394,Tableau13[ID_Antenne],Tableau13[Longitude],"Non répertoriées")</f>
        <v>Non répertoriées</v>
      </c>
      <c r="H1394" t="s">
        <v>8</v>
      </c>
    </row>
    <row r="1395" spans="1:8" x14ac:dyDescent="0.25">
      <c r="A1395" s="1">
        <v>45211.105555555558</v>
      </c>
      <c r="B1395" t="s">
        <v>735</v>
      </c>
      <c r="C1395" s="29" t="str">
        <f>_xlfn.XLOOKUP(B1395,Tableau13[ID_Antenne],Tableau13[Province_RDC],"Non répertoriées")</f>
        <v>Tshopo</v>
      </c>
      <c r="D1395">
        <v>52</v>
      </c>
      <c r="E1395" s="31" t="str">
        <f>_xlfn.XLOOKUP(B1395,Tableau13[ID_Antenne],Tableau13[Technologie],"Non répertoriées")</f>
        <v>5G</v>
      </c>
      <c r="F1395" s="3">
        <f>_xlfn.XLOOKUP(B1395,Tableau13[ID_Antenne],Tableau13[Latitude],"Non répertoriées")</f>
        <v>1.499457</v>
      </c>
      <c r="G1395" s="32">
        <f>_xlfn.XLOOKUP(B1395,Tableau13[ID_Antenne],Tableau13[Longitude],"Non répertoriées")</f>
        <v>13.876317999999999</v>
      </c>
      <c r="H1395" t="s">
        <v>10</v>
      </c>
    </row>
    <row r="1396" spans="1:8" x14ac:dyDescent="0.25">
      <c r="A1396" s="1">
        <v>45220.416666666657</v>
      </c>
      <c r="B1396" t="s">
        <v>276</v>
      </c>
      <c r="C1396" s="29" t="str">
        <f>_xlfn.XLOOKUP(B1396,Tableau13[ID_Antenne],Tableau13[Province_RDC],"Non répertoriées")</f>
        <v>Sankuru</v>
      </c>
      <c r="D1396">
        <v>70</v>
      </c>
      <c r="E1396" s="31" t="str">
        <f>_xlfn.XLOOKUP(B1396,Tableau13[ID_Antenne],Tableau13[Technologie],"Non répertoriées")</f>
        <v>3G</v>
      </c>
      <c r="F1396" s="3">
        <f>_xlfn.XLOOKUP(B1396,Tableau13[ID_Antenne],Tableau13[Latitude],"Non répertoriées")</f>
        <v>-4.7886769999999999</v>
      </c>
      <c r="G1396" s="32">
        <f>_xlfn.XLOOKUP(B1396,Tableau13[ID_Antenne],Tableau13[Longitude],"Non répertoriées")</f>
        <v>23.600221999999999</v>
      </c>
      <c r="H1396" t="s">
        <v>5</v>
      </c>
    </row>
    <row r="1397" spans="1:8" x14ac:dyDescent="0.25">
      <c r="A1397" s="1">
        <v>45227.577777777777</v>
      </c>
      <c r="B1397" t="s">
        <v>349</v>
      </c>
      <c r="C1397" t="str">
        <f>_xlfn.XLOOKUP(B1397,Tableau13[ID_Antenne],Tableau13[Province_RDC],"Non répertoriées")</f>
        <v>Non répertoriées</v>
      </c>
      <c r="D1397">
        <v>76</v>
      </c>
      <c r="E1397" t="str">
        <f>_xlfn.XLOOKUP(B1397,Tableau13[ID_Antenne],Tableau13[Technologie],"Non répertoriées")</f>
        <v>Non répertoriées</v>
      </c>
      <c r="F1397" t="str">
        <f>_xlfn.XLOOKUP(B1397,Tableau13[ID_Antenne],Tableau13[Latitude],"Non répertoriées")</f>
        <v>Non répertoriées</v>
      </c>
      <c r="G1397" t="str">
        <f>_xlfn.XLOOKUP(B1397,Tableau13[ID_Antenne],Tableau13[Longitude],"Non répertoriées")</f>
        <v>Non répertoriées</v>
      </c>
      <c r="H1397" t="s">
        <v>10</v>
      </c>
    </row>
    <row r="1398" spans="1:8" x14ac:dyDescent="0.25">
      <c r="A1398" s="1">
        <v>45215.143750000003</v>
      </c>
      <c r="B1398" t="s">
        <v>263</v>
      </c>
      <c r="C1398" t="str">
        <f>_xlfn.XLOOKUP(B1398,Tableau13[ID_Antenne],Tableau13[Province_RDC],"Non répertoriées")</f>
        <v>Non répertoriées</v>
      </c>
      <c r="D1398">
        <v>18</v>
      </c>
      <c r="E1398" t="str">
        <f>_xlfn.XLOOKUP(B1398,Tableau13[ID_Antenne],Tableau13[Technologie],"Non répertoriées")</f>
        <v>Non répertoriées</v>
      </c>
      <c r="F1398" t="str">
        <f>_xlfn.XLOOKUP(B1398,Tableau13[ID_Antenne],Tableau13[Latitude],"Non répertoriées")</f>
        <v>Non répertoriées</v>
      </c>
      <c r="G1398" t="str">
        <f>_xlfn.XLOOKUP(B1398,Tableau13[ID_Antenne],Tableau13[Longitude],"Non répertoriées")</f>
        <v>Non répertoriées</v>
      </c>
      <c r="H1398" t="s">
        <v>5</v>
      </c>
    </row>
    <row r="1399" spans="1:8" x14ac:dyDescent="0.25">
      <c r="A1399" s="1">
        <v>45230.486111111109</v>
      </c>
      <c r="B1399" t="s">
        <v>549</v>
      </c>
      <c r="C1399" t="str">
        <f>_xlfn.XLOOKUP(B1399,Tableau13[ID_Antenne],Tableau13[Province_RDC],"Non répertoriées")</f>
        <v>Non répertoriées</v>
      </c>
      <c r="D1399">
        <v>45</v>
      </c>
      <c r="E1399" t="str">
        <f>_xlfn.XLOOKUP(B1399,Tableau13[ID_Antenne],Tableau13[Technologie],"Non répertoriées")</f>
        <v>Non répertoriées</v>
      </c>
      <c r="F1399" t="str">
        <f>_xlfn.XLOOKUP(B1399,Tableau13[ID_Antenne],Tableau13[Latitude],"Non répertoriées")</f>
        <v>Non répertoriées</v>
      </c>
      <c r="G1399" t="str">
        <f>_xlfn.XLOOKUP(B1399,Tableau13[ID_Antenne],Tableau13[Longitude],"Non répertoriées")</f>
        <v>Non répertoriées</v>
      </c>
      <c r="H1399" t="s">
        <v>8</v>
      </c>
    </row>
    <row r="1400" spans="1:8" x14ac:dyDescent="0.25">
      <c r="A1400" s="1">
        <v>45228.614583333343</v>
      </c>
      <c r="B1400" t="s">
        <v>155</v>
      </c>
      <c r="C1400" s="29" t="str">
        <f>_xlfn.XLOOKUP(B1400,Tableau13[ID_Antenne],Tableau13[Province_RDC],"Non répertoriées")</f>
        <v>Tshopo</v>
      </c>
      <c r="D1400">
        <v>35</v>
      </c>
      <c r="E1400" s="31" t="str">
        <f>_xlfn.XLOOKUP(B1400,Tableau13[ID_Antenne],Tableau13[Technologie],"Non répertoriées")</f>
        <v>3G</v>
      </c>
      <c r="F1400" s="3">
        <f>_xlfn.XLOOKUP(B1400,Tableau13[ID_Antenne],Tableau13[Latitude],"Non répertoriées")</f>
        <v>3.0603760000000002</v>
      </c>
      <c r="G1400" s="32">
        <f>_xlfn.XLOOKUP(B1400,Tableau13[ID_Antenne],Tableau13[Longitude],"Non répertoriées")</f>
        <v>19.708034000000001</v>
      </c>
      <c r="H1400" t="s">
        <v>10</v>
      </c>
    </row>
    <row r="1401" spans="1:8" x14ac:dyDescent="0.25">
      <c r="A1401" s="1">
        <v>45204.549305555563</v>
      </c>
      <c r="B1401" t="s">
        <v>596</v>
      </c>
      <c r="C1401" t="str">
        <f>_xlfn.XLOOKUP(B1401,Tableau13[ID_Antenne],Tableau13[Province_RDC],"Non répertoriées")</f>
        <v>Non répertoriées</v>
      </c>
      <c r="D1401">
        <v>64</v>
      </c>
      <c r="E1401" t="str">
        <f>_xlfn.XLOOKUP(B1401,Tableau13[ID_Antenne],Tableau13[Technologie],"Non répertoriées")</f>
        <v>Non répertoriées</v>
      </c>
      <c r="F1401" t="str">
        <f>_xlfn.XLOOKUP(B1401,Tableau13[ID_Antenne],Tableau13[Latitude],"Non répertoriées")</f>
        <v>Non répertoriées</v>
      </c>
      <c r="G1401" t="str">
        <f>_xlfn.XLOOKUP(B1401,Tableau13[ID_Antenne],Tableau13[Longitude],"Non répertoriées")</f>
        <v>Non répertoriées</v>
      </c>
      <c r="H1401" t="s">
        <v>8</v>
      </c>
    </row>
    <row r="1402" spans="1:8" x14ac:dyDescent="0.25">
      <c r="A1402" s="1">
        <v>45223.695138888892</v>
      </c>
      <c r="B1402" t="s">
        <v>265</v>
      </c>
      <c r="C1402" t="str">
        <f>_xlfn.XLOOKUP(B1402,Tableau13[ID_Antenne],Tableau13[Province_RDC],"Non répertoriées")</f>
        <v>Non répertoriées</v>
      </c>
      <c r="D1402">
        <v>20</v>
      </c>
      <c r="E1402" t="str">
        <f>_xlfn.XLOOKUP(B1402,Tableau13[ID_Antenne],Tableau13[Technologie],"Non répertoriées")</f>
        <v>Non répertoriées</v>
      </c>
      <c r="F1402" t="str">
        <f>_xlfn.XLOOKUP(B1402,Tableau13[ID_Antenne],Tableau13[Latitude],"Non répertoriées")</f>
        <v>Non répertoriées</v>
      </c>
      <c r="G1402" t="str">
        <f>_xlfn.XLOOKUP(B1402,Tableau13[ID_Antenne],Tableau13[Longitude],"Non répertoriées")</f>
        <v>Non répertoriées</v>
      </c>
      <c r="H1402" t="s">
        <v>5</v>
      </c>
    </row>
    <row r="1403" spans="1:8" x14ac:dyDescent="0.25">
      <c r="A1403" s="1">
        <v>45208.82708333333</v>
      </c>
      <c r="B1403" t="s">
        <v>353</v>
      </c>
      <c r="C1403" t="str">
        <f>_xlfn.XLOOKUP(B1403,Tableau13[ID_Antenne],Tableau13[Province_RDC],"Non répertoriées")</f>
        <v>Non répertoriées</v>
      </c>
      <c r="D1403">
        <v>39</v>
      </c>
      <c r="E1403" t="str">
        <f>_xlfn.XLOOKUP(B1403,Tableau13[ID_Antenne],Tableau13[Technologie],"Non répertoriées")</f>
        <v>Non répertoriées</v>
      </c>
      <c r="F1403" t="str">
        <f>_xlfn.XLOOKUP(B1403,Tableau13[ID_Antenne],Tableau13[Latitude],"Non répertoriées")</f>
        <v>Non répertoriées</v>
      </c>
      <c r="G1403" t="str">
        <f>_xlfn.XLOOKUP(B1403,Tableau13[ID_Antenne],Tableau13[Longitude],"Non répertoriées")</f>
        <v>Non répertoriées</v>
      </c>
      <c r="H1403" t="s">
        <v>5</v>
      </c>
    </row>
    <row r="1404" spans="1:8" x14ac:dyDescent="0.25">
      <c r="A1404" s="1">
        <v>45229.742361111108</v>
      </c>
      <c r="B1404" t="s">
        <v>558</v>
      </c>
      <c r="C1404" t="str">
        <f>_xlfn.XLOOKUP(B1404,Tableau13[ID_Antenne],Tableau13[Province_RDC],"Non répertoriées")</f>
        <v>Non répertoriées</v>
      </c>
      <c r="D1404">
        <v>62</v>
      </c>
      <c r="E1404" t="str">
        <f>_xlfn.XLOOKUP(B1404,Tableau13[ID_Antenne],Tableau13[Technologie],"Non répertoriées")</f>
        <v>Non répertoriées</v>
      </c>
      <c r="F1404" t="str">
        <f>_xlfn.XLOOKUP(B1404,Tableau13[ID_Antenne],Tableau13[Latitude],"Non répertoriées")</f>
        <v>Non répertoriées</v>
      </c>
      <c r="G1404" t="str">
        <f>_xlfn.XLOOKUP(B1404,Tableau13[ID_Antenne],Tableau13[Longitude],"Non répertoriées")</f>
        <v>Non répertoriées</v>
      </c>
      <c r="H1404" t="s">
        <v>10</v>
      </c>
    </row>
    <row r="1405" spans="1:8" x14ac:dyDescent="0.25">
      <c r="A1405" s="1">
        <v>45215.602083333331</v>
      </c>
      <c r="B1405" t="s">
        <v>708</v>
      </c>
      <c r="C1405" s="29" t="str">
        <f>_xlfn.XLOOKUP(B1405,Tableau13[ID_Antenne],Tableau13[Province_RDC],"Non répertoriées")</f>
        <v>Nord-Kivu</v>
      </c>
      <c r="D1405">
        <v>36</v>
      </c>
      <c r="E1405" s="31" t="str">
        <f>_xlfn.XLOOKUP(B1405,Tableau13[ID_Antenne],Tableau13[Technologie],"Non répertoriées")</f>
        <v>5G</v>
      </c>
      <c r="F1405" s="3">
        <f>_xlfn.XLOOKUP(B1405,Tableau13[ID_Antenne],Tableau13[Latitude],"Non répertoriées")</f>
        <v>0.92885200000000001</v>
      </c>
      <c r="G1405" s="32">
        <f>_xlfn.XLOOKUP(B1405,Tableau13[ID_Antenne],Tableau13[Longitude],"Non répertoriées")</f>
        <v>25.868548000000001</v>
      </c>
      <c r="H1405" t="s">
        <v>10</v>
      </c>
    </row>
    <row r="1406" spans="1:8" x14ac:dyDescent="0.25">
      <c r="A1406" s="1">
        <v>45226.984027777777</v>
      </c>
      <c r="B1406" t="s">
        <v>667</v>
      </c>
      <c r="C1406" s="29" t="str">
        <f>_xlfn.XLOOKUP(B1406,Tableau13[ID_Antenne],Tableau13[Province_RDC],"Non répertoriées")</f>
        <v>Tshopo</v>
      </c>
      <c r="D1406">
        <v>23</v>
      </c>
      <c r="E1406" s="31" t="str">
        <f>_xlfn.XLOOKUP(B1406,Tableau13[ID_Antenne],Tableau13[Technologie],"Non répertoriées")</f>
        <v>4G</v>
      </c>
      <c r="F1406" s="3">
        <f>_xlfn.XLOOKUP(B1406,Tableau13[ID_Antenne],Tableau13[Latitude],"Non répertoriées")</f>
        <v>-6.4670189999999996</v>
      </c>
      <c r="G1406" s="32">
        <f>_xlfn.XLOOKUP(B1406,Tableau13[ID_Antenne],Tableau13[Longitude],"Non répertoriées")</f>
        <v>29.487309</v>
      </c>
      <c r="H1406" t="s">
        <v>10</v>
      </c>
    </row>
    <row r="1407" spans="1:8" x14ac:dyDescent="0.25">
      <c r="A1407" s="1">
        <v>45208.45416666667</v>
      </c>
      <c r="B1407" t="s">
        <v>335</v>
      </c>
      <c r="C1407" t="str">
        <f>_xlfn.XLOOKUP(B1407,Tableau13[ID_Antenne],Tableau13[Province_RDC],"Non répertoriées")</f>
        <v>Non répertoriées</v>
      </c>
      <c r="D1407">
        <v>17</v>
      </c>
      <c r="E1407" t="str">
        <f>_xlfn.XLOOKUP(B1407,Tableau13[ID_Antenne],Tableau13[Technologie],"Non répertoriées")</f>
        <v>Non répertoriées</v>
      </c>
      <c r="F1407" t="str">
        <f>_xlfn.XLOOKUP(B1407,Tableau13[ID_Antenne],Tableau13[Latitude],"Non répertoriées")</f>
        <v>Non répertoriées</v>
      </c>
      <c r="G1407" t="str">
        <f>_xlfn.XLOOKUP(B1407,Tableau13[ID_Antenne],Tableau13[Longitude],"Non répertoriées")</f>
        <v>Non répertoriées</v>
      </c>
      <c r="H1407" t="s">
        <v>8</v>
      </c>
    </row>
    <row r="1408" spans="1:8" x14ac:dyDescent="0.25">
      <c r="A1408" s="1">
        <v>45207.095138888893</v>
      </c>
      <c r="B1408" t="s">
        <v>270</v>
      </c>
      <c r="C1408" t="str">
        <f>_xlfn.XLOOKUP(B1408,Tableau13[ID_Antenne],Tableau13[Province_RDC],"Non répertoriées")</f>
        <v>Non répertoriées</v>
      </c>
      <c r="D1408">
        <v>11</v>
      </c>
      <c r="E1408" t="str">
        <f>_xlfn.XLOOKUP(B1408,Tableau13[ID_Antenne],Tableau13[Technologie],"Non répertoriées")</f>
        <v>Non répertoriées</v>
      </c>
      <c r="F1408" t="str">
        <f>_xlfn.XLOOKUP(B1408,Tableau13[ID_Antenne],Tableau13[Latitude],"Non répertoriées")</f>
        <v>Non répertoriées</v>
      </c>
      <c r="G1408" t="str">
        <f>_xlfn.XLOOKUP(B1408,Tableau13[ID_Antenne],Tableau13[Longitude],"Non répertoriées")</f>
        <v>Non répertoriées</v>
      </c>
      <c r="H1408" t="s">
        <v>5</v>
      </c>
    </row>
    <row r="1409" spans="1:8" x14ac:dyDescent="0.25">
      <c r="A1409" s="1">
        <v>45228.59375</v>
      </c>
      <c r="B1409" t="s">
        <v>549</v>
      </c>
      <c r="C1409" t="str">
        <f>_xlfn.XLOOKUP(B1409,Tableau13[ID_Antenne],Tableau13[Province_RDC],"Non répertoriées")</f>
        <v>Non répertoriées</v>
      </c>
      <c r="D1409">
        <v>42</v>
      </c>
      <c r="E1409" t="str">
        <f>_xlfn.XLOOKUP(B1409,Tableau13[ID_Antenne],Tableau13[Technologie],"Non répertoriées")</f>
        <v>Non répertoriées</v>
      </c>
      <c r="F1409" t="str">
        <f>_xlfn.XLOOKUP(B1409,Tableau13[ID_Antenne],Tableau13[Latitude],"Non répertoriées")</f>
        <v>Non répertoriées</v>
      </c>
      <c r="G1409" t="str">
        <f>_xlfn.XLOOKUP(B1409,Tableau13[ID_Antenne],Tableau13[Longitude],"Non répertoriées")</f>
        <v>Non répertoriées</v>
      </c>
      <c r="H1409" t="s">
        <v>10</v>
      </c>
    </row>
    <row r="1410" spans="1:8" x14ac:dyDescent="0.25">
      <c r="A1410" s="1">
        <v>45224.60833333333</v>
      </c>
      <c r="B1410" t="s">
        <v>685</v>
      </c>
      <c r="C1410" t="str">
        <f>_xlfn.XLOOKUP(B1410,Tableau13[ID_Antenne],Tableau13[Province_RDC],"Non répertoriées")</f>
        <v>Non répertoriées</v>
      </c>
      <c r="D1410">
        <v>54</v>
      </c>
      <c r="E1410" t="str">
        <f>_xlfn.XLOOKUP(B1410,Tableau13[ID_Antenne],Tableau13[Technologie],"Non répertoriées")</f>
        <v>Non répertoriées</v>
      </c>
      <c r="F1410" t="str">
        <f>_xlfn.XLOOKUP(B1410,Tableau13[ID_Antenne],Tableau13[Latitude],"Non répertoriées")</f>
        <v>Non répertoriées</v>
      </c>
      <c r="G1410" t="str">
        <f>_xlfn.XLOOKUP(B1410,Tableau13[ID_Antenne],Tableau13[Longitude],"Non répertoriées")</f>
        <v>Non répertoriées</v>
      </c>
      <c r="H1410" t="s">
        <v>8</v>
      </c>
    </row>
    <row r="1411" spans="1:8" x14ac:dyDescent="0.25">
      <c r="A1411" s="1">
        <v>45219.89166666667</v>
      </c>
      <c r="B1411" t="s">
        <v>721</v>
      </c>
      <c r="C1411" t="str">
        <f>_xlfn.XLOOKUP(B1411,Tableau13[ID_Antenne],Tableau13[Province_RDC],"Non répertoriées")</f>
        <v>Non répertoriées</v>
      </c>
      <c r="D1411">
        <v>115</v>
      </c>
      <c r="E1411" t="str">
        <f>_xlfn.XLOOKUP(B1411,Tableau13[ID_Antenne],Tableau13[Technologie],"Non répertoriées")</f>
        <v>Non répertoriées</v>
      </c>
      <c r="F1411" t="str">
        <f>_xlfn.XLOOKUP(B1411,Tableau13[ID_Antenne],Tableau13[Latitude],"Non répertoriées")</f>
        <v>Non répertoriées</v>
      </c>
      <c r="G1411" t="str">
        <f>_xlfn.XLOOKUP(B1411,Tableau13[ID_Antenne],Tableau13[Longitude],"Non répertoriées")</f>
        <v>Non répertoriées</v>
      </c>
      <c r="H1411" t="s">
        <v>8</v>
      </c>
    </row>
    <row r="1412" spans="1:8" x14ac:dyDescent="0.25">
      <c r="A1412" s="1">
        <v>45210.021527777782</v>
      </c>
      <c r="B1412" t="s">
        <v>368</v>
      </c>
      <c r="C1412" s="29" t="str">
        <f>_xlfn.XLOOKUP(B1412,Tableau13[ID_Antenne],Tableau13[Province_RDC],"Non répertoriées")</f>
        <v>Sud-Ubangi</v>
      </c>
      <c r="D1412">
        <v>83</v>
      </c>
      <c r="E1412" s="31" t="str">
        <f>_xlfn.XLOOKUP(B1412,Tableau13[ID_Antenne],Tableau13[Technologie],"Non répertoriées")</f>
        <v>3G</v>
      </c>
      <c r="F1412" s="3">
        <f>_xlfn.XLOOKUP(B1412,Tableau13[ID_Antenne],Tableau13[Latitude],"Non répertoriées")</f>
        <v>-8.0864899999999995</v>
      </c>
      <c r="G1412" s="32">
        <f>_xlfn.XLOOKUP(B1412,Tableau13[ID_Antenne],Tableau13[Longitude],"Non répertoriées")</f>
        <v>14.555277</v>
      </c>
      <c r="H1412" t="s">
        <v>8</v>
      </c>
    </row>
    <row r="1413" spans="1:8" x14ac:dyDescent="0.25">
      <c r="A1413" s="1">
        <v>45227.424305555563</v>
      </c>
      <c r="B1413" t="s">
        <v>678</v>
      </c>
      <c r="C1413" t="str">
        <f>_xlfn.XLOOKUP(B1413,Tableau13[ID_Antenne],Tableau13[Province_RDC],"Non répertoriées")</f>
        <v>Non répertoriées</v>
      </c>
      <c r="D1413">
        <v>58</v>
      </c>
      <c r="E1413" t="str">
        <f>_xlfn.XLOOKUP(B1413,Tableau13[ID_Antenne],Tableau13[Technologie],"Non répertoriées")</f>
        <v>Non répertoriées</v>
      </c>
      <c r="F1413" t="str">
        <f>_xlfn.XLOOKUP(B1413,Tableau13[ID_Antenne],Tableau13[Latitude],"Non répertoriées")</f>
        <v>Non répertoriées</v>
      </c>
      <c r="G1413" t="str">
        <f>_xlfn.XLOOKUP(B1413,Tableau13[ID_Antenne],Tableau13[Longitude],"Non répertoriées")</f>
        <v>Non répertoriées</v>
      </c>
      <c r="H1413" t="s">
        <v>5</v>
      </c>
    </row>
    <row r="1414" spans="1:8" x14ac:dyDescent="0.25">
      <c r="A1414" s="1">
        <v>45215.265277777777</v>
      </c>
      <c r="B1414" t="s">
        <v>374</v>
      </c>
      <c r="C1414" t="str">
        <f>_xlfn.XLOOKUP(B1414,Tableau13[ID_Antenne],Tableau13[Province_RDC],"Non répertoriées")</f>
        <v>Non répertoriées</v>
      </c>
      <c r="D1414">
        <v>36</v>
      </c>
      <c r="E1414" t="str">
        <f>_xlfn.XLOOKUP(B1414,Tableau13[ID_Antenne],Tableau13[Technologie],"Non répertoriées")</f>
        <v>Non répertoriées</v>
      </c>
      <c r="F1414" t="str">
        <f>_xlfn.XLOOKUP(B1414,Tableau13[ID_Antenne],Tableau13[Latitude],"Non répertoriées")</f>
        <v>Non répertoriées</v>
      </c>
      <c r="G1414" t="str">
        <f>_xlfn.XLOOKUP(B1414,Tableau13[ID_Antenne],Tableau13[Longitude],"Non répertoriées")</f>
        <v>Non répertoriées</v>
      </c>
      <c r="H1414" t="s">
        <v>10</v>
      </c>
    </row>
    <row r="1415" spans="1:8" x14ac:dyDescent="0.25">
      <c r="A1415" s="1">
        <v>45225.347916666673</v>
      </c>
      <c r="B1415" t="s">
        <v>596</v>
      </c>
      <c r="C1415" t="str">
        <f>_xlfn.XLOOKUP(B1415,Tableau13[ID_Antenne],Tableau13[Province_RDC],"Non répertoriées")</f>
        <v>Non répertoriées</v>
      </c>
      <c r="D1415">
        <v>115</v>
      </c>
      <c r="E1415" t="str">
        <f>_xlfn.XLOOKUP(B1415,Tableau13[ID_Antenne],Tableau13[Technologie],"Non répertoriées")</f>
        <v>Non répertoriées</v>
      </c>
      <c r="F1415" t="str">
        <f>_xlfn.XLOOKUP(B1415,Tableau13[ID_Antenne],Tableau13[Latitude],"Non répertoriées")</f>
        <v>Non répertoriées</v>
      </c>
      <c r="G1415" t="str">
        <f>_xlfn.XLOOKUP(B1415,Tableau13[ID_Antenne],Tableau13[Longitude],"Non répertoriées")</f>
        <v>Non répertoriées</v>
      </c>
      <c r="H1415" t="s">
        <v>10</v>
      </c>
    </row>
    <row r="1416" spans="1:8" x14ac:dyDescent="0.25">
      <c r="A1416" s="1">
        <v>45208.822222222218</v>
      </c>
      <c r="B1416" t="s">
        <v>538</v>
      </c>
      <c r="C1416" t="str">
        <f>_xlfn.XLOOKUP(B1416,Tableau13[ID_Antenne],Tableau13[Province_RDC],"Non répertoriées")</f>
        <v>Non répertoriées</v>
      </c>
      <c r="D1416">
        <v>120</v>
      </c>
      <c r="E1416" t="str">
        <f>_xlfn.XLOOKUP(B1416,Tableau13[ID_Antenne],Tableau13[Technologie],"Non répertoriées")</f>
        <v>Non répertoriées</v>
      </c>
      <c r="F1416" t="str">
        <f>_xlfn.XLOOKUP(B1416,Tableau13[ID_Antenne],Tableau13[Latitude],"Non répertoriées")</f>
        <v>Non répertoriées</v>
      </c>
      <c r="G1416" t="str">
        <f>_xlfn.XLOOKUP(B1416,Tableau13[ID_Antenne],Tableau13[Longitude],"Non répertoriées")</f>
        <v>Non répertoriées</v>
      </c>
      <c r="H1416" t="s">
        <v>8</v>
      </c>
    </row>
    <row r="1417" spans="1:8" x14ac:dyDescent="0.25">
      <c r="A1417" s="1">
        <v>45228.357638888891</v>
      </c>
      <c r="B1417" t="s">
        <v>682</v>
      </c>
      <c r="C1417" t="str">
        <f>_xlfn.XLOOKUP(B1417,Tableau13[ID_Antenne],Tableau13[Province_RDC],"Non répertoriées")</f>
        <v>Non répertoriées</v>
      </c>
      <c r="D1417">
        <v>25</v>
      </c>
      <c r="E1417" t="str">
        <f>_xlfn.XLOOKUP(B1417,Tableau13[ID_Antenne],Tableau13[Technologie],"Non répertoriées")</f>
        <v>Non répertoriées</v>
      </c>
      <c r="F1417" t="str">
        <f>_xlfn.XLOOKUP(B1417,Tableau13[ID_Antenne],Tableau13[Latitude],"Non répertoriées")</f>
        <v>Non répertoriées</v>
      </c>
      <c r="G1417" t="str">
        <f>_xlfn.XLOOKUP(B1417,Tableau13[ID_Antenne],Tableau13[Longitude],"Non répertoriées")</f>
        <v>Non répertoriées</v>
      </c>
      <c r="H1417" t="s">
        <v>10</v>
      </c>
    </row>
    <row r="1418" spans="1:8" x14ac:dyDescent="0.25">
      <c r="A1418" s="1">
        <v>45200.675000000003</v>
      </c>
      <c r="B1418" t="s">
        <v>309</v>
      </c>
      <c r="C1418" s="29" t="str">
        <f>_xlfn.XLOOKUP(B1418,Tableau13[ID_Antenne],Tableau13[Province_RDC],"Non répertoriées")</f>
        <v>Tanganyika</v>
      </c>
      <c r="D1418">
        <v>109</v>
      </c>
      <c r="E1418" s="31" t="str">
        <f>_xlfn.XLOOKUP(B1418,Tableau13[ID_Antenne],Tableau13[Technologie],"Non répertoriées")</f>
        <v>4G</v>
      </c>
      <c r="F1418" s="3">
        <f>_xlfn.XLOOKUP(B1418,Tableau13[ID_Antenne],Tableau13[Latitude],"Non répertoriées")</f>
        <v>-12.229338</v>
      </c>
      <c r="G1418" s="32">
        <f>_xlfn.XLOOKUP(B1418,Tableau13[ID_Antenne],Tableau13[Longitude],"Non répertoriées")</f>
        <v>29.587834999999998</v>
      </c>
      <c r="H1418" t="s">
        <v>5</v>
      </c>
    </row>
    <row r="1419" spans="1:8" x14ac:dyDescent="0.25">
      <c r="A1419" s="1">
        <v>45202.323611111111</v>
      </c>
      <c r="B1419" t="s">
        <v>406</v>
      </c>
      <c r="C1419" s="29" t="str">
        <f>_xlfn.XLOOKUP(B1419,Tableau13[ID_Antenne],Tableau13[Province_RDC],"Non répertoriées")</f>
        <v>Kasai-Central</v>
      </c>
      <c r="D1419">
        <v>46</v>
      </c>
      <c r="E1419" s="31" t="str">
        <f>_xlfn.XLOOKUP(B1419,Tableau13[ID_Antenne],Tableau13[Technologie],"Non répertoriées")</f>
        <v>3G</v>
      </c>
      <c r="F1419" s="3">
        <f>_xlfn.XLOOKUP(B1419,Tableau13[ID_Antenne],Tableau13[Latitude],"Non répertoriées")</f>
        <v>1.897178</v>
      </c>
      <c r="G1419" s="32">
        <f>_xlfn.XLOOKUP(B1419,Tableau13[ID_Antenne],Tableau13[Longitude],"Non répertoriées")</f>
        <v>23.902604</v>
      </c>
      <c r="H1419" t="s">
        <v>10</v>
      </c>
    </row>
    <row r="1420" spans="1:8" x14ac:dyDescent="0.25">
      <c r="A1420" s="1">
        <v>45213.649305555547</v>
      </c>
      <c r="B1420" t="s">
        <v>698</v>
      </c>
      <c r="C1420" t="str">
        <f>_xlfn.XLOOKUP(B1420,Tableau13[ID_Antenne],Tableau13[Province_RDC],"Non répertoriées")</f>
        <v>Non répertoriées</v>
      </c>
      <c r="D1420">
        <v>78</v>
      </c>
      <c r="E1420" t="str">
        <f>_xlfn.XLOOKUP(B1420,Tableau13[ID_Antenne],Tableau13[Technologie],"Non répertoriées")</f>
        <v>Non répertoriées</v>
      </c>
      <c r="F1420" t="str">
        <f>_xlfn.XLOOKUP(B1420,Tableau13[ID_Antenne],Tableau13[Latitude],"Non répertoriées")</f>
        <v>Non répertoriées</v>
      </c>
      <c r="G1420" t="str">
        <f>_xlfn.XLOOKUP(B1420,Tableau13[ID_Antenne],Tableau13[Longitude],"Non répertoriées")</f>
        <v>Non répertoriées</v>
      </c>
      <c r="H1420" t="s">
        <v>8</v>
      </c>
    </row>
    <row r="1421" spans="1:8" x14ac:dyDescent="0.25">
      <c r="A1421" s="1">
        <v>45224.322222222218</v>
      </c>
      <c r="B1421" t="s">
        <v>342</v>
      </c>
      <c r="C1421" s="29" t="str">
        <f>_xlfn.XLOOKUP(B1421,Tableau13[ID_Antenne],Tableau13[Province_RDC],"Non répertoriées")</f>
        <v>Kinshasa</v>
      </c>
      <c r="D1421">
        <v>97</v>
      </c>
      <c r="E1421" s="31" t="str">
        <f>_xlfn.XLOOKUP(B1421,Tableau13[ID_Antenne],Tableau13[Technologie],"Non répertoriées")</f>
        <v>5G</v>
      </c>
      <c r="F1421" s="3">
        <f>_xlfn.XLOOKUP(B1421,Tableau13[ID_Antenne],Tableau13[Latitude],"Non répertoriées")</f>
        <v>-11.389362</v>
      </c>
      <c r="G1421" s="32">
        <f>_xlfn.XLOOKUP(B1421,Tableau13[ID_Antenne],Tableau13[Longitude],"Non répertoriées")</f>
        <v>22.240174</v>
      </c>
      <c r="H1421" t="s">
        <v>5</v>
      </c>
    </row>
    <row r="1422" spans="1:8" x14ac:dyDescent="0.25">
      <c r="A1422" s="1">
        <v>45215.864583333343</v>
      </c>
      <c r="B1422" t="s">
        <v>729</v>
      </c>
      <c r="C1422" t="str">
        <f>_xlfn.XLOOKUP(B1422,Tableau13[ID_Antenne],Tableau13[Province_RDC],"Non répertoriées")</f>
        <v>Non répertoriées</v>
      </c>
      <c r="D1422">
        <v>45</v>
      </c>
      <c r="E1422" t="str">
        <f>_xlfn.XLOOKUP(B1422,Tableau13[ID_Antenne],Tableau13[Technologie],"Non répertoriées")</f>
        <v>Non répertoriées</v>
      </c>
      <c r="F1422" t="str">
        <f>_xlfn.XLOOKUP(B1422,Tableau13[ID_Antenne],Tableau13[Latitude],"Non répertoriées")</f>
        <v>Non répertoriées</v>
      </c>
      <c r="G1422" t="str">
        <f>_xlfn.XLOOKUP(B1422,Tableau13[ID_Antenne],Tableau13[Longitude],"Non répertoriées")</f>
        <v>Non répertoriées</v>
      </c>
      <c r="H1422" t="s">
        <v>10</v>
      </c>
    </row>
    <row r="1423" spans="1:8" x14ac:dyDescent="0.25">
      <c r="A1423" s="1">
        <v>45215.618055555547</v>
      </c>
      <c r="B1423" t="s">
        <v>230</v>
      </c>
      <c r="C1423" s="29" t="str">
        <f>_xlfn.XLOOKUP(B1423,Tableau13[ID_Antenne],Tableau13[Province_RDC],"Non répertoriées")</f>
        <v>Tshopo</v>
      </c>
      <c r="D1423">
        <v>29</v>
      </c>
      <c r="E1423" s="31" t="str">
        <f>_xlfn.XLOOKUP(B1423,Tableau13[ID_Antenne],Tableau13[Technologie],"Non répertoriées")</f>
        <v>5G</v>
      </c>
      <c r="F1423" s="3">
        <f>_xlfn.XLOOKUP(B1423,Tableau13[ID_Antenne],Tableau13[Latitude],"Non répertoriées")</f>
        <v>2.4425979999999998</v>
      </c>
      <c r="G1423" s="32">
        <f>_xlfn.XLOOKUP(B1423,Tableau13[ID_Antenne],Tableau13[Longitude],"Non répertoriées")</f>
        <v>24.924308</v>
      </c>
      <c r="H1423" t="s">
        <v>5</v>
      </c>
    </row>
    <row r="1424" spans="1:8" x14ac:dyDescent="0.25">
      <c r="A1424" s="1">
        <v>45200.095833333333</v>
      </c>
      <c r="B1424" t="s">
        <v>327</v>
      </c>
      <c r="C1424" s="29" t="str">
        <f>_xlfn.XLOOKUP(B1424,Tableau13[ID_Antenne],Tableau13[Province_RDC],"Non répertoriées")</f>
        <v>Nord-Kivu</v>
      </c>
      <c r="D1424">
        <v>102</v>
      </c>
      <c r="E1424" s="31" t="str">
        <f>_xlfn.XLOOKUP(B1424,Tableau13[ID_Antenne],Tableau13[Technologie],"Non répertoriées")</f>
        <v>3G</v>
      </c>
      <c r="F1424" s="3">
        <f>_xlfn.XLOOKUP(B1424,Tableau13[ID_Antenne],Tableau13[Latitude],"Non répertoriées")</f>
        <v>-6.5529849999999996</v>
      </c>
      <c r="G1424" s="32">
        <f>_xlfn.XLOOKUP(B1424,Tableau13[ID_Antenne],Tableau13[Longitude],"Non répertoriées")</f>
        <v>21.990606</v>
      </c>
      <c r="H1424" t="s">
        <v>10</v>
      </c>
    </row>
    <row r="1425" spans="1:8" x14ac:dyDescent="0.25">
      <c r="A1425" s="1">
        <v>45207.530555555553</v>
      </c>
      <c r="B1425" t="s">
        <v>268</v>
      </c>
      <c r="C1425" t="str">
        <f>_xlfn.XLOOKUP(B1425,Tableau13[ID_Antenne],Tableau13[Province_RDC],"Non répertoriées")</f>
        <v>Non répertoriées</v>
      </c>
      <c r="D1425">
        <v>25</v>
      </c>
      <c r="E1425" t="str">
        <f>_xlfn.XLOOKUP(B1425,Tableau13[ID_Antenne],Tableau13[Technologie],"Non répertoriées")</f>
        <v>Non répertoriées</v>
      </c>
      <c r="F1425" t="str">
        <f>_xlfn.XLOOKUP(B1425,Tableau13[ID_Antenne],Tableau13[Latitude],"Non répertoriées")</f>
        <v>Non répertoriées</v>
      </c>
      <c r="G1425" t="str">
        <f>_xlfn.XLOOKUP(B1425,Tableau13[ID_Antenne],Tableau13[Longitude],"Non répertoriées")</f>
        <v>Non répertoriées</v>
      </c>
      <c r="H1425" t="s">
        <v>5</v>
      </c>
    </row>
    <row r="1426" spans="1:8" x14ac:dyDescent="0.25">
      <c r="A1426" s="1">
        <v>45207.404166666667</v>
      </c>
      <c r="B1426" t="s">
        <v>322</v>
      </c>
      <c r="C1426" t="str">
        <f>_xlfn.XLOOKUP(B1426,Tableau13[ID_Antenne],Tableau13[Province_RDC],"Non répertoriées")</f>
        <v>Non répertoriées</v>
      </c>
      <c r="D1426">
        <v>68</v>
      </c>
      <c r="E1426" t="str">
        <f>_xlfn.XLOOKUP(B1426,Tableau13[ID_Antenne],Tableau13[Technologie],"Non répertoriées")</f>
        <v>Non répertoriées</v>
      </c>
      <c r="F1426" t="str">
        <f>_xlfn.XLOOKUP(B1426,Tableau13[ID_Antenne],Tableau13[Latitude],"Non répertoriées")</f>
        <v>Non répertoriées</v>
      </c>
      <c r="G1426" t="str">
        <f>_xlfn.XLOOKUP(B1426,Tableau13[ID_Antenne],Tableau13[Longitude],"Non répertoriées")</f>
        <v>Non répertoriées</v>
      </c>
      <c r="H1426" t="s">
        <v>8</v>
      </c>
    </row>
    <row r="1427" spans="1:8" x14ac:dyDescent="0.25">
      <c r="A1427" s="1">
        <v>45218.479166666657</v>
      </c>
      <c r="B1427" t="s">
        <v>736</v>
      </c>
      <c r="C1427" s="29" t="str">
        <f>_xlfn.XLOOKUP(B1427,Tableau13[ID_Antenne],Tableau13[Province_RDC],"Non répertoriées")</f>
        <v>Haut-Uele</v>
      </c>
      <c r="D1427">
        <v>70</v>
      </c>
      <c r="E1427" s="31" t="str">
        <f>_xlfn.XLOOKUP(B1427,Tableau13[ID_Antenne],Tableau13[Technologie],"Non répertoriées")</f>
        <v>5G</v>
      </c>
      <c r="F1427" s="3">
        <f>_xlfn.XLOOKUP(B1427,Tableau13[ID_Antenne],Tableau13[Latitude],"Non répertoriées")</f>
        <v>-7.8417870000000001</v>
      </c>
      <c r="G1427" s="32">
        <f>_xlfn.XLOOKUP(B1427,Tableau13[ID_Antenne],Tableau13[Longitude],"Non répertoriées")</f>
        <v>14.730712</v>
      </c>
      <c r="H1427" t="s">
        <v>8</v>
      </c>
    </row>
    <row r="1428" spans="1:8" x14ac:dyDescent="0.25">
      <c r="A1428" s="1">
        <v>45217.681944444441</v>
      </c>
      <c r="B1428" t="s">
        <v>30</v>
      </c>
      <c r="C1428" s="29" t="str">
        <f>_xlfn.XLOOKUP(B1428,Tableau13[ID_Antenne],Tableau13[Province_RDC],"Non répertoriées")</f>
        <v>Sud-Ubangi</v>
      </c>
      <c r="D1428">
        <v>64</v>
      </c>
      <c r="E1428" s="31" t="str">
        <f>_xlfn.XLOOKUP(B1428,Tableau13[ID_Antenne],Tableau13[Technologie],"Non répertoriées")</f>
        <v>5G</v>
      </c>
      <c r="F1428" s="3">
        <f>_xlfn.XLOOKUP(B1428,Tableau13[ID_Antenne],Tableau13[Latitude],"Non répertoriées")</f>
        <v>-10.56448</v>
      </c>
      <c r="G1428" s="32">
        <f>_xlfn.XLOOKUP(B1428,Tableau13[ID_Antenne],Tableau13[Longitude],"Non répertoriées")</f>
        <v>19.792876</v>
      </c>
      <c r="H1428" t="s">
        <v>8</v>
      </c>
    </row>
    <row r="1429" spans="1:8" x14ac:dyDescent="0.25">
      <c r="A1429" s="1">
        <v>45213.982638888891</v>
      </c>
      <c r="B1429" t="s">
        <v>713</v>
      </c>
      <c r="C1429" t="str">
        <f>_xlfn.XLOOKUP(B1429,Tableau13[ID_Antenne],Tableau13[Province_RDC],"Non répertoriées")</f>
        <v>Non répertoriées</v>
      </c>
      <c r="D1429">
        <v>68</v>
      </c>
      <c r="E1429" t="str">
        <f>_xlfn.XLOOKUP(B1429,Tableau13[ID_Antenne],Tableau13[Technologie],"Non répertoriées")</f>
        <v>Non répertoriées</v>
      </c>
      <c r="F1429" t="str">
        <f>_xlfn.XLOOKUP(B1429,Tableau13[ID_Antenne],Tableau13[Latitude],"Non répertoriées")</f>
        <v>Non répertoriées</v>
      </c>
      <c r="G1429" t="str">
        <f>_xlfn.XLOOKUP(B1429,Tableau13[ID_Antenne],Tableau13[Longitude],"Non répertoriées")</f>
        <v>Non répertoriées</v>
      </c>
      <c r="H1429" t="s">
        <v>5</v>
      </c>
    </row>
    <row r="1430" spans="1:8" x14ac:dyDescent="0.25">
      <c r="A1430" s="1">
        <v>45210.488888888889</v>
      </c>
      <c r="B1430" t="s">
        <v>353</v>
      </c>
      <c r="C1430" t="str">
        <f>_xlfn.XLOOKUP(B1430,Tableau13[ID_Antenne],Tableau13[Province_RDC],"Non répertoriées")</f>
        <v>Non répertoriées</v>
      </c>
      <c r="D1430">
        <v>117</v>
      </c>
      <c r="E1430" t="str">
        <f>_xlfn.XLOOKUP(B1430,Tableau13[ID_Antenne],Tableau13[Technologie],"Non répertoriées")</f>
        <v>Non répertoriées</v>
      </c>
      <c r="F1430" t="str">
        <f>_xlfn.XLOOKUP(B1430,Tableau13[ID_Antenne],Tableau13[Latitude],"Non répertoriées")</f>
        <v>Non répertoriées</v>
      </c>
      <c r="G1430" t="str">
        <f>_xlfn.XLOOKUP(B1430,Tableau13[ID_Antenne],Tableau13[Longitude],"Non répertoriées")</f>
        <v>Non répertoriées</v>
      </c>
      <c r="H1430" t="s">
        <v>5</v>
      </c>
    </row>
    <row r="1431" spans="1:8" x14ac:dyDescent="0.25">
      <c r="A1431" s="1">
        <v>45214.34652777778</v>
      </c>
      <c r="B1431" t="s">
        <v>734</v>
      </c>
      <c r="C1431" t="str">
        <f>_xlfn.XLOOKUP(B1431,Tableau13[ID_Antenne],Tableau13[Province_RDC],"Non répertoriées")</f>
        <v>Non répertoriées</v>
      </c>
      <c r="D1431">
        <v>44</v>
      </c>
      <c r="E1431" t="str">
        <f>_xlfn.XLOOKUP(B1431,Tableau13[ID_Antenne],Tableau13[Technologie],"Non répertoriées")</f>
        <v>Non répertoriées</v>
      </c>
      <c r="F1431" t="str">
        <f>_xlfn.XLOOKUP(B1431,Tableau13[ID_Antenne],Tableau13[Latitude],"Non répertoriées")</f>
        <v>Non répertoriées</v>
      </c>
      <c r="G1431" t="str">
        <f>_xlfn.XLOOKUP(B1431,Tableau13[ID_Antenne],Tableau13[Longitude],"Non répertoriées")</f>
        <v>Non répertoriées</v>
      </c>
      <c r="H1431" t="s">
        <v>8</v>
      </c>
    </row>
    <row r="1432" spans="1:8" x14ac:dyDescent="0.25">
      <c r="A1432" s="1">
        <v>45208.296527777777</v>
      </c>
      <c r="B1432" t="s">
        <v>232</v>
      </c>
      <c r="C1432" s="29" t="str">
        <f>_xlfn.XLOOKUP(B1432,Tableau13[ID_Antenne],Tableau13[Province_RDC],"Non répertoriées")</f>
        <v>Sud-Kivu</v>
      </c>
      <c r="D1432">
        <v>68</v>
      </c>
      <c r="E1432" s="31" t="str">
        <f>_xlfn.XLOOKUP(B1432,Tableau13[ID_Antenne],Tableau13[Technologie],"Non répertoriées")</f>
        <v>3G</v>
      </c>
      <c r="F1432" s="3">
        <f>_xlfn.XLOOKUP(B1432,Tableau13[ID_Antenne],Tableau13[Latitude],"Non répertoriées")</f>
        <v>-9.3900009999999998</v>
      </c>
      <c r="G1432" s="32">
        <f>_xlfn.XLOOKUP(B1432,Tableau13[ID_Antenne],Tableau13[Longitude],"Non répertoriées")</f>
        <v>30.001517</v>
      </c>
      <c r="H1432" t="s">
        <v>8</v>
      </c>
    </row>
    <row r="1433" spans="1:8" x14ac:dyDescent="0.25">
      <c r="A1433" s="1">
        <v>45223.263888888891</v>
      </c>
      <c r="B1433" t="s">
        <v>138</v>
      </c>
      <c r="C1433" s="29" t="str">
        <f>_xlfn.XLOOKUP(B1433,Tableau13[ID_Antenne],Tableau13[Province_RDC],"Non répertoriées")</f>
        <v>Mai-Ndombe</v>
      </c>
      <c r="D1433">
        <v>7</v>
      </c>
      <c r="E1433" s="31" t="str">
        <f>_xlfn.XLOOKUP(B1433,Tableau13[ID_Antenne],Tableau13[Technologie],"Non répertoriées")</f>
        <v>4G</v>
      </c>
      <c r="F1433" s="3">
        <f>_xlfn.XLOOKUP(B1433,Tableau13[ID_Antenne],Tableau13[Latitude],"Non répertoriées")</f>
        <v>-1.607639</v>
      </c>
      <c r="G1433" s="32">
        <f>_xlfn.XLOOKUP(B1433,Tableau13[ID_Antenne],Tableau13[Longitude],"Non répertoriées")</f>
        <v>17.003636</v>
      </c>
      <c r="H1433" t="s">
        <v>5</v>
      </c>
    </row>
    <row r="1434" spans="1:8" x14ac:dyDescent="0.25">
      <c r="A1434" s="1">
        <v>45203.981944444437</v>
      </c>
      <c r="B1434" t="s">
        <v>334</v>
      </c>
      <c r="C1434" s="29" t="str">
        <f>_xlfn.XLOOKUP(B1434,Tableau13[ID_Antenne],Tableau13[Province_RDC],"Non répertoriées")</f>
        <v>Ituri</v>
      </c>
      <c r="D1434">
        <v>16</v>
      </c>
      <c r="E1434" s="31" t="str">
        <f>_xlfn.XLOOKUP(B1434,Tableau13[ID_Antenne],Tableau13[Technologie],"Non répertoriées")</f>
        <v>5G</v>
      </c>
      <c r="F1434" s="3">
        <f>_xlfn.XLOOKUP(B1434,Tableau13[ID_Antenne],Tableau13[Latitude],"Non répertoriées")</f>
        <v>-0.34051900000000002</v>
      </c>
      <c r="G1434" s="32">
        <f>_xlfn.XLOOKUP(B1434,Tableau13[ID_Antenne],Tableau13[Longitude],"Non répertoriées")</f>
        <v>17.079799000000001</v>
      </c>
      <c r="H1434" t="s">
        <v>5</v>
      </c>
    </row>
    <row r="1435" spans="1:8" x14ac:dyDescent="0.25">
      <c r="A1435" s="1">
        <v>45230.924305555563</v>
      </c>
      <c r="B1435" t="s">
        <v>737</v>
      </c>
      <c r="C1435" t="str">
        <f>_xlfn.XLOOKUP(B1435,Tableau13[ID_Antenne],Tableau13[Province_RDC],"Non répertoriées")</f>
        <v>Non répertoriées</v>
      </c>
      <c r="D1435">
        <v>55</v>
      </c>
      <c r="E1435" t="str">
        <f>_xlfn.XLOOKUP(B1435,Tableau13[ID_Antenne],Tableau13[Technologie],"Non répertoriées")</f>
        <v>Non répertoriées</v>
      </c>
      <c r="F1435" t="str">
        <f>_xlfn.XLOOKUP(B1435,Tableau13[ID_Antenne],Tableau13[Latitude],"Non répertoriées")</f>
        <v>Non répertoriées</v>
      </c>
      <c r="G1435" t="str">
        <f>_xlfn.XLOOKUP(B1435,Tableau13[ID_Antenne],Tableau13[Longitude],"Non répertoriées")</f>
        <v>Non répertoriées</v>
      </c>
      <c r="H1435" t="s">
        <v>5</v>
      </c>
    </row>
    <row r="1436" spans="1:8" x14ac:dyDescent="0.25">
      <c r="A1436" s="1">
        <v>45206.282638888893</v>
      </c>
      <c r="B1436" t="s">
        <v>738</v>
      </c>
      <c r="C1436" s="29" t="str">
        <f>_xlfn.XLOOKUP(B1436,Tableau13[ID_Antenne],Tableau13[Province_RDC],"Non répertoriées")</f>
        <v>Kasai</v>
      </c>
      <c r="D1436">
        <v>69</v>
      </c>
      <c r="E1436" s="31" t="str">
        <f>_xlfn.XLOOKUP(B1436,Tableau13[ID_Antenne],Tableau13[Technologie],"Non répertoriées")</f>
        <v>5G</v>
      </c>
      <c r="F1436" s="3">
        <f>_xlfn.XLOOKUP(B1436,Tableau13[ID_Antenne],Tableau13[Latitude],"Non répertoriées")</f>
        <v>4.1464489999999996</v>
      </c>
      <c r="G1436" s="32">
        <f>_xlfn.XLOOKUP(B1436,Tableau13[ID_Antenne],Tableau13[Longitude],"Non répertoriées")</f>
        <v>17.793337000000001</v>
      </c>
      <c r="H1436" t="s">
        <v>5</v>
      </c>
    </row>
    <row r="1437" spans="1:8" x14ac:dyDescent="0.25">
      <c r="A1437" s="1">
        <v>45215.365277777782</v>
      </c>
      <c r="B1437" t="s">
        <v>525</v>
      </c>
      <c r="C1437" t="str">
        <f>_xlfn.XLOOKUP(B1437,Tableau13[ID_Antenne],Tableau13[Province_RDC],"Non répertoriées")</f>
        <v>Non répertoriées</v>
      </c>
      <c r="D1437">
        <v>63</v>
      </c>
      <c r="E1437" t="str">
        <f>_xlfn.XLOOKUP(B1437,Tableau13[ID_Antenne],Tableau13[Technologie],"Non répertoriées")</f>
        <v>Non répertoriées</v>
      </c>
      <c r="F1437" t="str">
        <f>_xlfn.XLOOKUP(B1437,Tableau13[ID_Antenne],Tableau13[Latitude],"Non répertoriées")</f>
        <v>Non répertoriées</v>
      </c>
      <c r="G1437" t="str">
        <f>_xlfn.XLOOKUP(B1437,Tableau13[ID_Antenne],Tableau13[Longitude],"Non répertoriées")</f>
        <v>Non répertoriées</v>
      </c>
      <c r="H1437" t="s">
        <v>5</v>
      </c>
    </row>
    <row r="1438" spans="1:8" x14ac:dyDescent="0.25">
      <c r="A1438" s="1">
        <v>45218.693055555559</v>
      </c>
      <c r="B1438" t="s">
        <v>406</v>
      </c>
      <c r="C1438" s="29" t="str">
        <f>_xlfn.XLOOKUP(B1438,Tableau13[ID_Antenne],Tableau13[Province_RDC],"Non répertoriées")</f>
        <v>Kasai-Central</v>
      </c>
      <c r="D1438">
        <v>35</v>
      </c>
      <c r="E1438" s="31" t="str">
        <f>_xlfn.XLOOKUP(B1438,Tableau13[ID_Antenne],Tableau13[Technologie],"Non répertoriées")</f>
        <v>3G</v>
      </c>
      <c r="F1438" s="3">
        <f>_xlfn.XLOOKUP(B1438,Tableau13[ID_Antenne],Tableau13[Latitude],"Non répertoriées")</f>
        <v>1.897178</v>
      </c>
      <c r="G1438" s="32">
        <f>_xlfn.XLOOKUP(B1438,Tableau13[ID_Antenne],Tableau13[Longitude],"Non répertoriées")</f>
        <v>23.902604</v>
      </c>
      <c r="H1438" t="s">
        <v>10</v>
      </c>
    </row>
    <row r="1439" spans="1:8" x14ac:dyDescent="0.25">
      <c r="A1439" s="1">
        <v>45209.161805555559</v>
      </c>
      <c r="B1439" t="s">
        <v>644</v>
      </c>
      <c r="C1439" s="29" t="str">
        <f>_xlfn.XLOOKUP(B1439,Tableau13[ID_Antenne],Tableau13[Province_RDC],"Non répertoriées")</f>
        <v>Sankuru</v>
      </c>
      <c r="D1439">
        <v>32</v>
      </c>
      <c r="E1439" s="31" t="str">
        <f>_xlfn.XLOOKUP(B1439,Tableau13[ID_Antenne],Tableau13[Technologie],"Non répertoriées")</f>
        <v>4G</v>
      </c>
      <c r="F1439" s="3">
        <f>_xlfn.XLOOKUP(B1439,Tableau13[ID_Antenne],Tableau13[Latitude],"Non répertoriées")</f>
        <v>-10.764815</v>
      </c>
      <c r="G1439" s="32">
        <f>_xlfn.XLOOKUP(B1439,Tableau13[ID_Antenne],Tableau13[Longitude],"Non répertoriées")</f>
        <v>14.602039</v>
      </c>
      <c r="H1439" t="s">
        <v>10</v>
      </c>
    </row>
    <row r="1440" spans="1:8" x14ac:dyDescent="0.25">
      <c r="A1440" s="1">
        <v>45206.384722222218</v>
      </c>
      <c r="B1440" t="s">
        <v>673</v>
      </c>
      <c r="C1440" t="str">
        <f>_xlfn.XLOOKUP(B1440,Tableau13[ID_Antenne],Tableau13[Province_RDC],"Non répertoriées")</f>
        <v>Non répertoriées</v>
      </c>
      <c r="D1440">
        <v>79</v>
      </c>
      <c r="E1440" t="str">
        <f>_xlfn.XLOOKUP(B1440,Tableau13[ID_Antenne],Tableau13[Technologie],"Non répertoriées")</f>
        <v>Non répertoriées</v>
      </c>
      <c r="F1440" t="str">
        <f>_xlfn.XLOOKUP(B1440,Tableau13[ID_Antenne],Tableau13[Latitude],"Non répertoriées")</f>
        <v>Non répertoriées</v>
      </c>
      <c r="G1440" t="str">
        <f>_xlfn.XLOOKUP(B1440,Tableau13[ID_Antenne],Tableau13[Longitude],"Non répertoriées")</f>
        <v>Non répertoriées</v>
      </c>
      <c r="H1440" t="s">
        <v>10</v>
      </c>
    </row>
    <row r="1441" spans="1:8" x14ac:dyDescent="0.25">
      <c r="A1441" s="1">
        <v>45211.22152777778</v>
      </c>
      <c r="B1441" t="s">
        <v>40</v>
      </c>
      <c r="C1441" s="29" t="str">
        <f>_xlfn.XLOOKUP(B1441,Tableau13[ID_Antenne],Tableau13[Province_RDC],"Non répertoriées")</f>
        <v>Kasai</v>
      </c>
      <c r="D1441">
        <v>50</v>
      </c>
      <c r="E1441" s="31" t="str">
        <f>_xlfn.XLOOKUP(B1441,Tableau13[ID_Antenne],Tableau13[Technologie],"Non répertoriées")</f>
        <v>4G</v>
      </c>
      <c r="F1441" s="3">
        <f>_xlfn.XLOOKUP(B1441,Tableau13[ID_Antenne],Tableau13[Latitude],"Non répertoriées")</f>
        <v>-10.059846</v>
      </c>
      <c r="G1441" s="32">
        <f>_xlfn.XLOOKUP(B1441,Tableau13[ID_Antenne],Tableau13[Longitude],"Non répertoriées")</f>
        <v>14.375757999999999</v>
      </c>
      <c r="H1441" t="s">
        <v>5</v>
      </c>
    </row>
    <row r="1442" spans="1:8" x14ac:dyDescent="0.25">
      <c r="A1442" s="1">
        <v>45200.94027777778</v>
      </c>
      <c r="B1442" t="s">
        <v>270</v>
      </c>
      <c r="C1442" t="str">
        <f>_xlfn.XLOOKUP(B1442,Tableau13[ID_Antenne],Tableau13[Province_RDC],"Non répertoriées")</f>
        <v>Non répertoriées</v>
      </c>
      <c r="D1442">
        <v>11</v>
      </c>
      <c r="E1442" t="str">
        <f>_xlfn.XLOOKUP(B1442,Tableau13[ID_Antenne],Tableau13[Technologie],"Non répertoriées")</f>
        <v>Non répertoriées</v>
      </c>
      <c r="F1442" t="str">
        <f>_xlfn.XLOOKUP(B1442,Tableau13[ID_Antenne],Tableau13[Latitude],"Non répertoriées")</f>
        <v>Non répertoriées</v>
      </c>
      <c r="G1442" t="str">
        <f>_xlfn.XLOOKUP(B1442,Tableau13[ID_Antenne],Tableau13[Longitude],"Non répertoriées")</f>
        <v>Non répertoriées</v>
      </c>
      <c r="H1442" t="s">
        <v>5</v>
      </c>
    </row>
    <row r="1443" spans="1:8" x14ac:dyDescent="0.25">
      <c r="A1443" s="1">
        <v>45204.334722222222</v>
      </c>
      <c r="B1443" t="s">
        <v>739</v>
      </c>
      <c r="C1443" t="str">
        <f>_xlfn.XLOOKUP(B1443,Tableau13[ID_Antenne],Tableau13[Province_RDC],"Non répertoriées")</f>
        <v>Non répertoriées</v>
      </c>
      <c r="D1443">
        <v>11</v>
      </c>
      <c r="E1443" t="str">
        <f>_xlfn.XLOOKUP(B1443,Tableau13[ID_Antenne],Tableau13[Technologie],"Non répertoriées")</f>
        <v>Non répertoriées</v>
      </c>
      <c r="F1443" t="str">
        <f>_xlfn.XLOOKUP(B1443,Tableau13[ID_Antenne],Tableau13[Latitude],"Non répertoriées")</f>
        <v>Non répertoriées</v>
      </c>
      <c r="G1443" t="str">
        <f>_xlfn.XLOOKUP(B1443,Tableau13[ID_Antenne],Tableau13[Longitude],"Non répertoriées")</f>
        <v>Non répertoriées</v>
      </c>
      <c r="H1443" t="s">
        <v>5</v>
      </c>
    </row>
    <row r="1444" spans="1:8" x14ac:dyDescent="0.25">
      <c r="A1444" s="1">
        <v>45201.720833333333</v>
      </c>
      <c r="B1444" t="s">
        <v>688</v>
      </c>
      <c r="C1444" t="str">
        <f>_xlfn.XLOOKUP(B1444,Tableau13[ID_Antenne],Tableau13[Province_RDC],"Non répertoriées")</f>
        <v>Non répertoriées</v>
      </c>
      <c r="D1444">
        <v>41</v>
      </c>
      <c r="E1444" t="str">
        <f>_xlfn.XLOOKUP(B1444,Tableau13[ID_Antenne],Tableau13[Technologie],"Non répertoriées")</f>
        <v>Non répertoriées</v>
      </c>
      <c r="F1444" t="str">
        <f>_xlfn.XLOOKUP(B1444,Tableau13[ID_Antenne],Tableau13[Latitude],"Non répertoriées")</f>
        <v>Non répertoriées</v>
      </c>
      <c r="G1444" t="str">
        <f>_xlfn.XLOOKUP(B1444,Tableau13[ID_Antenne],Tableau13[Longitude],"Non répertoriées")</f>
        <v>Non répertoriées</v>
      </c>
      <c r="H1444" t="s">
        <v>8</v>
      </c>
    </row>
    <row r="1445" spans="1:8" x14ac:dyDescent="0.25">
      <c r="A1445" s="1">
        <v>45222.194444444453</v>
      </c>
      <c r="B1445" t="s">
        <v>353</v>
      </c>
      <c r="C1445" t="str">
        <f>_xlfn.XLOOKUP(B1445,Tableau13[ID_Antenne],Tableau13[Province_RDC],"Non répertoriées")</f>
        <v>Non répertoriées</v>
      </c>
      <c r="D1445">
        <v>68</v>
      </c>
      <c r="E1445" t="str">
        <f>_xlfn.XLOOKUP(B1445,Tableau13[ID_Antenne],Tableau13[Technologie],"Non répertoriées")</f>
        <v>Non répertoriées</v>
      </c>
      <c r="F1445" t="str">
        <f>_xlfn.XLOOKUP(B1445,Tableau13[ID_Antenne],Tableau13[Latitude],"Non répertoriées")</f>
        <v>Non répertoriées</v>
      </c>
      <c r="G1445" t="str">
        <f>_xlfn.XLOOKUP(B1445,Tableau13[ID_Antenne],Tableau13[Longitude],"Non répertoriées")</f>
        <v>Non répertoriées</v>
      </c>
      <c r="H1445" t="s">
        <v>8</v>
      </c>
    </row>
    <row r="1446" spans="1:8" x14ac:dyDescent="0.25">
      <c r="A1446" s="1">
        <v>45227.629166666673</v>
      </c>
      <c r="B1446" t="s">
        <v>240</v>
      </c>
      <c r="C1446" t="str">
        <f>_xlfn.XLOOKUP(B1446,Tableau13[ID_Antenne],Tableau13[Province_RDC],"Non répertoriées")</f>
        <v>Non répertoriées</v>
      </c>
      <c r="D1446">
        <v>81</v>
      </c>
      <c r="E1446" t="str">
        <f>_xlfn.XLOOKUP(B1446,Tableau13[ID_Antenne],Tableau13[Technologie],"Non répertoriées")</f>
        <v>Non répertoriées</v>
      </c>
      <c r="F1446" t="str">
        <f>_xlfn.XLOOKUP(B1446,Tableau13[ID_Antenne],Tableau13[Latitude],"Non répertoriées")</f>
        <v>Non répertoriées</v>
      </c>
      <c r="G1446" t="str">
        <f>_xlfn.XLOOKUP(B1446,Tableau13[ID_Antenne],Tableau13[Longitude],"Non répertoriées")</f>
        <v>Non répertoriées</v>
      </c>
      <c r="H1446" t="s">
        <v>8</v>
      </c>
    </row>
    <row r="1447" spans="1:8" x14ac:dyDescent="0.25">
      <c r="A1447" s="1">
        <v>45227.025000000001</v>
      </c>
      <c r="B1447" t="s">
        <v>678</v>
      </c>
      <c r="C1447" t="str">
        <f>_xlfn.XLOOKUP(B1447,Tableau13[ID_Antenne],Tableau13[Province_RDC],"Non répertoriées")</f>
        <v>Non répertoriées</v>
      </c>
      <c r="D1447">
        <v>117</v>
      </c>
      <c r="E1447" t="str">
        <f>_xlfn.XLOOKUP(B1447,Tableau13[ID_Antenne],Tableau13[Technologie],"Non répertoriées")</f>
        <v>Non répertoriées</v>
      </c>
      <c r="F1447" t="str">
        <f>_xlfn.XLOOKUP(B1447,Tableau13[ID_Antenne],Tableau13[Latitude],"Non répertoriées")</f>
        <v>Non répertoriées</v>
      </c>
      <c r="G1447" t="str">
        <f>_xlfn.XLOOKUP(B1447,Tableau13[ID_Antenne],Tableau13[Longitude],"Non répertoriées")</f>
        <v>Non répertoriées</v>
      </c>
      <c r="H1447" t="s">
        <v>8</v>
      </c>
    </row>
    <row r="1448" spans="1:8" x14ac:dyDescent="0.25">
      <c r="A1448" t="s">
        <v>740</v>
      </c>
      <c r="B1448" t="s">
        <v>65</v>
      </c>
      <c r="C1448" t="str">
        <f>_xlfn.XLOOKUP(B1448,Tableau13[ID_Antenne],Tableau13[Province_RDC],"Non répertoriées")</f>
        <v>Non répertoriées</v>
      </c>
      <c r="D1448">
        <v>112</v>
      </c>
      <c r="E1448" t="str">
        <f>_xlfn.XLOOKUP(B1448,Tableau13[ID_Antenne],Tableau13[Technologie],"Non répertoriées")</f>
        <v>Non répertoriées</v>
      </c>
      <c r="F1448" t="str">
        <f>_xlfn.XLOOKUP(B1448,Tableau13[ID_Antenne],Tableau13[Latitude],"Non répertoriées")</f>
        <v>Non répertoriées</v>
      </c>
      <c r="G1448" t="str">
        <f>_xlfn.XLOOKUP(B1448,Tableau13[ID_Antenne],Tableau13[Longitude],"Non répertoriées")</f>
        <v>Non répertoriées</v>
      </c>
      <c r="H1448" t="s">
        <v>10</v>
      </c>
    </row>
    <row r="1449" spans="1:8" x14ac:dyDescent="0.25">
      <c r="A1449" t="s">
        <v>741</v>
      </c>
      <c r="B1449" t="s">
        <v>283</v>
      </c>
      <c r="C1449" s="29" t="str">
        <f>_xlfn.XLOOKUP(B1449,Tableau13[ID_Antenne],Tableau13[Province_RDC],"Non répertoriées")</f>
        <v>Tshuapa</v>
      </c>
      <c r="D1449">
        <v>88</v>
      </c>
      <c r="E1449" s="31" t="str">
        <f>_xlfn.XLOOKUP(B1449,Tableau13[ID_Antenne],Tableau13[Technologie],"Non répertoriées")</f>
        <v>4G</v>
      </c>
      <c r="F1449" s="3">
        <f>_xlfn.XLOOKUP(B1449,Tableau13[ID_Antenne],Tableau13[Latitude],"Non répertoriées")</f>
        <v>-10.577049000000001</v>
      </c>
      <c r="G1449" s="32">
        <f>_xlfn.XLOOKUP(B1449,Tableau13[ID_Antenne],Tableau13[Longitude],"Non répertoriées")</f>
        <v>23.721854</v>
      </c>
      <c r="H1449" t="s">
        <v>5</v>
      </c>
    </row>
    <row r="1450" spans="1:8" x14ac:dyDescent="0.25">
      <c r="A1450" s="1">
        <v>45230.052777777782</v>
      </c>
      <c r="B1450" t="s">
        <v>691</v>
      </c>
      <c r="C1450" s="29" t="str">
        <f>_xlfn.XLOOKUP(B1450,Tableau13[ID_Antenne],Tableau13[Province_RDC],"Non répertoriées")</f>
        <v>Equateur</v>
      </c>
      <c r="D1450">
        <v>91</v>
      </c>
      <c r="E1450" s="31" t="str">
        <f>_xlfn.XLOOKUP(B1450,Tableau13[ID_Antenne],Tableau13[Technologie],"Non répertoriées")</f>
        <v>4G</v>
      </c>
      <c r="F1450" s="3">
        <f>_xlfn.XLOOKUP(B1450,Tableau13[ID_Antenne],Tableau13[Latitude],"Non répertoriées")</f>
        <v>-3.544581</v>
      </c>
      <c r="G1450" s="32">
        <f>_xlfn.XLOOKUP(B1450,Tableau13[ID_Antenne],Tableau13[Longitude],"Non répertoriées")</f>
        <v>14.776605</v>
      </c>
      <c r="H1450" t="s">
        <v>10</v>
      </c>
    </row>
    <row r="1451" spans="1:8" x14ac:dyDescent="0.25">
      <c r="A1451" s="1">
        <v>45230.629861111112</v>
      </c>
      <c r="B1451" t="s">
        <v>312</v>
      </c>
      <c r="C1451" s="29" t="str">
        <f>_xlfn.XLOOKUP(B1451,Tableau13[ID_Antenne],Tableau13[Province_RDC],"Non répertoriées")</f>
        <v>Mongala</v>
      </c>
      <c r="D1451">
        <v>65</v>
      </c>
      <c r="E1451" s="31" t="str">
        <f>_xlfn.XLOOKUP(B1451,Tableau13[ID_Antenne],Tableau13[Technologie],"Non répertoriées")</f>
        <v>3G</v>
      </c>
      <c r="F1451" s="3">
        <f>_xlfn.XLOOKUP(B1451,Tableau13[ID_Antenne],Tableau13[Latitude],"Non répertoriées")</f>
        <v>-1.231033</v>
      </c>
      <c r="G1451" s="32">
        <f>_xlfn.XLOOKUP(B1451,Tableau13[ID_Antenne],Tableau13[Longitude],"Non répertoriées")</f>
        <v>28.851388</v>
      </c>
      <c r="H1451" t="s">
        <v>5</v>
      </c>
    </row>
    <row r="1452" spans="1:8" x14ac:dyDescent="0.25">
      <c r="A1452" s="1">
        <v>45226.100694444453</v>
      </c>
      <c r="B1452" t="s">
        <v>716</v>
      </c>
      <c r="C1452" s="29" t="str">
        <f>_xlfn.XLOOKUP(B1452,Tableau13[ID_Antenne],Tableau13[Province_RDC],"Non répertoriées")</f>
        <v>Kongo-Central</v>
      </c>
      <c r="D1452">
        <v>41</v>
      </c>
      <c r="E1452" s="31" t="str">
        <f>_xlfn.XLOOKUP(B1452,Tableau13[ID_Antenne],Tableau13[Technologie],"Non répertoriées")</f>
        <v>5G</v>
      </c>
      <c r="F1452" s="3">
        <f>_xlfn.XLOOKUP(B1452,Tableau13[ID_Antenne],Tableau13[Latitude],"Non répertoriées")</f>
        <v>-4.9108280000000004</v>
      </c>
      <c r="G1452" s="32">
        <f>_xlfn.XLOOKUP(B1452,Tableau13[ID_Antenne],Tableau13[Longitude],"Non répertoriées")</f>
        <v>17.670389</v>
      </c>
      <c r="H1452" t="s">
        <v>10</v>
      </c>
    </row>
    <row r="1453" spans="1:8" x14ac:dyDescent="0.25">
      <c r="A1453" s="1">
        <v>45215.10833333333</v>
      </c>
      <c r="B1453" t="s">
        <v>85</v>
      </c>
      <c r="C1453" s="29" t="str">
        <f>_xlfn.XLOOKUP(B1453,Tableau13[ID_Antenne],Tableau13[Province_RDC],"Non répertoriées")</f>
        <v>Ituri</v>
      </c>
      <c r="D1453">
        <v>73</v>
      </c>
      <c r="E1453" s="31" t="str">
        <f>_xlfn.XLOOKUP(B1453,Tableau13[ID_Antenne],Tableau13[Technologie],"Non répertoriées")</f>
        <v>3G</v>
      </c>
      <c r="F1453" s="3">
        <f>_xlfn.XLOOKUP(B1453,Tableau13[ID_Antenne],Tableau13[Latitude],"Non répertoriées")</f>
        <v>-7.0076900000000002</v>
      </c>
      <c r="G1453" s="32">
        <f>_xlfn.XLOOKUP(B1453,Tableau13[ID_Antenne],Tableau13[Longitude],"Non répertoriées")</f>
        <v>27.367121999999998</v>
      </c>
      <c r="H1453" t="s">
        <v>8</v>
      </c>
    </row>
    <row r="1454" spans="1:8" x14ac:dyDescent="0.25">
      <c r="A1454" s="1">
        <v>45220.877083333333</v>
      </c>
      <c r="B1454" t="s">
        <v>187</v>
      </c>
      <c r="C1454" t="str">
        <f>_xlfn.XLOOKUP(B1454,Tableau13[ID_Antenne],Tableau13[Province_RDC],"Non répertoriées")</f>
        <v>Non répertoriées</v>
      </c>
      <c r="D1454">
        <v>6</v>
      </c>
      <c r="E1454" t="str">
        <f>_xlfn.XLOOKUP(B1454,Tableau13[ID_Antenne],Tableau13[Technologie],"Non répertoriées")</f>
        <v>Non répertoriées</v>
      </c>
      <c r="F1454" t="str">
        <f>_xlfn.XLOOKUP(B1454,Tableau13[ID_Antenne],Tableau13[Latitude],"Non répertoriées")</f>
        <v>Non répertoriées</v>
      </c>
      <c r="G1454" t="str">
        <f>_xlfn.XLOOKUP(B1454,Tableau13[ID_Antenne],Tableau13[Longitude],"Non répertoriées")</f>
        <v>Non répertoriées</v>
      </c>
      <c r="H1454" t="s">
        <v>10</v>
      </c>
    </row>
    <row r="1455" spans="1:8" x14ac:dyDescent="0.25">
      <c r="A1455" s="1">
        <v>45204.20208333333</v>
      </c>
      <c r="B1455" t="s">
        <v>17</v>
      </c>
      <c r="C1455" s="29" t="str">
        <f>_xlfn.XLOOKUP(B1455,Tableau13[ID_Antenne],Tableau13[Province_RDC],"Non répertoriées")</f>
        <v>Kwango</v>
      </c>
      <c r="D1455">
        <v>113</v>
      </c>
      <c r="E1455" s="31" t="str">
        <f>_xlfn.XLOOKUP(B1455,Tableau13[ID_Antenne],Tableau13[Technologie],"Non répertoriées")</f>
        <v>5G</v>
      </c>
      <c r="F1455" s="3">
        <f>_xlfn.XLOOKUP(B1455,Tableau13[ID_Antenne],Tableau13[Latitude],"Non répertoriées")</f>
        <v>4.8319039999999998</v>
      </c>
      <c r="G1455" s="32">
        <f>_xlfn.XLOOKUP(B1455,Tableau13[ID_Antenne],Tableau13[Longitude],"Non répertoriées")</f>
        <v>20.733468999999999</v>
      </c>
      <c r="H1455" t="s">
        <v>10</v>
      </c>
    </row>
    <row r="1456" spans="1:8" x14ac:dyDescent="0.25">
      <c r="A1456" s="1">
        <v>45218.378472222219</v>
      </c>
      <c r="B1456" t="s">
        <v>263</v>
      </c>
      <c r="C1456" t="str">
        <f>_xlfn.XLOOKUP(B1456,Tableau13[ID_Antenne],Tableau13[Province_RDC],"Non répertoriées")</f>
        <v>Non répertoriées</v>
      </c>
      <c r="D1456">
        <v>18</v>
      </c>
      <c r="E1456" t="str">
        <f>_xlfn.XLOOKUP(B1456,Tableau13[ID_Antenne],Tableau13[Technologie],"Non répertoriées")</f>
        <v>Non répertoriées</v>
      </c>
      <c r="F1456" t="str">
        <f>_xlfn.XLOOKUP(B1456,Tableau13[ID_Antenne],Tableau13[Latitude],"Non répertoriées")</f>
        <v>Non répertoriées</v>
      </c>
      <c r="G1456" t="str">
        <f>_xlfn.XLOOKUP(B1456,Tableau13[ID_Antenne],Tableau13[Longitude],"Non répertoriées")</f>
        <v>Non répertoriées</v>
      </c>
      <c r="H1456" t="s">
        <v>5</v>
      </c>
    </row>
    <row r="1457" spans="1:8" x14ac:dyDescent="0.25">
      <c r="A1457" s="1">
        <v>45207.149305555547</v>
      </c>
      <c r="B1457" t="s">
        <v>40</v>
      </c>
      <c r="C1457" s="29" t="str">
        <f>_xlfn.XLOOKUP(B1457,Tableau13[ID_Antenne],Tableau13[Province_RDC],"Non répertoriées")</f>
        <v>Kasai</v>
      </c>
      <c r="D1457">
        <v>60</v>
      </c>
      <c r="E1457" s="31" t="str">
        <f>_xlfn.XLOOKUP(B1457,Tableau13[ID_Antenne],Tableau13[Technologie],"Non répertoriées")</f>
        <v>4G</v>
      </c>
      <c r="F1457" s="3">
        <f>_xlfn.XLOOKUP(B1457,Tableau13[ID_Antenne],Tableau13[Latitude],"Non répertoriées")</f>
        <v>-10.059846</v>
      </c>
      <c r="G1457" s="32">
        <f>_xlfn.XLOOKUP(B1457,Tableau13[ID_Antenne],Tableau13[Longitude],"Non répertoriées")</f>
        <v>14.375757999999999</v>
      </c>
      <c r="H1457" t="s">
        <v>8</v>
      </c>
    </row>
    <row r="1458" spans="1:8" x14ac:dyDescent="0.25">
      <c r="A1458" s="1">
        <v>45224.568055555559</v>
      </c>
      <c r="B1458" t="s">
        <v>335</v>
      </c>
      <c r="C1458" t="str">
        <f>_xlfn.XLOOKUP(B1458,Tableau13[ID_Antenne],Tableau13[Province_RDC],"Non répertoriées")</f>
        <v>Non répertoriées</v>
      </c>
      <c r="D1458">
        <v>22</v>
      </c>
      <c r="E1458" t="str">
        <f>_xlfn.XLOOKUP(B1458,Tableau13[ID_Antenne],Tableau13[Technologie],"Non répertoriées")</f>
        <v>Non répertoriées</v>
      </c>
      <c r="F1458" t="str">
        <f>_xlfn.XLOOKUP(B1458,Tableau13[ID_Antenne],Tableau13[Latitude],"Non répertoriées")</f>
        <v>Non répertoriées</v>
      </c>
      <c r="G1458" t="str">
        <f>_xlfn.XLOOKUP(B1458,Tableau13[ID_Antenne],Tableau13[Longitude],"Non répertoriées")</f>
        <v>Non répertoriées</v>
      </c>
      <c r="H1458" t="s">
        <v>10</v>
      </c>
    </row>
    <row r="1459" spans="1:8" x14ac:dyDescent="0.25">
      <c r="A1459" s="1">
        <v>45219.801388888889</v>
      </c>
      <c r="B1459" t="s">
        <v>624</v>
      </c>
      <c r="C1459" s="29" t="str">
        <f>_xlfn.XLOOKUP(B1459,Tableau13[ID_Antenne],Tableau13[Province_RDC],"Non répertoriées")</f>
        <v>Kasai-Central</v>
      </c>
      <c r="D1459">
        <v>117</v>
      </c>
      <c r="E1459" s="31" t="str">
        <f>_xlfn.XLOOKUP(B1459,Tableau13[ID_Antenne],Tableau13[Technologie],"Non répertoriées")</f>
        <v>3G</v>
      </c>
      <c r="F1459" s="3">
        <f>_xlfn.XLOOKUP(B1459,Tableau13[ID_Antenne],Tableau13[Latitude],"Non répertoriées")</f>
        <v>-10.735106</v>
      </c>
      <c r="G1459" s="32">
        <f>_xlfn.XLOOKUP(B1459,Tableau13[ID_Antenne],Tableau13[Longitude],"Non répertoriées")</f>
        <v>27.868673999999999</v>
      </c>
      <c r="H1459" t="s">
        <v>5</v>
      </c>
    </row>
    <row r="1460" spans="1:8" x14ac:dyDescent="0.25">
      <c r="A1460" t="s">
        <v>742</v>
      </c>
      <c r="B1460" t="s">
        <v>353</v>
      </c>
      <c r="C1460" t="str">
        <f>_xlfn.XLOOKUP(B1460,Tableau13[ID_Antenne],Tableau13[Province_RDC],"Non répertoriées")</f>
        <v>Non répertoriées</v>
      </c>
      <c r="D1460">
        <v>38</v>
      </c>
      <c r="E1460" t="str">
        <f>_xlfn.XLOOKUP(B1460,Tableau13[ID_Antenne],Tableau13[Technologie],"Non répertoriées")</f>
        <v>Non répertoriées</v>
      </c>
      <c r="F1460" t="str">
        <f>_xlfn.XLOOKUP(B1460,Tableau13[ID_Antenne],Tableau13[Latitude],"Non répertoriées")</f>
        <v>Non répertoriées</v>
      </c>
      <c r="G1460" t="str">
        <f>_xlfn.XLOOKUP(B1460,Tableau13[ID_Antenne],Tableau13[Longitude],"Non répertoriées")</f>
        <v>Non répertoriées</v>
      </c>
      <c r="H1460" t="s">
        <v>8</v>
      </c>
    </row>
    <row r="1461" spans="1:8" x14ac:dyDescent="0.25">
      <c r="A1461" s="1">
        <v>45214.59652777778</v>
      </c>
      <c r="B1461" t="s">
        <v>524</v>
      </c>
      <c r="C1461" t="str">
        <f>_xlfn.XLOOKUP(B1461,Tableau13[ID_Antenne],Tableau13[Province_RDC],"Non répertoriées")</f>
        <v>Non répertoriées</v>
      </c>
      <c r="D1461">
        <v>98</v>
      </c>
      <c r="E1461" t="str">
        <f>_xlfn.XLOOKUP(B1461,Tableau13[ID_Antenne],Tableau13[Technologie],"Non répertoriées")</f>
        <v>Non répertoriées</v>
      </c>
      <c r="F1461" t="str">
        <f>_xlfn.XLOOKUP(B1461,Tableau13[ID_Antenne],Tableau13[Latitude],"Non répertoriées")</f>
        <v>Non répertoriées</v>
      </c>
      <c r="G1461" t="str">
        <f>_xlfn.XLOOKUP(B1461,Tableau13[ID_Antenne],Tableau13[Longitude],"Non répertoriées")</f>
        <v>Non répertoriées</v>
      </c>
      <c r="H1461" t="s">
        <v>8</v>
      </c>
    </row>
    <row r="1462" spans="1:8" x14ac:dyDescent="0.25">
      <c r="A1462" s="1">
        <v>45227.768750000003</v>
      </c>
      <c r="B1462" t="s">
        <v>525</v>
      </c>
      <c r="C1462" t="str">
        <f>_xlfn.XLOOKUP(B1462,Tableau13[ID_Antenne],Tableau13[Province_RDC],"Non répertoriées")</f>
        <v>Non répertoriées</v>
      </c>
      <c r="D1462">
        <v>51</v>
      </c>
      <c r="E1462" t="str">
        <f>_xlfn.XLOOKUP(B1462,Tableau13[ID_Antenne],Tableau13[Technologie],"Non répertoriées")</f>
        <v>Non répertoriées</v>
      </c>
      <c r="F1462" t="str">
        <f>_xlfn.XLOOKUP(B1462,Tableau13[ID_Antenne],Tableau13[Latitude],"Non répertoriées")</f>
        <v>Non répertoriées</v>
      </c>
      <c r="G1462" t="str">
        <f>_xlfn.XLOOKUP(B1462,Tableau13[ID_Antenne],Tableau13[Longitude],"Non répertoriées")</f>
        <v>Non répertoriées</v>
      </c>
      <c r="H1462" t="s">
        <v>5</v>
      </c>
    </row>
    <row r="1463" spans="1:8" x14ac:dyDescent="0.25">
      <c r="A1463" s="1">
        <v>45209.777083333327</v>
      </c>
      <c r="B1463" t="s">
        <v>214</v>
      </c>
      <c r="C1463" t="str">
        <f>_xlfn.XLOOKUP(B1463,Tableau13[ID_Antenne],Tableau13[Province_RDC],"Non répertoriées")</f>
        <v>Non répertoriées</v>
      </c>
      <c r="D1463">
        <v>102</v>
      </c>
      <c r="E1463" t="str">
        <f>_xlfn.XLOOKUP(B1463,Tableau13[ID_Antenne],Tableau13[Technologie],"Non répertoriées")</f>
        <v>Non répertoriées</v>
      </c>
      <c r="F1463" t="str">
        <f>_xlfn.XLOOKUP(B1463,Tableau13[ID_Antenne],Tableau13[Latitude],"Non répertoriées")</f>
        <v>Non répertoriées</v>
      </c>
      <c r="G1463" t="str">
        <f>_xlfn.XLOOKUP(B1463,Tableau13[ID_Antenne],Tableau13[Longitude],"Non répertoriées")</f>
        <v>Non répertoriées</v>
      </c>
      <c r="H1463" t="s">
        <v>5</v>
      </c>
    </row>
    <row r="1464" spans="1:8" x14ac:dyDescent="0.25">
      <c r="A1464" s="1">
        <v>45201.824305555558</v>
      </c>
      <c r="B1464" t="s">
        <v>706</v>
      </c>
      <c r="C1464" s="29" t="str">
        <f>_xlfn.XLOOKUP(B1464,Tableau13[ID_Antenne],Tableau13[Province_RDC],"Non répertoriées")</f>
        <v>Maniema</v>
      </c>
      <c r="D1464">
        <v>56</v>
      </c>
      <c r="E1464" s="31" t="str">
        <f>_xlfn.XLOOKUP(B1464,Tableau13[ID_Antenne],Tableau13[Technologie],"Non répertoriées")</f>
        <v>4G</v>
      </c>
      <c r="F1464" s="3">
        <f>_xlfn.XLOOKUP(B1464,Tableau13[ID_Antenne],Tableau13[Latitude],"Non répertoriées")</f>
        <v>3.08182</v>
      </c>
      <c r="G1464" s="32">
        <f>_xlfn.XLOOKUP(B1464,Tableau13[ID_Antenne],Tableau13[Longitude],"Non répertoriées")</f>
        <v>29.961940999999999</v>
      </c>
      <c r="H1464" t="s">
        <v>5</v>
      </c>
    </row>
    <row r="1465" spans="1:8" x14ac:dyDescent="0.25">
      <c r="A1465" s="1">
        <v>45203.277777777781</v>
      </c>
      <c r="B1465" t="s">
        <v>676</v>
      </c>
      <c r="C1465" t="str">
        <f>_xlfn.XLOOKUP(B1465,Tableau13[ID_Antenne],Tableau13[Province_RDC],"Non répertoriées")</f>
        <v>Non répertoriées</v>
      </c>
      <c r="D1465">
        <v>51</v>
      </c>
      <c r="E1465" t="str">
        <f>_xlfn.XLOOKUP(B1465,Tableau13[ID_Antenne],Tableau13[Technologie],"Non répertoriées")</f>
        <v>Non répertoriées</v>
      </c>
      <c r="F1465" t="str">
        <f>_xlfn.XLOOKUP(B1465,Tableau13[ID_Antenne],Tableau13[Latitude],"Non répertoriées")</f>
        <v>Non répertoriées</v>
      </c>
      <c r="G1465" t="str">
        <f>_xlfn.XLOOKUP(B1465,Tableau13[ID_Antenne],Tableau13[Longitude],"Non répertoriées")</f>
        <v>Non répertoriées</v>
      </c>
      <c r="H1465" t="s">
        <v>8</v>
      </c>
    </row>
    <row r="1466" spans="1:8" x14ac:dyDescent="0.25">
      <c r="A1466" s="1">
        <v>45206.362500000003</v>
      </c>
      <c r="B1466" t="s">
        <v>743</v>
      </c>
      <c r="C1466" t="str">
        <f>_xlfn.XLOOKUP(B1466,Tableau13[ID_Antenne],Tableau13[Province_RDC],"Non répertoriées")</f>
        <v>Non répertoriées</v>
      </c>
      <c r="D1466">
        <v>10</v>
      </c>
      <c r="E1466" t="str">
        <f>_xlfn.XLOOKUP(B1466,Tableau13[ID_Antenne],Tableau13[Technologie],"Non répertoriées")</f>
        <v>Non répertoriées</v>
      </c>
      <c r="F1466" t="str">
        <f>_xlfn.XLOOKUP(B1466,Tableau13[ID_Antenne],Tableau13[Latitude],"Non répertoriées")</f>
        <v>Non répertoriées</v>
      </c>
      <c r="G1466" t="str">
        <f>_xlfn.XLOOKUP(B1466,Tableau13[ID_Antenne],Tableau13[Longitude],"Non répertoriées")</f>
        <v>Non répertoriées</v>
      </c>
      <c r="H1466" t="s">
        <v>5</v>
      </c>
    </row>
    <row r="1467" spans="1:8" x14ac:dyDescent="0.25">
      <c r="A1467" s="1">
        <v>45202.21875</v>
      </c>
      <c r="B1467" t="s">
        <v>441</v>
      </c>
      <c r="C1467" s="29" t="str">
        <f>_xlfn.XLOOKUP(B1467,Tableau13[ID_Antenne],Tableau13[Province_RDC],"Non répertoriées")</f>
        <v>Kongo-Central</v>
      </c>
      <c r="D1467">
        <v>56</v>
      </c>
      <c r="E1467" s="31" t="str">
        <f>_xlfn.XLOOKUP(B1467,Tableau13[ID_Antenne],Tableau13[Technologie],"Non répertoriées")</f>
        <v>5G</v>
      </c>
      <c r="F1467" s="3">
        <f>_xlfn.XLOOKUP(B1467,Tableau13[ID_Antenne],Tableau13[Latitude],"Non répertoriées")</f>
        <v>-11.157245</v>
      </c>
      <c r="G1467" s="32">
        <f>_xlfn.XLOOKUP(B1467,Tableau13[ID_Antenne],Tableau13[Longitude],"Non répertoriées")</f>
        <v>21.262627999999999</v>
      </c>
      <c r="H1467" t="s">
        <v>10</v>
      </c>
    </row>
    <row r="1468" spans="1:8" x14ac:dyDescent="0.25">
      <c r="A1468" s="1">
        <v>45205.711111111108</v>
      </c>
      <c r="B1468" t="s">
        <v>421</v>
      </c>
      <c r="C1468" s="29" t="str">
        <f>_xlfn.XLOOKUP(B1468,Tableau13[ID_Antenne],Tableau13[Province_RDC],"Non répertoriées")</f>
        <v>Nord-Ubangi</v>
      </c>
      <c r="D1468">
        <v>11</v>
      </c>
      <c r="E1468" s="31" t="str">
        <f>_xlfn.XLOOKUP(B1468,Tableau13[ID_Antenne],Tableau13[Technologie],"Non répertoriées")</f>
        <v>3G</v>
      </c>
      <c r="F1468" s="3">
        <f>_xlfn.XLOOKUP(B1468,Tableau13[ID_Antenne],Tableau13[Latitude],"Non répertoriées")</f>
        <v>8.5490999999999998E-2</v>
      </c>
      <c r="G1468" s="32">
        <f>_xlfn.XLOOKUP(B1468,Tableau13[ID_Antenne],Tableau13[Longitude],"Non répertoriées")</f>
        <v>26.296129000000001</v>
      </c>
      <c r="H1468" t="s">
        <v>5</v>
      </c>
    </row>
    <row r="1469" spans="1:8" x14ac:dyDescent="0.25">
      <c r="A1469" s="1">
        <v>45205.018055555563</v>
      </c>
      <c r="B1469" t="s">
        <v>695</v>
      </c>
      <c r="C1469" t="str">
        <f>_xlfn.XLOOKUP(B1469,Tableau13[ID_Antenne],Tableau13[Province_RDC],"Non répertoriées")</f>
        <v>Non répertoriées</v>
      </c>
      <c r="D1469">
        <v>77</v>
      </c>
      <c r="E1469" t="str">
        <f>_xlfn.XLOOKUP(B1469,Tableau13[ID_Antenne],Tableau13[Technologie],"Non répertoriées")</f>
        <v>Non répertoriées</v>
      </c>
      <c r="F1469" t="str">
        <f>_xlfn.XLOOKUP(B1469,Tableau13[ID_Antenne],Tableau13[Latitude],"Non répertoriées")</f>
        <v>Non répertoriées</v>
      </c>
      <c r="G1469" t="str">
        <f>_xlfn.XLOOKUP(B1469,Tableau13[ID_Antenne],Tableau13[Longitude],"Non répertoriées")</f>
        <v>Non répertoriées</v>
      </c>
      <c r="H1469" t="s">
        <v>10</v>
      </c>
    </row>
    <row r="1470" spans="1:8" x14ac:dyDescent="0.25">
      <c r="A1470" s="1">
        <v>45214.943055555559</v>
      </c>
      <c r="B1470" t="s">
        <v>348</v>
      </c>
      <c r="C1470" t="str">
        <f>_xlfn.XLOOKUP(B1470,Tableau13[ID_Antenne],Tableau13[Province_RDC],"Non répertoriées")</f>
        <v>Non répertoriées</v>
      </c>
      <c r="D1470">
        <v>76</v>
      </c>
      <c r="E1470" t="str">
        <f>_xlfn.XLOOKUP(B1470,Tableau13[ID_Antenne],Tableau13[Technologie],"Non répertoriées")</f>
        <v>Non répertoriées</v>
      </c>
      <c r="F1470" t="str">
        <f>_xlfn.XLOOKUP(B1470,Tableau13[ID_Antenne],Tableau13[Latitude],"Non répertoriées")</f>
        <v>Non répertoriées</v>
      </c>
      <c r="G1470" t="str">
        <f>_xlfn.XLOOKUP(B1470,Tableau13[ID_Antenne],Tableau13[Longitude],"Non répertoriées")</f>
        <v>Non répertoriées</v>
      </c>
      <c r="H1470" t="s">
        <v>10</v>
      </c>
    </row>
    <row r="1471" spans="1:8" x14ac:dyDescent="0.25">
      <c r="A1471" s="1">
        <v>45215.376388888893</v>
      </c>
      <c r="B1471" t="s">
        <v>744</v>
      </c>
      <c r="C1471" t="str">
        <f>_xlfn.XLOOKUP(B1471,Tableau13[ID_Antenne],Tableau13[Province_RDC],"Non répertoriées")</f>
        <v>Non répertoriées</v>
      </c>
      <c r="D1471">
        <v>29</v>
      </c>
      <c r="E1471" t="str">
        <f>_xlfn.XLOOKUP(B1471,Tableau13[ID_Antenne],Tableau13[Technologie],"Non répertoriées")</f>
        <v>Non répertoriées</v>
      </c>
      <c r="F1471" t="str">
        <f>_xlfn.XLOOKUP(B1471,Tableau13[ID_Antenne],Tableau13[Latitude],"Non répertoriées")</f>
        <v>Non répertoriées</v>
      </c>
      <c r="G1471" t="str">
        <f>_xlfn.XLOOKUP(B1471,Tableau13[ID_Antenne],Tableau13[Longitude],"Non répertoriées")</f>
        <v>Non répertoriées</v>
      </c>
      <c r="H1471" t="s">
        <v>10</v>
      </c>
    </row>
    <row r="1472" spans="1:8" x14ac:dyDescent="0.25">
      <c r="A1472" s="1">
        <v>45207.40625</v>
      </c>
      <c r="B1472" t="s">
        <v>645</v>
      </c>
      <c r="C1472" t="str">
        <f>_xlfn.XLOOKUP(B1472,Tableau13[ID_Antenne],Tableau13[Province_RDC],"Non répertoriées")</f>
        <v>Non répertoriées</v>
      </c>
      <c r="D1472">
        <v>51</v>
      </c>
      <c r="E1472" t="str">
        <f>_xlfn.XLOOKUP(B1472,Tableau13[ID_Antenne],Tableau13[Technologie],"Non répertoriées")</f>
        <v>Non répertoriées</v>
      </c>
      <c r="F1472" t="str">
        <f>_xlfn.XLOOKUP(B1472,Tableau13[ID_Antenne],Tableau13[Latitude],"Non répertoriées")</f>
        <v>Non répertoriées</v>
      </c>
      <c r="G1472" t="str">
        <f>_xlfn.XLOOKUP(B1472,Tableau13[ID_Antenne],Tableau13[Longitude],"Non répertoriées")</f>
        <v>Non répertoriées</v>
      </c>
      <c r="H1472" t="s">
        <v>10</v>
      </c>
    </row>
    <row r="1473" spans="1:8" x14ac:dyDescent="0.25">
      <c r="A1473" s="1">
        <v>45209.954861111109</v>
      </c>
      <c r="B1473" t="s">
        <v>549</v>
      </c>
      <c r="C1473" t="str">
        <f>_xlfn.XLOOKUP(B1473,Tableau13[ID_Antenne],Tableau13[Province_RDC],"Non répertoriées")</f>
        <v>Non répertoriées</v>
      </c>
      <c r="D1473">
        <v>75</v>
      </c>
      <c r="E1473" t="str">
        <f>_xlfn.XLOOKUP(B1473,Tableau13[ID_Antenne],Tableau13[Technologie],"Non répertoriées")</f>
        <v>Non répertoriées</v>
      </c>
      <c r="F1473" t="str">
        <f>_xlfn.XLOOKUP(B1473,Tableau13[ID_Antenne],Tableau13[Latitude],"Non répertoriées")</f>
        <v>Non répertoriées</v>
      </c>
      <c r="G1473" t="str">
        <f>_xlfn.XLOOKUP(B1473,Tableau13[ID_Antenne],Tableau13[Longitude],"Non répertoriées")</f>
        <v>Non répertoriées</v>
      </c>
      <c r="H1473" t="s">
        <v>5</v>
      </c>
    </row>
    <row r="1474" spans="1:8" x14ac:dyDescent="0.25">
      <c r="A1474" s="1">
        <v>45214.113194444442</v>
      </c>
      <c r="B1474" t="s">
        <v>699</v>
      </c>
      <c r="C1474" t="str">
        <f>_xlfn.XLOOKUP(B1474,Tableau13[ID_Antenne],Tableau13[Province_RDC],"Non répertoriées")</f>
        <v>Non répertoriées</v>
      </c>
      <c r="D1474">
        <v>41</v>
      </c>
      <c r="E1474" t="str">
        <f>_xlfn.XLOOKUP(B1474,Tableau13[ID_Antenne],Tableau13[Technologie],"Non répertoriées")</f>
        <v>Non répertoriées</v>
      </c>
      <c r="F1474" t="str">
        <f>_xlfn.XLOOKUP(B1474,Tableau13[ID_Antenne],Tableau13[Latitude],"Non répertoriées")</f>
        <v>Non répertoriées</v>
      </c>
      <c r="G1474" t="str">
        <f>_xlfn.XLOOKUP(B1474,Tableau13[ID_Antenne],Tableau13[Longitude],"Non répertoriées")</f>
        <v>Non répertoriées</v>
      </c>
      <c r="H1474" t="s">
        <v>8</v>
      </c>
    </row>
    <row r="1475" spans="1:8" x14ac:dyDescent="0.25">
      <c r="A1475" s="1">
        <v>45207.368055555547</v>
      </c>
      <c r="B1475" t="s">
        <v>671</v>
      </c>
      <c r="C1475" t="str">
        <f>_xlfn.XLOOKUP(B1475,Tableau13[ID_Antenne],Tableau13[Province_RDC],"Non répertoriées")</f>
        <v>Non répertoriées</v>
      </c>
      <c r="D1475">
        <v>14</v>
      </c>
      <c r="E1475" t="str">
        <f>_xlfn.XLOOKUP(B1475,Tableau13[ID_Antenne],Tableau13[Technologie],"Non répertoriées")</f>
        <v>Non répertoriées</v>
      </c>
      <c r="F1475" t="str">
        <f>_xlfn.XLOOKUP(B1475,Tableau13[ID_Antenne],Tableau13[Latitude],"Non répertoriées")</f>
        <v>Non répertoriées</v>
      </c>
      <c r="G1475" t="str">
        <f>_xlfn.XLOOKUP(B1475,Tableau13[ID_Antenne],Tableau13[Longitude],"Non répertoriées")</f>
        <v>Non répertoriées</v>
      </c>
      <c r="H1475" t="s">
        <v>10</v>
      </c>
    </row>
    <row r="1476" spans="1:8" x14ac:dyDescent="0.25">
      <c r="A1476" s="1">
        <v>45225.859027777777</v>
      </c>
      <c r="B1476" t="s">
        <v>674</v>
      </c>
      <c r="C1476" t="str">
        <f>_xlfn.XLOOKUP(B1476,Tableau13[ID_Antenne],Tableau13[Province_RDC],"Non répertoriées")</f>
        <v>Non répertoriées</v>
      </c>
      <c r="D1476">
        <v>54</v>
      </c>
      <c r="E1476" t="str">
        <f>_xlfn.XLOOKUP(B1476,Tableau13[ID_Antenne],Tableau13[Technologie],"Non répertoriées")</f>
        <v>Non répertoriées</v>
      </c>
      <c r="F1476" t="str">
        <f>_xlfn.XLOOKUP(B1476,Tableau13[ID_Antenne],Tableau13[Latitude],"Non répertoriées")</f>
        <v>Non répertoriées</v>
      </c>
      <c r="G1476" t="str">
        <f>_xlfn.XLOOKUP(B1476,Tableau13[ID_Antenne],Tableau13[Longitude],"Non répertoriées")</f>
        <v>Non répertoriées</v>
      </c>
      <c r="H1476" t="s">
        <v>5</v>
      </c>
    </row>
    <row r="1477" spans="1:8" x14ac:dyDescent="0.25">
      <c r="A1477" s="1">
        <v>45221.268750000003</v>
      </c>
      <c r="B1477" t="s">
        <v>745</v>
      </c>
      <c r="C1477" t="str">
        <f>_xlfn.XLOOKUP(B1477,Tableau13[ID_Antenne],Tableau13[Province_RDC],"Non répertoriées")</f>
        <v>Non répertoriées</v>
      </c>
      <c r="D1477">
        <v>69</v>
      </c>
      <c r="E1477" t="str">
        <f>_xlfn.XLOOKUP(B1477,Tableau13[ID_Antenne],Tableau13[Technologie],"Non répertoriées")</f>
        <v>Non répertoriées</v>
      </c>
      <c r="F1477" t="str">
        <f>_xlfn.XLOOKUP(B1477,Tableau13[ID_Antenne],Tableau13[Latitude],"Non répertoriées")</f>
        <v>Non répertoriées</v>
      </c>
      <c r="G1477" t="str">
        <f>_xlfn.XLOOKUP(B1477,Tableau13[ID_Antenne],Tableau13[Longitude],"Non répertoriées")</f>
        <v>Non répertoriées</v>
      </c>
      <c r="H1477" t="s">
        <v>10</v>
      </c>
    </row>
    <row r="1478" spans="1:8" x14ac:dyDescent="0.25">
      <c r="A1478" s="1">
        <v>45203.718055555553</v>
      </c>
      <c r="B1478" t="s">
        <v>692</v>
      </c>
      <c r="C1478" t="str">
        <f>_xlfn.XLOOKUP(B1478,Tableau13[ID_Antenne],Tableau13[Province_RDC],"Non répertoriées")</f>
        <v>Non répertoriées</v>
      </c>
      <c r="D1478">
        <v>62</v>
      </c>
      <c r="E1478" t="str">
        <f>_xlfn.XLOOKUP(B1478,Tableau13[ID_Antenne],Tableau13[Technologie],"Non répertoriées")</f>
        <v>Non répertoriées</v>
      </c>
      <c r="F1478" t="str">
        <f>_xlfn.XLOOKUP(B1478,Tableau13[ID_Antenne],Tableau13[Latitude],"Non répertoriées")</f>
        <v>Non répertoriées</v>
      </c>
      <c r="G1478" t="str">
        <f>_xlfn.XLOOKUP(B1478,Tableau13[ID_Antenne],Tableau13[Longitude],"Non répertoriées")</f>
        <v>Non répertoriées</v>
      </c>
      <c r="H1478" t="s">
        <v>5</v>
      </c>
    </row>
    <row r="1479" spans="1:8" x14ac:dyDescent="0.25">
      <c r="A1479" s="1">
        <v>45220.206944444442</v>
      </c>
      <c r="B1479" t="s">
        <v>736</v>
      </c>
      <c r="C1479" s="29" t="str">
        <f>_xlfn.XLOOKUP(B1479,Tableau13[ID_Antenne],Tableau13[Province_RDC],"Non répertoriées")</f>
        <v>Haut-Uele</v>
      </c>
      <c r="D1479">
        <v>102</v>
      </c>
      <c r="E1479" s="31" t="str">
        <f>_xlfn.XLOOKUP(B1479,Tableau13[ID_Antenne],Tableau13[Technologie],"Non répertoriées")</f>
        <v>5G</v>
      </c>
      <c r="F1479" s="3">
        <f>_xlfn.XLOOKUP(B1479,Tableau13[ID_Antenne],Tableau13[Latitude],"Non répertoriées")</f>
        <v>-7.8417870000000001</v>
      </c>
      <c r="G1479" s="32">
        <f>_xlfn.XLOOKUP(B1479,Tableau13[ID_Antenne],Tableau13[Longitude],"Non répertoriées")</f>
        <v>14.730712</v>
      </c>
      <c r="H1479" t="s">
        <v>10</v>
      </c>
    </row>
    <row r="1480" spans="1:8" x14ac:dyDescent="0.25">
      <c r="A1480" s="1">
        <v>45208.169444444437</v>
      </c>
      <c r="B1480" t="s">
        <v>48</v>
      </c>
      <c r="C1480" t="str">
        <f>_xlfn.XLOOKUP(B1480,Tableau13[ID_Antenne],Tableau13[Province_RDC],"Non répertoriées")</f>
        <v>Non répertoriées</v>
      </c>
      <c r="D1480">
        <v>75</v>
      </c>
      <c r="E1480" t="str">
        <f>_xlfn.XLOOKUP(B1480,Tableau13[ID_Antenne],Tableau13[Technologie],"Non répertoriées")</f>
        <v>Non répertoriées</v>
      </c>
      <c r="F1480" t="str">
        <f>_xlfn.XLOOKUP(B1480,Tableau13[ID_Antenne],Tableau13[Latitude],"Non répertoriées")</f>
        <v>Non répertoriées</v>
      </c>
      <c r="G1480" t="str">
        <f>_xlfn.XLOOKUP(B1480,Tableau13[ID_Antenne],Tableau13[Longitude],"Non répertoriées")</f>
        <v>Non répertoriées</v>
      </c>
      <c r="H1480" t="s">
        <v>8</v>
      </c>
    </row>
    <row r="1481" spans="1:8" x14ac:dyDescent="0.25">
      <c r="A1481" s="1">
        <v>45201.243055555547</v>
      </c>
      <c r="B1481" t="s">
        <v>40</v>
      </c>
      <c r="C1481" s="29" t="str">
        <f>_xlfn.XLOOKUP(B1481,Tableau13[ID_Antenne],Tableau13[Province_RDC],"Non répertoriées")</f>
        <v>Kasai</v>
      </c>
      <c r="D1481">
        <v>40</v>
      </c>
      <c r="E1481" s="31" t="str">
        <f>_xlfn.XLOOKUP(B1481,Tableau13[ID_Antenne],Tableau13[Technologie],"Non répertoriées")</f>
        <v>4G</v>
      </c>
      <c r="F1481" s="3">
        <f>_xlfn.XLOOKUP(B1481,Tableau13[ID_Antenne],Tableau13[Latitude],"Non répertoriées")</f>
        <v>-10.059846</v>
      </c>
      <c r="G1481" s="32">
        <f>_xlfn.XLOOKUP(B1481,Tableau13[ID_Antenne],Tableau13[Longitude],"Non répertoriées")</f>
        <v>14.375757999999999</v>
      </c>
      <c r="H1481" t="s">
        <v>10</v>
      </c>
    </row>
    <row r="1482" spans="1:8" x14ac:dyDescent="0.25">
      <c r="A1482" s="1">
        <v>45209.824305555558</v>
      </c>
      <c r="B1482" t="s">
        <v>142</v>
      </c>
      <c r="C1482" s="29" t="str">
        <f>_xlfn.XLOOKUP(B1482,Tableau13[ID_Antenne],Tableau13[Province_RDC],"Non répertoriées")</f>
        <v>Lualaba</v>
      </c>
      <c r="D1482">
        <v>110</v>
      </c>
      <c r="E1482" s="31" t="str">
        <f>_xlfn.XLOOKUP(B1482,Tableau13[ID_Antenne],Tableau13[Technologie],"Non répertoriées")</f>
        <v>4G</v>
      </c>
      <c r="F1482" s="3">
        <f>_xlfn.XLOOKUP(B1482,Tableau13[ID_Antenne],Tableau13[Latitude],"Non répertoriées")</f>
        <v>-9.7803979999999999</v>
      </c>
      <c r="G1482" s="32">
        <f>_xlfn.XLOOKUP(B1482,Tableau13[ID_Antenne],Tableau13[Longitude],"Non répertoriées")</f>
        <v>17.686595000000001</v>
      </c>
      <c r="H1482" t="s">
        <v>8</v>
      </c>
    </row>
    <row r="1483" spans="1:8" x14ac:dyDescent="0.25">
      <c r="A1483" s="1">
        <v>45226.790277777778</v>
      </c>
      <c r="B1483" t="s">
        <v>551</v>
      </c>
      <c r="C1483" t="str">
        <f>_xlfn.XLOOKUP(B1483,Tableau13[ID_Antenne],Tableau13[Province_RDC],"Non répertoriées")</f>
        <v>Non répertoriées</v>
      </c>
      <c r="D1483">
        <v>84</v>
      </c>
      <c r="E1483" t="str">
        <f>_xlfn.XLOOKUP(B1483,Tableau13[ID_Antenne],Tableau13[Technologie],"Non répertoriées")</f>
        <v>Non répertoriées</v>
      </c>
      <c r="F1483" t="str">
        <f>_xlfn.XLOOKUP(B1483,Tableau13[ID_Antenne],Tableau13[Latitude],"Non répertoriées")</f>
        <v>Non répertoriées</v>
      </c>
      <c r="G1483" t="str">
        <f>_xlfn.XLOOKUP(B1483,Tableau13[ID_Antenne],Tableau13[Longitude],"Non répertoriées")</f>
        <v>Non répertoriées</v>
      </c>
      <c r="H1483" t="s">
        <v>8</v>
      </c>
    </row>
    <row r="1484" spans="1:8" x14ac:dyDescent="0.25">
      <c r="A1484" s="1">
        <v>45209.588194444441</v>
      </c>
      <c r="B1484" t="s">
        <v>442</v>
      </c>
      <c r="C1484" t="str">
        <f>_xlfn.XLOOKUP(B1484,Tableau13[ID_Antenne],Tableau13[Province_RDC],"Non répertoriées")</f>
        <v>Non répertoriées</v>
      </c>
      <c r="D1484">
        <v>92</v>
      </c>
      <c r="E1484" t="str">
        <f>_xlfn.XLOOKUP(B1484,Tableau13[ID_Antenne],Tableau13[Technologie],"Non répertoriées")</f>
        <v>Non répertoriées</v>
      </c>
      <c r="F1484" t="str">
        <f>_xlfn.XLOOKUP(B1484,Tableau13[ID_Antenne],Tableau13[Latitude],"Non répertoriées")</f>
        <v>Non répertoriées</v>
      </c>
      <c r="G1484" t="str">
        <f>_xlfn.XLOOKUP(B1484,Tableau13[ID_Antenne],Tableau13[Longitude],"Non répertoriées")</f>
        <v>Non répertoriées</v>
      </c>
      <c r="H1484" t="s">
        <v>5</v>
      </c>
    </row>
    <row r="1485" spans="1:8" x14ac:dyDescent="0.25">
      <c r="A1485" s="1">
        <v>45214.929861111108</v>
      </c>
      <c r="B1485" t="s">
        <v>631</v>
      </c>
      <c r="C1485" t="str">
        <f>_xlfn.XLOOKUP(B1485,Tableau13[ID_Antenne],Tableau13[Province_RDC],"Non répertoriées")</f>
        <v>Non répertoriées</v>
      </c>
      <c r="D1485">
        <v>83</v>
      </c>
      <c r="E1485" t="str">
        <f>_xlfn.XLOOKUP(B1485,Tableau13[ID_Antenne],Tableau13[Technologie],"Non répertoriées")</f>
        <v>Non répertoriées</v>
      </c>
      <c r="F1485" t="str">
        <f>_xlfn.XLOOKUP(B1485,Tableau13[ID_Antenne],Tableau13[Latitude],"Non répertoriées")</f>
        <v>Non répertoriées</v>
      </c>
      <c r="G1485" t="str">
        <f>_xlfn.XLOOKUP(B1485,Tableau13[ID_Antenne],Tableau13[Longitude],"Non répertoriées")</f>
        <v>Non répertoriées</v>
      </c>
      <c r="H1485" t="s">
        <v>10</v>
      </c>
    </row>
    <row r="1486" spans="1:8" x14ac:dyDescent="0.25">
      <c r="A1486" s="1">
        <v>45222.511805555558</v>
      </c>
      <c r="B1486" t="s">
        <v>83</v>
      </c>
      <c r="C1486" s="29" t="str">
        <f>_xlfn.XLOOKUP(B1486,Tableau13[ID_Antenne],Tableau13[Province_RDC],"Non répertoriées")</f>
        <v>Nord-Ubangi</v>
      </c>
      <c r="D1486">
        <v>20</v>
      </c>
      <c r="E1486" s="31" t="str">
        <f>_xlfn.XLOOKUP(B1486,Tableau13[ID_Antenne],Tableau13[Technologie],"Non répertoriées")</f>
        <v>5G</v>
      </c>
      <c r="F1486" s="3">
        <f>_xlfn.XLOOKUP(B1486,Tableau13[ID_Antenne],Tableau13[Latitude],"Non répertoriées")</f>
        <v>0.94539899999999999</v>
      </c>
      <c r="G1486" s="32">
        <f>_xlfn.XLOOKUP(B1486,Tableau13[ID_Antenne],Tableau13[Longitude],"Non répertoriées")</f>
        <v>14.401821999999999</v>
      </c>
      <c r="H1486" t="s">
        <v>10</v>
      </c>
    </row>
    <row r="1487" spans="1:8" x14ac:dyDescent="0.25">
      <c r="A1487" s="1">
        <v>45216.729861111111</v>
      </c>
      <c r="B1487" t="s">
        <v>263</v>
      </c>
      <c r="C1487" t="str">
        <f>_xlfn.XLOOKUP(B1487,Tableau13[ID_Antenne],Tableau13[Province_RDC],"Non répertoriées")</f>
        <v>Non répertoriées</v>
      </c>
      <c r="D1487">
        <v>21</v>
      </c>
      <c r="E1487" t="str">
        <f>_xlfn.XLOOKUP(B1487,Tableau13[ID_Antenne],Tableau13[Technologie],"Non répertoriées")</f>
        <v>Non répertoriées</v>
      </c>
      <c r="F1487" t="str">
        <f>_xlfn.XLOOKUP(B1487,Tableau13[ID_Antenne],Tableau13[Latitude],"Non répertoriées")</f>
        <v>Non répertoriées</v>
      </c>
      <c r="G1487" t="str">
        <f>_xlfn.XLOOKUP(B1487,Tableau13[ID_Antenne],Tableau13[Longitude],"Non répertoriées")</f>
        <v>Non répertoriées</v>
      </c>
      <c r="H1487" t="s">
        <v>8</v>
      </c>
    </row>
    <row r="1488" spans="1:8" x14ac:dyDescent="0.25">
      <c r="A1488" s="1">
        <v>45214.109722222223</v>
      </c>
      <c r="B1488" t="s">
        <v>296</v>
      </c>
      <c r="C1488" t="str">
        <f>_xlfn.XLOOKUP(B1488,Tableau13[ID_Antenne],Tableau13[Province_RDC],"Non répertoriées")</f>
        <v>Non répertoriées</v>
      </c>
      <c r="D1488">
        <v>17</v>
      </c>
      <c r="E1488" t="str">
        <f>_xlfn.XLOOKUP(B1488,Tableau13[ID_Antenne],Tableau13[Technologie],"Non répertoriées")</f>
        <v>Non répertoriées</v>
      </c>
      <c r="F1488" t="str">
        <f>_xlfn.XLOOKUP(B1488,Tableau13[ID_Antenne],Tableau13[Latitude],"Non répertoriées")</f>
        <v>Non répertoriées</v>
      </c>
      <c r="G1488" t="str">
        <f>_xlfn.XLOOKUP(B1488,Tableau13[ID_Antenne],Tableau13[Longitude],"Non répertoriées")</f>
        <v>Non répertoriées</v>
      </c>
      <c r="H1488" t="s">
        <v>10</v>
      </c>
    </row>
    <row r="1489" spans="1:8" x14ac:dyDescent="0.25">
      <c r="A1489" s="1">
        <v>45201.574305555558</v>
      </c>
      <c r="B1489" t="s">
        <v>746</v>
      </c>
      <c r="C1489" s="29" t="str">
        <f>_xlfn.XLOOKUP(B1489,Tableau13[ID_Antenne],Tableau13[Province_RDC],"Non répertoriées")</f>
        <v>Kwilu</v>
      </c>
      <c r="D1489">
        <v>55</v>
      </c>
      <c r="E1489" s="31" t="str">
        <f>_xlfn.XLOOKUP(B1489,Tableau13[ID_Antenne],Tableau13[Technologie],"Non répertoriées")</f>
        <v>4G</v>
      </c>
      <c r="F1489" s="3">
        <f>_xlfn.XLOOKUP(B1489,Tableau13[ID_Antenne],Tableau13[Latitude],"Non répertoriées")</f>
        <v>2.413557</v>
      </c>
      <c r="G1489" s="32">
        <f>_xlfn.XLOOKUP(B1489,Tableau13[ID_Antenne],Tableau13[Longitude],"Non répertoriées")</f>
        <v>19.690681999999999</v>
      </c>
      <c r="H1489" t="s">
        <v>5</v>
      </c>
    </row>
    <row r="1490" spans="1:8" x14ac:dyDescent="0.25">
      <c r="A1490" s="1">
        <v>45210.802777777782</v>
      </c>
      <c r="B1490" t="s">
        <v>573</v>
      </c>
      <c r="C1490" s="29" t="str">
        <f>_xlfn.XLOOKUP(B1490,Tableau13[ID_Antenne],Tableau13[Province_RDC],"Non répertoriées")</f>
        <v>Haut-Lomami</v>
      </c>
      <c r="D1490">
        <v>52</v>
      </c>
      <c r="E1490" s="31" t="str">
        <f>_xlfn.XLOOKUP(B1490,Tableau13[ID_Antenne],Tableau13[Technologie],"Non répertoriées")</f>
        <v>3G</v>
      </c>
      <c r="F1490" s="3">
        <f>_xlfn.XLOOKUP(B1490,Tableau13[ID_Antenne],Tableau13[Latitude],"Non répertoriées")</f>
        <v>-11.89448</v>
      </c>
      <c r="G1490" s="32">
        <f>_xlfn.XLOOKUP(B1490,Tableau13[ID_Antenne],Tableau13[Longitude],"Non répertoriées")</f>
        <v>19.216214999999998</v>
      </c>
      <c r="H1490" t="s">
        <v>8</v>
      </c>
    </row>
    <row r="1491" spans="1:8" x14ac:dyDescent="0.25">
      <c r="A1491" s="1">
        <v>45200.093055555553</v>
      </c>
      <c r="B1491" t="s">
        <v>112</v>
      </c>
      <c r="C1491" t="str">
        <f>_xlfn.XLOOKUP(B1491,Tableau13[ID_Antenne],Tableau13[Province_RDC],"Non répertoriées")</f>
        <v>Non répertoriées</v>
      </c>
      <c r="D1491">
        <v>106</v>
      </c>
      <c r="E1491" t="str">
        <f>_xlfn.XLOOKUP(B1491,Tableau13[ID_Antenne],Tableau13[Technologie],"Non répertoriées")</f>
        <v>Non répertoriées</v>
      </c>
      <c r="F1491" t="str">
        <f>_xlfn.XLOOKUP(B1491,Tableau13[ID_Antenne],Tableau13[Latitude],"Non répertoriées")</f>
        <v>Non répertoriées</v>
      </c>
      <c r="G1491" t="str">
        <f>_xlfn.XLOOKUP(B1491,Tableau13[ID_Antenne],Tableau13[Longitude],"Non répertoriées")</f>
        <v>Non répertoriées</v>
      </c>
      <c r="H1491" t="s">
        <v>8</v>
      </c>
    </row>
    <row r="1492" spans="1:8" x14ac:dyDescent="0.25">
      <c r="A1492" s="1">
        <v>45230.911805555559</v>
      </c>
      <c r="B1492" t="s">
        <v>644</v>
      </c>
      <c r="C1492" s="29" t="str">
        <f>_xlfn.XLOOKUP(B1492,Tableau13[ID_Antenne],Tableau13[Province_RDC],"Non répertoriées")</f>
        <v>Sankuru</v>
      </c>
      <c r="D1492">
        <v>48</v>
      </c>
      <c r="E1492" s="31" t="str">
        <f>_xlfn.XLOOKUP(B1492,Tableau13[ID_Antenne],Tableau13[Technologie],"Non répertoriées")</f>
        <v>4G</v>
      </c>
      <c r="F1492" s="3">
        <f>_xlfn.XLOOKUP(B1492,Tableau13[ID_Antenne],Tableau13[Latitude],"Non répertoriées")</f>
        <v>-10.764815</v>
      </c>
      <c r="G1492" s="32">
        <f>_xlfn.XLOOKUP(B1492,Tableau13[ID_Antenne],Tableau13[Longitude],"Non répertoriées")</f>
        <v>14.602039</v>
      </c>
      <c r="H1492" t="s">
        <v>5</v>
      </c>
    </row>
    <row r="1493" spans="1:8" x14ac:dyDescent="0.25">
      <c r="A1493" s="1">
        <v>45227.775694444441</v>
      </c>
      <c r="B1493" t="s">
        <v>425</v>
      </c>
      <c r="C1493" t="str">
        <f>_xlfn.XLOOKUP(B1493,Tableau13[ID_Antenne],Tableau13[Province_RDC],"Non répertoriées")</f>
        <v>Non répertoriées</v>
      </c>
      <c r="D1493">
        <v>76</v>
      </c>
      <c r="E1493" t="str">
        <f>_xlfn.XLOOKUP(B1493,Tableau13[ID_Antenne],Tableau13[Technologie],"Non répertoriées")</f>
        <v>Non répertoriées</v>
      </c>
      <c r="F1493" t="str">
        <f>_xlfn.XLOOKUP(B1493,Tableau13[ID_Antenne],Tableau13[Latitude],"Non répertoriées")</f>
        <v>Non répertoriées</v>
      </c>
      <c r="G1493" t="str">
        <f>_xlfn.XLOOKUP(B1493,Tableau13[ID_Antenne],Tableau13[Longitude],"Non répertoriées")</f>
        <v>Non répertoriées</v>
      </c>
      <c r="H1493" t="s">
        <v>5</v>
      </c>
    </row>
    <row r="1494" spans="1:8" x14ac:dyDescent="0.25">
      <c r="A1494" s="1">
        <v>45230.033333333333</v>
      </c>
      <c r="B1494" t="s">
        <v>352</v>
      </c>
      <c r="C1494" t="str">
        <f>_xlfn.XLOOKUP(B1494,Tableau13[ID_Antenne],Tableau13[Province_RDC],"Non répertoriées")</f>
        <v>Non répertoriées</v>
      </c>
      <c r="D1494">
        <v>51</v>
      </c>
      <c r="E1494" t="str">
        <f>_xlfn.XLOOKUP(B1494,Tableau13[ID_Antenne],Tableau13[Technologie],"Non répertoriées")</f>
        <v>Non répertoriées</v>
      </c>
      <c r="F1494" t="str">
        <f>_xlfn.XLOOKUP(B1494,Tableau13[ID_Antenne],Tableau13[Latitude],"Non répertoriées")</f>
        <v>Non répertoriées</v>
      </c>
      <c r="G1494" t="str">
        <f>_xlfn.XLOOKUP(B1494,Tableau13[ID_Antenne],Tableau13[Longitude],"Non répertoriées")</f>
        <v>Non répertoriées</v>
      </c>
      <c r="H1494" t="s">
        <v>5</v>
      </c>
    </row>
    <row r="1495" spans="1:8" x14ac:dyDescent="0.25">
      <c r="A1495" s="1">
        <v>45221.35833333333</v>
      </c>
      <c r="B1495" t="s">
        <v>334</v>
      </c>
      <c r="C1495" s="29" t="str">
        <f>_xlfn.XLOOKUP(B1495,Tableau13[ID_Antenne],Tableau13[Province_RDC],"Non répertoriées")</f>
        <v>Ituri</v>
      </c>
      <c r="D1495">
        <v>101</v>
      </c>
      <c r="E1495" s="31" t="str">
        <f>_xlfn.XLOOKUP(B1495,Tableau13[ID_Antenne],Tableau13[Technologie],"Non répertoriées")</f>
        <v>5G</v>
      </c>
      <c r="F1495" s="3">
        <f>_xlfn.XLOOKUP(B1495,Tableau13[ID_Antenne],Tableau13[Latitude],"Non répertoriées")</f>
        <v>-0.34051900000000002</v>
      </c>
      <c r="G1495" s="32">
        <f>_xlfn.XLOOKUP(B1495,Tableau13[ID_Antenne],Tableau13[Longitude],"Non répertoriées")</f>
        <v>17.079799000000001</v>
      </c>
      <c r="H1495" t="s">
        <v>10</v>
      </c>
    </row>
    <row r="1496" spans="1:8" x14ac:dyDescent="0.25">
      <c r="A1496" s="1">
        <v>45201.229166666657</v>
      </c>
      <c r="B1496" t="s">
        <v>397</v>
      </c>
      <c r="C1496" t="str">
        <f>_xlfn.XLOOKUP(B1496,Tableau13[ID_Antenne],Tableau13[Province_RDC],"Non répertoriées")</f>
        <v>Non répertoriées</v>
      </c>
      <c r="D1496">
        <v>23</v>
      </c>
      <c r="E1496" t="str">
        <f>_xlfn.XLOOKUP(B1496,Tableau13[ID_Antenne],Tableau13[Technologie],"Non répertoriées")</f>
        <v>Non répertoriées</v>
      </c>
      <c r="F1496" t="str">
        <f>_xlfn.XLOOKUP(B1496,Tableau13[ID_Antenne],Tableau13[Latitude],"Non répertoriées")</f>
        <v>Non répertoriées</v>
      </c>
      <c r="G1496" t="str">
        <f>_xlfn.XLOOKUP(B1496,Tableau13[ID_Antenne],Tableau13[Longitude],"Non répertoriées")</f>
        <v>Non répertoriées</v>
      </c>
      <c r="H1496" t="s">
        <v>5</v>
      </c>
    </row>
    <row r="1497" spans="1:8" x14ac:dyDescent="0.25">
      <c r="A1497" s="1">
        <v>45216.852777777778</v>
      </c>
      <c r="B1497" t="s">
        <v>309</v>
      </c>
      <c r="C1497" s="29" t="str">
        <f>_xlfn.XLOOKUP(B1497,Tableau13[ID_Antenne],Tableau13[Province_RDC],"Non répertoriées")</f>
        <v>Tanganyika</v>
      </c>
      <c r="D1497">
        <v>30</v>
      </c>
      <c r="E1497" s="31" t="str">
        <f>_xlfn.XLOOKUP(B1497,Tableau13[ID_Antenne],Tableau13[Technologie],"Non répertoriées")</f>
        <v>4G</v>
      </c>
      <c r="F1497" s="3">
        <f>_xlfn.XLOOKUP(B1497,Tableau13[ID_Antenne],Tableau13[Latitude],"Non répertoriées")</f>
        <v>-12.229338</v>
      </c>
      <c r="G1497" s="32">
        <f>_xlfn.XLOOKUP(B1497,Tableau13[ID_Antenne],Tableau13[Longitude],"Non répertoriées")</f>
        <v>29.587834999999998</v>
      </c>
      <c r="H1497" t="s">
        <v>5</v>
      </c>
    </row>
    <row r="1498" spans="1:8" x14ac:dyDescent="0.25">
      <c r="A1498" s="1">
        <v>45229.34097222222</v>
      </c>
      <c r="B1498" t="s">
        <v>682</v>
      </c>
      <c r="C1498" t="str">
        <f>_xlfn.XLOOKUP(B1498,Tableau13[ID_Antenne],Tableau13[Province_RDC],"Non répertoriées")</f>
        <v>Non répertoriées</v>
      </c>
      <c r="D1498">
        <v>82</v>
      </c>
      <c r="E1498" t="str">
        <f>_xlfn.XLOOKUP(B1498,Tableau13[ID_Antenne],Tableau13[Technologie],"Non répertoriées")</f>
        <v>Non répertoriées</v>
      </c>
      <c r="F1498" t="str">
        <f>_xlfn.XLOOKUP(B1498,Tableau13[ID_Antenne],Tableau13[Latitude],"Non répertoriées")</f>
        <v>Non répertoriées</v>
      </c>
      <c r="G1498" t="str">
        <f>_xlfn.XLOOKUP(B1498,Tableau13[ID_Antenne],Tableau13[Longitude],"Non répertoriées")</f>
        <v>Non répertoriées</v>
      </c>
      <c r="H1498" t="s">
        <v>8</v>
      </c>
    </row>
    <row r="1499" spans="1:8" x14ac:dyDescent="0.25">
      <c r="A1499" s="1">
        <v>45218.569444444453</v>
      </c>
      <c r="B1499" t="s">
        <v>246</v>
      </c>
      <c r="C1499" t="str">
        <f>_xlfn.XLOOKUP(B1499,Tableau13[ID_Antenne],Tableau13[Province_RDC],"Non répertoriées")</f>
        <v>Non répertoriées</v>
      </c>
      <c r="D1499">
        <v>70</v>
      </c>
      <c r="E1499" t="str">
        <f>_xlfn.XLOOKUP(B1499,Tableau13[ID_Antenne],Tableau13[Technologie],"Non répertoriées")</f>
        <v>Non répertoriées</v>
      </c>
      <c r="F1499" t="str">
        <f>_xlfn.XLOOKUP(B1499,Tableau13[ID_Antenne],Tableau13[Latitude],"Non répertoriées")</f>
        <v>Non répertoriées</v>
      </c>
      <c r="G1499" t="str">
        <f>_xlfn.XLOOKUP(B1499,Tableau13[ID_Antenne],Tableau13[Longitude],"Non répertoriées")</f>
        <v>Non répertoriées</v>
      </c>
      <c r="H1499" t="s">
        <v>10</v>
      </c>
    </row>
    <row r="1500" spans="1:8" x14ac:dyDescent="0.25">
      <c r="A1500" s="1">
        <v>45226.628472222219</v>
      </c>
      <c r="B1500" t="s">
        <v>710</v>
      </c>
      <c r="C1500" s="29" t="str">
        <f>_xlfn.XLOOKUP(B1500,Tableau13[ID_Antenne],Tableau13[Province_RDC],"Non répertoriées")</f>
        <v>Equateur</v>
      </c>
      <c r="D1500">
        <v>56</v>
      </c>
      <c r="E1500" s="31" t="str">
        <f>_xlfn.XLOOKUP(B1500,Tableau13[ID_Antenne],Tableau13[Technologie],"Non répertoriées")</f>
        <v>3G</v>
      </c>
      <c r="F1500" s="3">
        <f>_xlfn.XLOOKUP(B1500,Tableau13[ID_Antenne],Tableau13[Latitude],"Non répertoriées")</f>
        <v>-6.7420359999999997</v>
      </c>
      <c r="G1500" s="32">
        <f>_xlfn.XLOOKUP(B1500,Tableau13[ID_Antenne],Tableau13[Longitude],"Non répertoriées")</f>
        <v>28.905578999999999</v>
      </c>
      <c r="H1500" t="s">
        <v>8</v>
      </c>
    </row>
    <row r="1501" spans="1:8" x14ac:dyDescent="0.25">
      <c r="A1501" s="1">
        <v>45215.476388888892</v>
      </c>
      <c r="B1501" t="s">
        <v>683</v>
      </c>
      <c r="C1501" s="29" t="str">
        <f>_xlfn.XLOOKUP(B1501,Tableau13[ID_Antenne],Tableau13[Province_RDC],"Non répertoriées")</f>
        <v>Maniema</v>
      </c>
      <c r="D1501">
        <v>69</v>
      </c>
      <c r="E1501" s="31" t="str">
        <f>_xlfn.XLOOKUP(B1501,Tableau13[ID_Antenne],Tableau13[Technologie],"Non répertoriées")</f>
        <v>4G</v>
      </c>
      <c r="F1501" s="3">
        <f>_xlfn.XLOOKUP(B1501,Tableau13[ID_Antenne],Tableau13[Latitude],"Non répertoriées")</f>
        <v>0.850665</v>
      </c>
      <c r="G1501" s="32">
        <f>_xlfn.XLOOKUP(B1501,Tableau13[ID_Antenne],Tableau13[Longitude],"Non répertoriées")</f>
        <v>19.446418000000001</v>
      </c>
      <c r="H1501" t="s">
        <v>8</v>
      </c>
    </row>
    <row r="1502" spans="1:8" x14ac:dyDescent="0.25">
      <c r="A1502" s="1">
        <v>45210.445833333331</v>
      </c>
      <c r="B1502" t="s">
        <v>725</v>
      </c>
      <c r="C1502" s="29" t="str">
        <f>_xlfn.XLOOKUP(B1502,Tableau13[ID_Antenne],Tableau13[Province_RDC],"Non répertoriées")</f>
        <v>Lualaba</v>
      </c>
      <c r="D1502">
        <v>10</v>
      </c>
      <c r="E1502" s="31" t="str">
        <f>_xlfn.XLOOKUP(B1502,Tableau13[ID_Antenne],Tableau13[Technologie],"Non répertoriées")</f>
        <v>4G</v>
      </c>
      <c r="F1502" s="3">
        <f>_xlfn.XLOOKUP(B1502,Tableau13[ID_Antenne],Tableau13[Latitude],"Non répertoriées")</f>
        <v>-1.7476179999999999</v>
      </c>
      <c r="G1502" s="32">
        <f>_xlfn.XLOOKUP(B1502,Tableau13[ID_Antenne],Tableau13[Longitude],"Non répertoriées")</f>
        <v>18.129401000000001</v>
      </c>
      <c r="H1502" t="s">
        <v>5</v>
      </c>
    </row>
    <row r="1503" spans="1:8" x14ac:dyDescent="0.25">
      <c r="A1503" s="1">
        <v>45203.222916666673</v>
      </c>
      <c r="B1503" t="s">
        <v>684</v>
      </c>
      <c r="C1503" s="29" t="str">
        <f>_xlfn.XLOOKUP(B1503,Tableau13[ID_Antenne],Tableau13[Province_RDC],"Non répertoriées")</f>
        <v>Bas-Uele</v>
      </c>
      <c r="D1503">
        <v>10</v>
      </c>
      <c r="E1503" s="31" t="str">
        <f>_xlfn.XLOOKUP(B1503,Tableau13[ID_Antenne],Tableau13[Technologie],"Non répertoriées")</f>
        <v>5G</v>
      </c>
      <c r="F1503" s="3">
        <f>_xlfn.XLOOKUP(B1503,Tableau13[ID_Antenne],Tableau13[Latitude],"Non répertoriées")</f>
        <v>-12.244119</v>
      </c>
      <c r="G1503" s="32">
        <f>_xlfn.XLOOKUP(B1503,Tableau13[ID_Antenne],Tableau13[Longitude],"Non répertoriées")</f>
        <v>28.279755999999999</v>
      </c>
      <c r="H1503" t="s">
        <v>10</v>
      </c>
    </row>
    <row r="1504" spans="1:8" x14ac:dyDescent="0.25">
      <c r="A1504" s="1">
        <v>45213.938194444447</v>
      </c>
      <c r="B1504" t="s">
        <v>538</v>
      </c>
      <c r="C1504" t="str">
        <f>_xlfn.XLOOKUP(B1504,Tableau13[ID_Antenne],Tableau13[Province_RDC],"Non répertoriées")</f>
        <v>Non répertoriées</v>
      </c>
      <c r="D1504">
        <v>9</v>
      </c>
      <c r="E1504" t="str">
        <f>_xlfn.XLOOKUP(B1504,Tableau13[ID_Antenne],Tableau13[Technologie],"Non répertoriées")</f>
        <v>Non répertoriées</v>
      </c>
      <c r="F1504" t="str">
        <f>_xlfn.XLOOKUP(B1504,Tableau13[ID_Antenne],Tableau13[Latitude],"Non répertoriées")</f>
        <v>Non répertoriées</v>
      </c>
      <c r="G1504" t="str">
        <f>_xlfn.XLOOKUP(B1504,Tableau13[ID_Antenne],Tableau13[Longitude],"Non répertoriées")</f>
        <v>Non répertoriées</v>
      </c>
      <c r="H1504" t="s">
        <v>5</v>
      </c>
    </row>
    <row r="1505" spans="1:8" x14ac:dyDescent="0.25">
      <c r="A1505" s="1">
        <v>45209.892361111109</v>
      </c>
      <c r="B1505" t="s">
        <v>268</v>
      </c>
      <c r="C1505" t="str">
        <f>_xlfn.XLOOKUP(B1505,Tableau13[ID_Antenne],Tableau13[Province_RDC],"Non répertoriées")</f>
        <v>Non répertoriées</v>
      </c>
      <c r="D1505">
        <v>22</v>
      </c>
      <c r="E1505" t="str">
        <f>_xlfn.XLOOKUP(B1505,Tableau13[ID_Antenne],Tableau13[Technologie],"Non répertoriées")</f>
        <v>Non répertoriées</v>
      </c>
      <c r="F1505" t="str">
        <f>_xlfn.XLOOKUP(B1505,Tableau13[ID_Antenne],Tableau13[Latitude],"Non répertoriées")</f>
        <v>Non répertoriées</v>
      </c>
      <c r="G1505" t="str">
        <f>_xlfn.XLOOKUP(B1505,Tableau13[ID_Antenne],Tableau13[Longitude],"Non répertoriées")</f>
        <v>Non répertoriées</v>
      </c>
      <c r="H1505" t="s">
        <v>8</v>
      </c>
    </row>
    <row r="1506" spans="1:8" x14ac:dyDescent="0.25">
      <c r="A1506" s="1">
        <v>45226.709722222222</v>
      </c>
      <c r="B1506" t="s">
        <v>702</v>
      </c>
      <c r="C1506" t="str">
        <f>_xlfn.XLOOKUP(B1506,Tableau13[ID_Antenne],Tableau13[Province_RDC],"Non répertoriées")</f>
        <v>Non répertoriées</v>
      </c>
      <c r="D1506">
        <v>96</v>
      </c>
      <c r="E1506" t="str">
        <f>_xlfn.XLOOKUP(B1506,Tableau13[ID_Antenne],Tableau13[Technologie],"Non répertoriées")</f>
        <v>Non répertoriées</v>
      </c>
      <c r="F1506" t="str">
        <f>_xlfn.XLOOKUP(B1506,Tableau13[ID_Antenne],Tableau13[Latitude],"Non répertoriées")</f>
        <v>Non répertoriées</v>
      </c>
      <c r="G1506" t="str">
        <f>_xlfn.XLOOKUP(B1506,Tableau13[ID_Antenne],Tableau13[Longitude],"Non répertoriées")</f>
        <v>Non répertoriées</v>
      </c>
      <c r="H1506" t="s">
        <v>10</v>
      </c>
    </row>
    <row r="1507" spans="1:8" x14ac:dyDescent="0.25">
      <c r="A1507" s="1">
        <v>45214.097222222219</v>
      </c>
      <c r="B1507" t="s">
        <v>420</v>
      </c>
      <c r="C1507" s="29" t="str">
        <f>_xlfn.XLOOKUP(B1507,Tableau13[ID_Antenne],Tableau13[Province_RDC],"Non répertoriées")</f>
        <v>Sud-Kivu</v>
      </c>
      <c r="D1507">
        <v>47</v>
      </c>
      <c r="E1507" s="31" t="str">
        <f>_xlfn.XLOOKUP(B1507,Tableau13[ID_Antenne],Tableau13[Technologie],"Non répertoriées")</f>
        <v>5G</v>
      </c>
      <c r="F1507" s="3">
        <f>_xlfn.XLOOKUP(B1507,Tableau13[ID_Antenne],Tableau13[Latitude],"Non répertoriées")</f>
        <v>2.4414509999999998</v>
      </c>
      <c r="G1507" s="32">
        <f>_xlfn.XLOOKUP(B1507,Tableau13[ID_Antenne],Tableau13[Longitude],"Non répertoriées")</f>
        <v>30.167489</v>
      </c>
      <c r="H1507" t="s">
        <v>8</v>
      </c>
    </row>
    <row r="1508" spans="1:8" x14ac:dyDescent="0.25">
      <c r="A1508" s="1">
        <v>45208.421527777777</v>
      </c>
      <c r="B1508" t="s">
        <v>249</v>
      </c>
      <c r="C1508" t="str">
        <f>_xlfn.XLOOKUP(B1508,Tableau13[ID_Antenne],Tableau13[Province_RDC],"Non répertoriées")</f>
        <v>Non répertoriées</v>
      </c>
      <c r="D1508">
        <v>107</v>
      </c>
      <c r="E1508" t="str">
        <f>_xlfn.XLOOKUP(B1508,Tableau13[ID_Antenne],Tableau13[Technologie],"Non répertoriées")</f>
        <v>Non répertoriées</v>
      </c>
      <c r="F1508" t="str">
        <f>_xlfn.XLOOKUP(B1508,Tableau13[ID_Antenne],Tableau13[Latitude],"Non répertoriées")</f>
        <v>Non répertoriées</v>
      </c>
      <c r="G1508" t="str">
        <f>_xlfn.XLOOKUP(B1508,Tableau13[ID_Antenne],Tableau13[Longitude],"Non répertoriées")</f>
        <v>Non répertoriées</v>
      </c>
      <c r="H1508" t="s">
        <v>8</v>
      </c>
    </row>
    <row r="1509" spans="1:8" x14ac:dyDescent="0.25">
      <c r="A1509" s="1">
        <v>45224.538194444453</v>
      </c>
      <c r="B1509" t="s">
        <v>543</v>
      </c>
      <c r="C1509" t="str">
        <f>_xlfn.XLOOKUP(B1509,Tableau13[ID_Antenne],Tableau13[Province_RDC],"Non répertoriées")</f>
        <v>Non répertoriées</v>
      </c>
      <c r="D1509">
        <v>65</v>
      </c>
      <c r="E1509" t="str">
        <f>_xlfn.XLOOKUP(B1509,Tableau13[ID_Antenne],Tableau13[Technologie],"Non répertoriées")</f>
        <v>Non répertoriées</v>
      </c>
      <c r="F1509" t="str">
        <f>_xlfn.XLOOKUP(B1509,Tableau13[ID_Antenne],Tableau13[Latitude],"Non répertoriées")</f>
        <v>Non répertoriées</v>
      </c>
      <c r="G1509" t="str">
        <f>_xlfn.XLOOKUP(B1509,Tableau13[ID_Antenne],Tableau13[Longitude],"Non répertoriées")</f>
        <v>Non répertoriées</v>
      </c>
      <c r="H1509" t="s">
        <v>10</v>
      </c>
    </row>
    <row r="1510" spans="1:8" x14ac:dyDescent="0.25">
      <c r="A1510" s="1">
        <v>45216.029166666667</v>
      </c>
      <c r="B1510" t="s">
        <v>17</v>
      </c>
      <c r="C1510" s="29" t="str">
        <f>_xlfn.XLOOKUP(B1510,Tableau13[ID_Antenne],Tableau13[Province_RDC],"Non répertoriées")</f>
        <v>Kwango</v>
      </c>
      <c r="D1510">
        <v>71</v>
      </c>
      <c r="E1510" s="31" t="str">
        <f>_xlfn.XLOOKUP(B1510,Tableau13[ID_Antenne],Tableau13[Technologie],"Non répertoriées")</f>
        <v>5G</v>
      </c>
      <c r="F1510" s="3">
        <f>_xlfn.XLOOKUP(B1510,Tableau13[ID_Antenne],Tableau13[Latitude],"Non répertoriées")</f>
        <v>4.8319039999999998</v>
      </c>
      <c r="G1510" s="32">
        <f>_xlfn.XLOOKUP(B1510,Tableau13[ID_Antenne],Tableau13[Longitude],"Non répertoriées")</f>
        <v>20.733468999999999</v>
      </c>
      <c r="H1510" t="s">
        <v>5</v>
      </c>
    </row>
    <row r="1511" spans="1:8" x14ac:dyDescent="0.25">
      <c r="A1511" s="1">
        <v>45227.728472222218</v>
      </c>
      <c r="B1511" t="s">
        <v>601</v>
      </c>
      <c r="C1511" t="str">
        <f>_xlfn.XLOOKUP(B1511,Tableau13[ID_Antenne],Tableau13[Province_RDC],"Non répertoriées")</f>
        <v>Non répertoriées</v>
      </c>
      <c r="D1511">
        <v>63</v>
      </c>
      <c r="E1511" t="str">
        <f>_xlfn.XLOOKUP(B1511,Tableau13[ID_Antenne],Tableau13[Technologie],"Non répertoriées")</f>
        <v>Non répertoriées</v>
      </c>
      <c r="F1511" t="str">
        <f>_xlfn.XLOOKUP(B1511,Tableau13[ID_Antenne],Tableau13[Latitude],"Non répertoriées")</f>
        <v>Non répertoriées</v>
      </c>
      <c r="G1511" t="str">
        <f>_xlfn.XLOOKUP(B1511,Tableau13[ID_Antenne],Tableau13[Longitude],"Non répertoriées")</f>
        <v>Non répertoriées</v>
      </c>
      <c r="H1511" t="s">
        <v>5</v>
      </c>
    </row>
    <row r="1512" spans="1:8" x14ac:dyDescent="0.25">
      <c r="A1512" s="1">
        <v>45213.05</v>
      </c>
      <c r="B1512" t="s">
        <v>268</v>
      </c>
      <c r="C1512" t="str">
        <f>_xlfn.XLOOKUP(B1512,Tableau13[ID_Antenne],Tableau13[Province_RDC],"Non répertoriées")</f>
        <v>Non répertoriées</v>
      </c>
      <c r="D1512">
        <v>24</v>
      </c>
      <c r="E1512" t="str">
        <f>_xlfn.XLOOKUP(B1512,Tableau13[ID_Antenne],Tableau13[Technologie],"Non répertoriées")</f>
        <v>Non répertoriées</v>
      </c>
      <c r="F1512" t="str">
        <f>_xlfn.XLOOKUP(B1512,Tableau13[ID_Antenne],Tableau13[Latitude],"Non répertoriées")</f>
        <v>Non répertoriées</v>
      </c>
      <c r="G1512" t="str">
        <f>_xlfn.XLOOKUP(B1512,Tableau13[ID_Antenne],Tableau13[Longitude],"Non répertoriées")</f>
        <v>Non répertoriées</v>
      </c>
      <c r="H1512" t="s">
        <v>8</v>
      </c>
    </row>
    <row r="1513" spans="1:8" x14ac:dyDescent="0.25">
      <c r="A1513" s="1">
        <v>45216.48541666667</v>
      </c>
      <c r="B1513" t="s">
        <v>349</v>
      </c>
      <c r="C1513" t="str">
        <f>_xlfn.XLOOKUP(B1513,Tableau13[ID_Antenne],Tableau13[Province_RDC],"Non répertoriées")</f>
        <v>Non répertoriées</v>
      </c>
      <c r="D1513">
        <v>82</v>
      </c>
      <c r="E1513" t="str">
        <f>_xlfn.XLOOKUP(B1513,Tableau13[ID_Antenne],Tableau13[Technologie],"Non répertoriées")</f>
        <v>Non répertoriées</v>
      </c>
      <c r="F1513" t="str">
        <f>_xlfn.XLOOKUP(B1513,Tableau13[ID_Antenne],Tableau13[Latitude],"Non répertoriées")</f>
        <v>Non répertoriées</v>
      </c>
      <c r="G1513" t="str">
        <f>_xlfn.XLOOKUP(B1513,Tableau13[ID_Antenne],Tableau13[Longitude],"Non répertoriées")</f>
        <v>Non répertoriées</v>
      </c>
      <c r="H1513" t="s">
        <v>5</v>
      </c>
    </row>
    <row r="1514" spans="1:8" x14ac:dyDescent="0.25">
      <c r="A1514" s="1">
        <v>45224.652777777781</v>
      </c>
      <c r="B1514" t="s">
        <v>689</v>
      </c>
      <c r="C1514" s="29" t="str">
        <f>_xlfn.XLOOKUP(B1514,Tableau13[ID_Antenne],Tableau13[Province_RDC],"Non répertoriées")</f>
        <v>Tshopo</v>
      </c>
      <c r="D1514">
        <v>119</v>
      </c>
      <c r="E1514" s="31" t="str">
        <f>_xlfn.XLOOKUP(B1514,Tableau13[ID_Antenne],Tableau13[Technologie],"Non répertoriées")</f>
        <v>4G</v>
      </c>
      <c r="F1514" s="3">
        <f>_xlfn.XLOOKUP(B1514,Tableau13[ID_Antenne],Tableau13[Latitude],"Non répertoriées")</f>
        <v>1.472051</v>
      </c>
      <c r="G1514" s="32">
        <f>_xlfn.XLOOKUP(B1514,Tableau13[ID_Antenne],Tableau13[Longitude],"Non répertoriées")</f>
        <v>17.36289</v>
      </c>
      <c r="H1514" t="s">
        <v>10</v>
      </c>
    </row>
    <row r="1515" spans="1:8" x14ac:dyDescent="0.25">
      <c r="A1515" s="1">
        <v>45214.050694444442</v>
      </c>
      <c r="B1515" t="s">
        <v>538</v>
      </c>
      <c r="C1515" t="str">
        <f>_xlfn.XLOOKUP(B1515,Tableau13[ID_Antenne],Tableau13[Province_RDC],"Non répertoriées")</f>
        <v>Non répertoriées</v>
      </c>
      <c r="D1515">
        <v>70</v>
      </c>
      <c r="E1515" t="str">
        <f>_xlfn.XLOOKUP(B1515,Tableau13[ID_Antenne],Tableau13[Technologie],"Non répertoriées")</f>
        <v>Non répertoriées</v>
      </c>
      <c r="F1515" t="str">
        <f>_xlfn.XLOOKUP(B1515,Tableau13[ID_Antenne],Tableau13[Latitude],"Non répertoriées")</f>
        <v>Non répertoriées</v>
      </c>
      <c r="G1515" t="str">
        <f>_xlfn.XLOOKUP(B1515,Tableau13[ID_Antenne],Tableau13[Longitude],"Non répertoriées")</f>
        <v>Non répertoriées</v>
      </c>
      <c r="H1515" t="s">
        <v>10</v>
      </c>
    </row>
    <row r="1516" spans="1:8" x14ac:dyDescent="0.25">
      <c r="A1516" s="1">
        <v>45208.713888888888</v>
      </c>
      <c r="B1516" t="s">
        <v>17</v>
      </c>
      <c r="C1516" s="29" t="str">
        <f>_xlfn.XLOOKUP(B1516,Tableau13[ID_Antenne],Tableau13[Province_RDC],"Non répertoriées")</f>
        <v>Kwango</v>
      </c>
      <c r="D1516">
        <v>22</v>
      </c>
      <c r="E1516" s="31" t="str">
        <f>_xlfn.XLOOKUP(B1516,Tableau13[ID_Antenne],Tableau13[Technologie],"Non répertoriées")</f>
        <v>5G</v>
      </c>
      <c r="F1516" s="3">
        <f>_xlfn.XLOOKUP(B1516,Tableau13[ID_Antenne],Tableau13[Latitude],"Non répertoriées")</f>
        <v>4.8319039999999998</v>
      </c>
      <c r="G1516" s="32">
        <f>_xlfn.XLOOKUP(B1516,Tableau13[ID_Antenne],Tableau13[Longitude],"Non répertoriées")</f>
        <v>20.733468999999999</v>
      </c>
      <c r="H1516" t="s">
        <v>5</v>
      </c>
    </row>
    <row r="1517" spans="1:8" x14ac:dyDescent="0.25">
      <c r="A1517" s="1">
        <v>45229.394444444442</v>
      </c>
      <c r="B1517" t="s">
        <v>112</v>
      </c>
      <c r="C1517" t="str">
        <f>_xlfn.XLOOKUP(B1517,Tableau13[ID_Antenne],Tableau13[Province_RDC],"Non répertoriées")</f>
        <v>Non répertoriées</v>
      </c>
      <c r="D1517">
        <v>46</v>
      </c>
      <c r="E1517" t="str">
        <f>_xlfn.XLOOKUP(B1517,Tableau13[ID_Antenne],Tableau13[Technologie],"Non répertoriées")</f>
        <v>Non répertoriées</v>
      </c>
      <c r="F1517" t="str">
        <f>_xlfn.XLOOKUP(B1517,Tableau13[ID_Antenne],Tableau13[Latitude],"Non répertoriées")</f>
        <v>Non répertoriées</v>
      </c>
      <c r="G1517" t="str">
        <f>_xlfn.XLOOKUP(B1517,Tableau13[ID_Antenne],Tableau13[Longitude],"Non répertoriées")</f>
        <v>Non répertoriées</v>
      </c>
      <c r="H1517" t="s">
        <v>5</v>
      </c>
    </row>
    <row r="1518" spans="1:8" x14ac:dyDescent="0.25">
      <c r="A1518" s="1">
        <v>45228.938194444447</v>
      </c>
      <c r="B1518" t="s">
        <v>689</v>
      </c>
      <c r="C1518" s="29" t="str">
        <f>_xlfn.XLOOKUP(B1518,Tableau13[ID_Antenne],Tableau13[Province_RDC],"Non répertoriées")</f>
        <v>Tshopo</v>
      </c>
      <c r="D1518">
        <v>83</v>
      </c>
      <c r="E1518" s="31" t="str">
        <f>_xlfn.XLOOKUP(B1518,Tableau13[ID_Antenne],Tableau13[Technologie],"Non répertoriées")</f>
        <v>4G</v>
      </c>
      <c r="F1518" s="3">
        <f>_xlfn.XLOOKUP(B1518,Tableau13[ID_Antenne],Tableau13[Latitude],"Non répertoriées")</f>
        <v>1.472051</v>
      </c>
      <c r="G1518" s="32">
        <f>_xlfn.XLOOKUP(B1518,Tableau13[ID_Antenne],Tableau13[Longitude],"Non répertoriées")</f>
        <v>17.36289</v>
      </c>
      <c r="H1518" t="s">
        <v>8</v>
      </c>
    </row>
    <row r="1519" spans="1:8" x14ac:dyDescent="0.25">
      <c r="A1519" s="1">
        <v>45203.027777777781</v>
      </c>
      <c r="B1519" t="s">
        <v>695</v>
      </c>
      <c r="C1519" t="str">
        <f>_xlfn.XLOOKUP(B1519,Tableau13[ID_Antenne],Tableau13[Province_RDC],"Non répertoriées")</f>
        <v>Non répertoriées</v>
      </c>
      <c r="D1519">
        <v>45</v>
      </c>
      <c r="E1519" t="str">
        <f>_xlfn.XLOOKUP(B1519,Tableau13[ID_Antenne],Tableau13[Technologie],"Non répertoriées")</f>
        <v>Non répertoriées</v>
      </c>
      <c r="F1519" t="str">
        <f>_xlfn.XLOOKUP(B1519,Tableau13[ID_Antenne],Tableau13[Latitude],"Non répertoriées")</f>
        <v>Non répertoriées</v>
      </c>
      <c r="G1519" t="str">
        <f>_xlfn.XLOOKUP(B1519,Tableau13[ID_Antenne],Tableau13[Longitude],"Non répertoriées")</f>
        <v>Non répertoriées</v>
      </c>
      <c r="H1519" t="s">
        <v>10</v>
      </c>
    </row>
    <row r="1520" spans="1:8" x14ac:dyDescent="0.25">
      <c r="A1520" s="1">
        <v>45219.322916666657</v>
      </c>
      <c r="B1520" t="s">
        <v>214</v>
      </c>
      <c r="C1520" t="str">
        <f>_xlfn.XLOOKUP(B1520,Tableau13[ID_Antenne],Tableau13[Province_RDC],"Non répertoriées")</f>
        <v>Non répertoriées</v>
      </c>
      <c r="D1520">
        <v>25</v>
      </c>
      <c r="E1520" t="str">
        <f>_xlfn.XLOOKUP(B1520,Tableau13[ID_Antenne],Tableau13[Technologie],"Non répertoriées")</f>
        <v>Non répertoriées</v>
      </c>
      <c r="F1520" t="str">
        <f>_xlfn.XLOOKUP(B1520,Tableau13[ID_Antenne],Tableau13[Latitude],"Non répertoriées")</f>
        <v>Non répertoriées</v>
      </c>
      <c r="G1520" t="str">
        <f>_xlfn.XLOOKUP(B1520,Tableau13[ID_Antenne],Tableau13[Longitude],"Non répertoriées")</f>
        <v>Non répertoriées</v>
      </c>
      <c r="H1520" t="s">
        <v>5</v>
      </c>
    </row>
    <row r="1521" spans="1:8" x14ac:dyDescent="0.25">
      <c r="A1521" s="1">
        <v>45205.399305555547</v>
      </c>
      <c r="B1521" t="s">
        <v>701</v>
      </c>
      <c r="C1521" s="29" t="str">
        <f>_xlfn.XLOOKUP(B1521,Tableau13[ID_Antenne],Tableau13[Province_RDC],"Non répertoriées")</f>
        <v>Haut-Katanga</v>
      </c>
      <c r="D1521">
        <v>55</v>
      </c>
      <c r="E1521" s="31" t="str">
        <f>_xlfn.XLOOKUP(B1521,Tableau13[ID_Antenne],Tableau13[Technologie],"Non répertoriées")</f>
        <v>3G</v>
      </c>
      <c r="F1521" s="3">
        <f>_xlfn.XLOOKUP(B1521,Tableau13[ID_Antenne],Tableau13[Latitude],"Non répertoriées")</f>
        <v>-12.776386</v>
      </c>
      <c r="G1521" s="32">
        <f>_xlfn.XLOOKUP(B1521,Tableau13[ID_Antenne],Tableau13[Longitude],"Non répertoriées")</f>
        <v>14.157596</v>
      </c>
      <c r="H1521" t="s">
        <v>5</v>
      </c>
    </row>
    <row r="1522" spans="1:8" x14ac:dyDescent="0.25">
      <c r="A1522" s="1">
        <v>45200.726388888892</v>
      </c>
      <c r="B1522" t="s">
        <v>224</v>
      </c>
      <c r="C1522" s="29" t="str">
        <f>_xlfn.XLOOKUP(B1522,Tableau13[ID_Antenne],Tableau13[Province_RDC],"Non répertoriées")</f>
        <v>Kongo-Central</v>
      </c>
      <c r="D1522">
        <v>83</v>
      </c>
      <c r="E1522" s="31" t="str">
        <f>_xlfn.XLOOKUP(B1522,Tableau13[ID_Antenne],Tableau13[Technologie],"Non répertoriées")</f>
        <v>4G</v>
      </c>
      <c r="F1522" s="3">
        <f>_xlfn.XLOOKUP(B1522,Tableau13[ID_Antenne],Tableau13[Latitude],"Non répertoriées")</f>
        <v>2.975352</v>
      </c>
      <c r="G1522" s="32">
        <f>_xlfn.XLOOKUP(B1522,Tableau13[ID_Antenne],Tableau13[Longitude],"Non répertoriées")</f>
        <v>22.535886000000001</v>
      </c>
      <c r="H1522" t="s">
        <v>5</v>
      </c>
    </row>
    <row r="1523" spans="1:8" x14ac:dyDescent="0.25">
      <c r="A1523" s="1">
        <v>45202.328472222223</v>
      </c>
      <c r="B1523" t="s">
        <v>467</v>
      </c>
      <c r="C1523" t="str">
        <f>_xlfn.XLOOKUP(B1523,Tableau13[ID_Antenne],Tableau13[Province_RDC],"Non répertoriées")</f>
        <v>Non répertoriées</v>
      </c>
      <c r="D1523">
        <v>99</v>
      </c>
      <c r="E1523" t="str">
        <f>_xlfn.XLOOKUP(B1523,Tableau13[ID_Antenne],Tableau13[Technologie],"Non répertoriées")</f>
        <v>Non répertoriées</v>
      </c>
      <c r="F1523" t="str">
        <f>_xlfn.XLOOKUP(B1523,Tableau13[ID_Antenne],Tableau13[Latitude],"Non répertoriées")</f>
        <v>Non répertoriées</v>
      </c>
      <c r="G1523" t="str">
        <f>_xlfn.XLOOKUP(B1523,Tableau13[ID_Antenne],Tableau13[Longitude],"Non répertoriées")</f>
        <v>Non répertoriées</v>
      </c>
      <c r="H1523" t="s">
        <v>8</v>
      </c>
    </row>
    <row r="1524" spans="1:8" x14ac:dyDescent="0.25">
      <c r="A1524" s="1">
        <v>45229.145138888889</v>
      </c>
      <c r="B1524" t="s">
        <v>374</v>
      </c>
      <c r="C1524" t="str">
        <f>_xlfn.XLOOKUP(B1524,Tableau13[ID_Antenne],Tableau13[Province_RDC],"Non répertoriées")</f>
        <v>Non répertoriées</v>
      </c>
      <c r="D1524">
        <v>112</v>
      </c>
      <c r="E1524" t="str">
        <f>_xlfn.XLOOKUP(B1524,Tableau13[ID_Antenne],Tableau13[Technologie],"Non répertoriées")</f>
        <v>Non répertoriées</v>
      </c>
      <c r="F1524" t="str">
        <f>_xlfn.XLOOKUP(B1524,Tableau13[ID_Antenne],Tableau13[Latitude],"Non répertoriées")</f>
        <v>Non répertoriées</v>
      </c>
      <c r="G1524" t="str">
        <f>_xlfn.XLOOKUP(B1524,Tableau13[ID_Antenne],Tableau13[Longitude],"Non répertoriées")</f>
        <v>Non répertoriées</v>
      </c>
      <c r="H1524" t="s">
        <v>10</v>
      </c>
    </row>
    <row r="1525" spans="1:8" x14ac:dyDescent="0.25">
      <c r="A1525" s="1">
        <v>45230.15347222222</v>
      </c>
      <c r="B1525" t="s">
        <v>180</v>
      </c>
      <c r="C1525" s="29" t="str">
        <f>_xlfn.XLOOKUP(B1525,Tableau13[ID_Antenne],Tableau13[Province_RDC],"Non répertoriées")</f>
        <v>Mai-Ndombe</v>
      </c>
      <c r="D1525">
        <v>43</v>
      </c>
      <c r="E1525" s="31" t="str">
        <f>_xlfn.XLOOKUP(B1525,Tableau13[ID_Antenne],Tableau13[Technologie],"Non répertoriées")</f>
        <v>4G</v>
      </c>
      <c r="F1525" s="3">
        <f>_xlfn.XLOOKUP(B1525,Tableau13[ID_Antenne],Tableau13[Latitude],"Non répertoriées")</f>
        <v>-10.442425</v>
      </c>
      <c r="G1525" s="32">
        <f>_xlfn.XLOOKUP(B1525,Tableau13[ID_Antenne],Tableau13[Longitude],"Non répertoriées")</f>
        <v>23.243632000000002</v>
      </c>
      <c r="H1525" t="s">
        <v>8</v>
      </c>
    </row>
    <row r="1526" spans="1:8" x14ac:dyDescent="0.25">
      <c r="A1526" t="s">
        <v>747</v>
      </c>
      <c r="B1526" t="s">
        <v>289</v>
      </c>
      <c r="C1526" s="29" t="str">
        <f>_xlfn.XLOOKUP(B1526,Tableau13[ID_Antenne],Tableau13[Province_RDC],"Non répertoriées")</f>
        <v>Maniema</v>
      </c>
      <c r="D1526">
        <v>80</v>
      </c>
      <c r="E1526" s="31" t="str">
        <f>_xlfn.XLOOKUP(B1526,Tableau13[ID_Antenne],Tableau13[Technologie],"Non répertoriées")</f>
        <v>5G</v>
      </c>
      <c r="F1526" s="3">
        <f>_xlfn.XLOOKUP(B1526,Tableau13[ID_Antenne],Tableau13[Latitude],"Non répertoriées")</f>
        <v>-8.4824669999999998</v>
      </c>
      <c r="G1526" s="32">
        <f>_xlfn.XLOOKUP(B1526,Tableau13[ID_Antenne],Tableau13[Longitude],"Non répertoriées")</f>
        <v>21.897777999999999</v>
      </c>
      <c r="H1526" t="s">
        <v>10</v>
      </c>
    </row>
    <row r="1527" spans="1:8" x14ac:dyDescent="0.25">
      <c r="A1527" s="1">
        <v>45229.929166666669</v>
      </c>
      <c r="B1527" t="s">
        <v>748</v>
      </c>
      <c r="C1527" t="str">
        <f>_xlfn.XLOOKUP(B1527,Tableau13[ID_Antenne],Tableau13[Province_RDC],"Non répertoriées")</f>
        <v>Non répertoriées</v>
      </c>
      <c r="D1527">
        <v>48</v>
      </c>
      <c r="E1527" t="str">
        <f>_xlfn.XLOOKUP(B1527,Tableau13[ID_Antenne],Tableau13[Technologie],"Non répertoriées")</f>
        <v>Non répertoriées</v>
      </c>
      <c r="F1527" t="str">
        <f>_xlfn.XLOOKUP(B1527,Tableau13[ID_Antenne],Tableau13[Latitude],"Non répertoriées")</f>
        <v>Non répertoriées</v>
      </c>
      <c r="G1527" t="str">
        <f>_xlfn.XLOOKUP(B1527,Tableau13[ID_Antenne],Tableau13[Longitude],"Non répertoriées")</f>
        <v>Non répertoriées</v>
      </c>
      <c r="H1527" t="s">
        <v>10</v>
      </c>
    </row>
    <row r="1528" spans="1:8" x14ac:dyDescent="0.25">
      <c r="A1528" s="1">
        <v>45216.928472222222</v>
      </c>
      <c r="B1528" t="s">
        <v>224</v>
      </c>
      <c r="C1528" s="29" t="str">
        <f>_xlfn.XLOOKUP(B1528,Tableau13[ID_Antenne],Tableau13[Province_RDC],"Non répertoriées")</f>
        <v>Kongo-Central</v>
      </c>
      <c r="D1528">
        <v>69</v>
      </c>
      <c r="E1528" s="31" t="str">
        <f>_xlfn.XLOOKUP(B1528,Tableau13[ID_Antenne],Tableau13[Technologie],"Non répertoriées")</f>
        <v>4G</v>
      </c>
      <c r="F1528" s="3">
        <f>_xlfn.XLOOKUP(B1528,Tableau13[ID_Antenne],Tableau13[Latitude],"Non répertoriées")</f>
        <v>2.975352</v>
      </c>
      <c r="G1528" s="32">
        <f>_xlfn.XLOOKUP(B1528,Tableau13[ID_Antenne],Tableau13[Longitude],"Non répertoriées")</f>
        <v>22.535886000000001</v>
      </c>
      <c r="H1528" t="s">
        <v>8</v>
      </c>
    </row>
    <row r="1529" spans="1:8" x14ac:dyDescent="0.25">
      <c r="A1529" s="1">
        <v>45213.645833333343</v>
      </c>
      <c r="B1529" t="s">
        <v>368</v>
      </c>
      <c r="C1529" s="29" t="str">
        <f>_xlfn.XLOOKUP(B1529,Tableau13[ID_Antenne],Tableau13[Province_RDC],"Non répertoriées")</f>
        <v>Sud-Ubangi</v>
      </c>
      <c r="D1529">
        <v>111</v>
      </c>
      <c r="E1529" s="31" t="str">
        <f>_xlfn.XLOOKUP(B1529,Tableau13[ID_Antenne],Tableau13[Technologie],"Non répertoriées")</f>
        <v>3G</v>
      </c>
      <c r="F1529" s="3">
        <f>_xlfn.XLOOKUP(B1529,Tableau13[ID_Antenne],Tableau13[Latitude],"Non répertoriées")</f>
        <v>-8.0864899999999995</v>
      </c>
      <c r="G1529" s="32">
        <f>_xlfn.XLOOKUP(B1529,Tableau13[ID_Antenne],Tableau13[Longitude],"Non répertoriées")</f>
        <v>14.555277</v>
      </c>
      <c r="H1529" t="s">
        <v>5</v>
      </c>
    </row>
    <row r="1530" spans="1:8" x14ac:dyDescent="0.25">
      <c r="A1530" s="1">
        <v>45207.607638888891</v>
      </c>
      <c r="B1530" t="s">
        <v>644</v>
      </c>
      <c r="C1530" s="29" t="str">
        <f>_xlfn.XLOOKUP(B1530,Tableau13[ID_Antenne],Tableau13[Province_RDC],"Non répertoriées")</f>
        <v>Sankuru</v>
      </c>
      <c r="D1530">
        <v>70</v>
      </c>
      <c r="E1530" s="31" t="str">
        <f>_xlfn.XLOOKUP(B1530,Tableau13[ID_Antenne],Tableau13[Technologie],"Non répertoriées")</f>
        <v>4G</v>
      </c>
      <c r="F1530" s="3">
        <f>_xlfn.XLOOKUP(B1530,Tableau13[ID_Antenne],Tableau13[Latitude],"Non répertoriées")</f>
        <v>-10.764815</v>
      </c>
      <c r="G1530" s="32">
        <f>_xlfn.XLOOKUP(B1530,Tableau13[ID_Antenne],Tableau13[Longitude],"Non répertoriées")</f>
        <v>14.602039</v>
      </c>
      <c r="H1530" t="s">
        <v>8</v>
      </c>
    </row>
    <row r="1531" spans="1:8" x14ac:dyDescent="0.25">
      <c r="A1531" s="1">
        <v>45204.508333333331</v>
      </c>
      <c r="B1531" t="s">
        <v>749</v>
      </c>
      <c r="C1531" t="str">
        <f>_xlfn.XLOOKUP(B1531,Tableau13[ID_Antenne],Tableau13[Province_RDC],"Non répertoriées")</f>
        <v>Non répertoriées</v>
      </c>
      <c r="D1531">
        <v>73</v>
      </c>
      <c r="E1531" t="str">
        <f>_xlfn.XLOOKUP(B1531,Tableau13[ID_Antenne],Tableau13[Technologie],"Non répertoriées")</f>
        <v>Non répertoriées</v>
      </c>
      <c r="F1531" t="str">
        <f>_xlfn.XLOOKUP(B1531,Tableau13[ID_Antenne],Tableau13[Latitude],"Non répertoriées")</f>
        <v>Non répertoriées</v>
      </c>
      <c r="G1531" t="str">
        <f>_xlfn.XLOOKUP(B1531,Tableau13[ID_Antenne],Tableau13[Longitude],"Non répertoriées")</f>
        <v>Non répertoriées</v>
      </c>
      <c r="H1531" t="s">
        <v>5</v>
      </c>
    </row>
    <row r="1532" spans="1:8" x14ac:dyDescent="0.25">
      <c r="A1532" s="1">
        <v>45229.813888888893</v>
      </c>
      <c r="B1532" t="s">
        <v>499</v>
      </c>
      <c r="C1532" t="str">
        <f>_xlfn.XLOOKUP(B1532,Tableau13[ID_Antenne],Tableau13[Province_RDC],"Non répertoriées")</f>
        <v>Non répertoriées</v>
      </c>
      <c r="D1532">
        <v>67</v>
      </c>
      <c r="E1532" t="str">
        <f>_xlfn.XLOOKUP(B1532,Tableau13[ID_Antenne],Tableau13[Technologie],"Non répertoriées")</f>
        <v>Non répertoriées</v>
      </c>
      <c r="F1532" t="str">
        <f>_xlfn.XLOOKUP(B1532,Tableau13[ID_Antenne],Tableau13[Latitude],"Non répertoriées")</f>
        <v>Non répertoriées</v>
      </c>
      <c r="G1532" t="str">
        <f>_xlfn.XLOOKUP(B1532,Tableau13[ID_Antenne],Tableau13[Longitude],"Non répertoriées")</f>
        <v>Non répertoriées</v>
      </c>
      <c r="H1532" t="s">
        <v>8</v>
      </c>
    </row>
    <row r="1533" spans="1:8" x14ac:dyDescent="0.25">
      <c r="A1533" s="1">
        <v>45223.204861111109</v>
      </c>
      <c r="B1533" t="s">
        <v>750</v>
      </c>
      <c r="C1533" s="29" t="str">
        <f>_xlfn.XLOOKUP(B1533,Tableau13[ID_Antenne],Tableau13[Province_RDC],"Non répertoriées")</f>
        <v>Haut-Lomami</v>
      </c>
      <c r="D1533">
        <v>95</v>
      </c>
      <c r="E1533" s="31" t="str">
        <f>_xlfn.XLOOKUP(B1533,Tableau13[ID_Antenne],Tableau13[Technologie],"Non répertoriées")</f>
        <v>5G</v>
      </c>
      <c r="F1533" s="3">
        <f>_xlfn.XLOOKUP(B1533,Tableau13[ID_Antenne],Tableau13[Latitude],"Non répertoriées")</f>
        <v>-9.7801860000000005</v>
      </c>
      <c r="G1533" s="32">
        <f>_xlfn.XLOOKUP(B1533,Tableau13[ID_Antenne],Tableau13[Longitude],"Non répertoriées")</f>
        <v>16.649550000000001</v>
      </c>
      <c r="H1533" t="s">
        <v>5</v>
      </c>
    </row>
    <row r="1534" spans="1:8" x14ac:dyDescent="0.25">
      <c r="A1534" s="1">
        <v>45202.367361111108</v>
      </c>
      <c r="B1534" t="s">
        <v>710</v>
      </c>
      <c r="C1534" s="29" t="str">
        <f>_xlfn.XLOOKUP(B1534,Tableau13[ID_Antenne],Tableau13[Province_RDC],"Non répertoriées")</f>
        <v>Equateur</v>
      </c>
      <c r="D1534">
        <v>77</v>
      </c>
      <c r="E1534" s="31" t="str">
        <f>_xlfn.XLOOKUP(B1534,Tableau13[ID_Antenne],Tableau13[Technologie],"Non répertoriées")</f>
        <v>3G</v>
      </c>
      <c r="F1534" s="3">
        <f>_xlfn.XLOOKUP(B1534,Tableau13[ID_Antenne],Tableau13[Latitude],"Non répertoriées")</f>
        <v>-6.7420359999999997</v>
      </c>
      <c r="G1534" s="32">
        <f>_xlfn.XLOOKUP(B1534,Tableau13[ID_Antenne],Tableau13[Longitude],"Non répertoriées")</f>
        <v>28.905578999999999</v>
      </c>
      <c r="H1534" t="s">
        <v>8</v>
      </c>
    </row>
    <row r="1535" spans="1:8" x14ac:dyDescent="0.25">
      <c r="A1535" s="1">
        <v>45225.556250000001</v>
      </c>
      <c r="B1535" t="s">
        <v>246</v>
      </c>
      <c r="C1535" t="str">
        <f>_xlfn.XLOOKUP(B1535,Tableau13[ID_Antenne],Tableau13[Province_RDC],"Non répertoriées")</f>
        <v>Non répertoriées</v>
      </c>
      <c r="D1535">
        <v>43</v>
      </c>
      <c r="E1535" t="str">
        <f>_xlfn.XLOOKUP(B1535,Tableau13[ID_Antenne],Tableau13[Technologie],"Non répertoriées")</f>
        <v>Non répertoriées</v>
      </c>
      <c r="F1535" t="str">
        <f>_xlfn.XLOOKUP(B1535,Tableau13[ID_Antenne],Tableau13[Latitude],"Non répertoriées")</f>
        <v>Non répertoriées</v>
      </c>
      <c r="G1535" t="str">
        <f>_xlfn.XLOOKUP(B1535,Tableau13[ID_Antenne],Tableau13[Longitude],"Non répertoriées")</f>
        <v>Non répertoriées</v>
      </c>
      <c r="H1535" t="s">
        <v>10</v>
      </c>
    </row>
    <row r="1536" spans="1:8" x14ac:dyDescent="0.25">
      <c r="A1536" s="1">
        <v>45229.678472222222</v>
      </c>
      <c r="B1536" t="s">
        <v>41</v>
      </c>
      <c r="C1536" t="str">
        <f>_xlfn.XLOOKUP(B1536,Tableau13[ID_Antenne],Tableau13[Province_RDC],"Non répertoriées")</f>
        <v>Non répertoriées</v>
      </c>
      <c r="D1536">
        <v>65</v>
      </c>
      <c r="E1536" t="str">
        <f>_xlfn.XLOOKUP(B1536,Tableau13[ID_Antenne],Tableau13[Technologie],"Non répertoriées")</f>
        <v>Non répertoriées</v>
      </c>
      <c r="F1536" t="str">
        <f>_xlfn.XLOOKUP(B1536,Tableau13[ID_Antenne],Tableau13[Latitude],"Non répertoriées")</f>
        <v>Non répertoriées</v>
      </c>
      <c r="G1536" t="str">
        <f>_xlfn.XLOOKUP(B1536,Tableau13[ID_Antenne],Tableau13[Longitude],"Non répertoriées")</f>
        <v>Non répertoriées</v>
      </c>
      <c r="H1536" t="s">
        <v>5</v>
      </c>
    </row>
    <row r="1537" spans="1:8" x14ac:dyDescent="0.25">
      <c r="A1537" s="1">
        <v>45226.012499999997</v>
      </c>
      <c r="B1537" t="s">
        <v>479</v>
      </c>
      <c r="C1537" s="29" t="str">
        <f>_xlfn.XLOOKUP(B1537,Tableau13[ID_Antenne],Tableau13[Province_RDC],"Non répertoriées")</f>
        <v>Maniema</v>
      </c>
      <c r="D1537">
        <v>109</v>
      </c>
      <c r="E1537" s="31" t="str">
        <f>_xlfn.XLOOKUP(B1537,Tableau13[ID_Antenne],Tableau13[Technologie],"Non répertoriées")</f>
        <v>4G</v>
      </c>
      <c r="F1537" s="3">
        <f>_xlfn.XLOOKUP(B1537,Tableau13[ID_Antenne],Tableau13[Latitude],"Non répertoriées")</f>
        <v>4.8228650000000002</v>
      </c>
      <c r="G1537" s="32">
        <f>_xlfn.XLOOKUP(B1537,Tableau13[ID_Antenne],Tableau13[Longitude],"Non répertoriées")</f>
        <v>30.555627000000001</v>
      </c>
      <c r="H1537" t="s">
        <v>8</v>
      </c>
    </row>
    <row r="1538" spans="1:8" x14ac:dyDescent="0.25">
      <c r="A1538" s="1">
        <v>45223.411805555559</v>
      </c>
      <c r="B1538" t="s">
        <v>479</v>
      </c>
      <c r="C1538" s="29" t="str">
        <f>_xlfn.XLOOKUP(B1538,Tableau13[ID_Antenne],Tableau13[Province_RDC],"Non répertoriées")</f>
        <v>Maniema</v>
      </c>
      <c r="D1538">
        <v>7</v>
      </c>
      <c r="E1538" s="31" t="str">
        <f>_xlfn.XLOOKUP(B1538,Tableau13[ID_Antenne],Tableau13[Technologie],"Non répertoriées")</f>
        <v>4G</v>
      </c>
      <c r="F1538" s="3">
        <f>_xlfn.XLOOKUP(B1538,Tableau13[ID_Antenne],Tableau13[Latitude],"Non répertoriées")</f>
        <v>4.8228650000000002</v>
      </c>
      <c r="G1538" s="32">
        <f>_xlfn.XLOOKUP(B1538,Tableau13[ID_Antenne],Tableau13[Longitude],"Non répertoriées")</f>
        <v>30.555627000000001</v>
      </c>
      <c r="H1538" t="s">
        <v>8</v>
      </c>
    </row>
    <row r="1539" spans="1:8" x14ac:dyDescent="0.25">
      <c r="A1539" s="1">
        <v>45218.779166666667</v>
      </c>
      <c r="B1539" t="s">
        <v>653</v>
      </c>
      <c r="C1539" s="29" t="str">
        <f>_xlfn.XLOOKUP(B1539,Tableau13[ID_Antenne],Tableau13[Province_RDC],"Non répertoriées")</f>
        <v>Kwilu</v>
      </c>
      <c r="D1539">
        <v>52</v>
      </c>
      <c r="E1539" s="31" t="str">
        <f>_xlfn.XLOOKUP(B1539,Tableau13[ID_Antenne],Tableau13[Technologie],"Non répertoriées")</f>
        <v>3G</v>
      </c>
      <c r="F1539" s="3">
        <f>_xlfn.XLOOKUP(B1539,Tableau13[ID_Antenne],Tableau13[Latitude],"Non répertoriées")</f>
        <v>1.2691650000000001</v>
      </c>
      <c r="G1539" s="32">
        <f>_xlfn.XLOOKUP(B1539,Tableau13[ID_Antenne],Tableau13[Longitude],"Non répertoriées")</f>
        <v>18.789956</v>
      </c>
      <c r="H1539" t="s">
        <v>5</v>
      </c>
    </row>
    <row r="1540" spans="1:8" x14ac:dyDescent="0.25">
      <c r="A1540" s="1">
        <v>45215.186111111107</v>
      </c>
      <c r="B1540" t="s">
        <v>496</v>
      </c>
      <c r="C1540" t="str">
        <f>_xlfn.XLOOKUP(B1540,Tableau13[ID_Antenne],Tableau13[Province_RDC],"Non répertoriées")</f>
        <v>Non répertoriées</v>
      </c>
      <c r="D1540">
        <v>47</v>
      </c>
      <c r="E1540" t="str">
        <f>_xlfn.XLOOKUP(B1540,Tableau13[ID_Antenne],Tableau13[Technologie],"Non répertoriées")</f>
        <v>Non répertoriées</v>
      </c>
      <c r="F1540" t="str">
        <f>_xlfn.XLOOKUP(B1540,Tableau13[ID_Antenne],Tableau13[Latitude],"Non répertoriées")</f>
        <v>Non répertoriées</v>
      </c>
      <c r="G1540" t="str">
        <f>_xlfn.XLOOKUP(B1540,Tableau13[ID_Antenne],Tableau13[Longitude],"Non répertoriées")</f>
        <v>Non répertoriées</v>
      </c>
      <c r="H1540" t="s">
        <v>10</v>
      </c>
    </row>
    <row r="1541" spans="1:8" x14ac:dyDescent="0.25">
      <c r="A1541" s="1">
        <v>45217.640277777777</v>
      </c>
      <c r="B1541" t="s">
        <v>749</v>
      </c>
      <c r="C1541" t="str">
        <f>_xlfn.XLOOKUP(B1541,Tableau13[ID_Antenne],Tableau13[Province_RDC],"Non répertoriées")</f>
        <v>Non répertoriées</v>
      </c>
      <c r="D1541">
        <v>91</v>
      </c>
      <c r="E1541" t="str">
        <f>_xlfn.XLOOKUP(B1541,Tableau13[ID_Antenne],Tableau13[Technologie],"Non répertoriées")</f>
        <v>Non répertoriées</v>
      </c>
      <c r="F1541" t="str">
        <f>_xlfn.XLOOKUP(B1541,Tableau13[ID_Antenne],Tableau13[Latitude],"Non répertoriées")</f>
        <v>Non répertoriées</v>
      </c>
      <c r="G1541" t="str">
        <f>_xlfn.XLOOKUP(B1541,Tableau13[ID_Antenne],Tableau13[Longitude],"Non répertoriées")</f>
        <v>Non répertoriées</v>
      </c>
      <c r="H1541" t="s">
        <v>8</v>
      </c>
    </row>
    <row r="1542" spans="1:8" x14ac:dyDescent="0.25">
      <c r="A1542" s="1">
        <v>45210.741666666669</v>
      </c>
      <c r="B1542" t="s">
        <v>429</v>
      </c>
      <c r="C1542" s="29" t="str">
        <f>_xlfn.XLOOKUP(B1542,Tableau13[ID_Antenne],Tableau13[Province_RDC],"Non répertoriées")</f>
        <v>Tshopo</v>
      </c>
      <c r="D1542">
        <v>19</v>
      </c>
      <c r="E1542" s="31" t="str">
        <f>_xlfn.XLOOKUP(B1542,Tableau13[ID_Antenne],Tableau13[Technologie],"Non répertoriées")</f>
        <v>5G</v>
      </c>
      <c r="F1542" s="3">
        <f>_xlfn.XLOOKUP(B1542,Tableau13[ID_Antenne],Tableau13[Latitude],"Non répertoriées")</f>
        <v>4.7777349999999998</v>
      </c>
      <c r="G1542" s="32">
        <f>_xlfn.XLOOKUP(B1542,Tableau13[ID_Antenne],Tableau13[Longitude],"Non répertoriées")</f>
        <v>16.392204</v>
      </c>
      <c r="H1542" t="s">
        <v>5</v>
      </c>
    </row>
    <row r="1543" spans="1:8" x14ac:dyDescent="0.25">
      <c r="A1543" s="1">
        <v>45217.520138888889</v>
      </c>
      <c r="B1543" t="s">
        <v>750</v>
      </c>
      <c r="C1543" s="29" t="str">
        <f>_xlfn.XLOOKUP(B1543,Tableau13[ID_Antenne],Tableau13[Province_RDC],"Non répertoriées")</f>
        <v>Haut-Lomami</v>
      </c>
      <c r="D1543">
        <v>58</v>
      </c>
      <c r="E1543" s="31" t="str">
        <f>_xlfn.XLOOKUP(B1543,Tableau13[ID_Antenne],Tableau13[Technologie],"Non répertoriées")</f>
        <v>5G</v>
      </c>
      <c r="F1543" s="3">
        <f>_xlfn.XLOOKUP(B1543,Tableau13[ID_Antenne],Tableau13[Latitude],"Non répertoriées")</f>
        <v>-9.7801860000000005</v>
      </c>
      <c r="G1543" s="32">
        <f>_xlfn.XLOOKUP(B1543,Tableau13[ID_Antenne],Tableau13[Longitude],"Non répertoriées")</f>
        <v>16.649550000000001</v>
      </c>
      <c r="H1543" t="s">
        <v>5</v>
      </c>
    </row>
    <row r="1544" spans="1:8" x14ac:dyDescent="0.25">
      <c r="A1544" s="1">
        <v>45229.454861111109</v>
      </c>
      <c r="B1544" t="s">
        <v>276</v>
      </c>
      <c r="C1544" s="29" t="str">
        <f>_xlfn.XLOOKUP(B1544,Tableau13[ID_Antenne],Tableau13[Province_RDC],"Non répertoriées")</f>
        <v>Sankuru</v>
      </c>
      <c r="D1544">
        <v>79</v>
      </c>
      <c r="E1544" s="31" t="str">
        <f>_xlfn.XLOOKUP(B1544,Tableau13[ID_Antenne],Tableau13[Technologie],"Non répertoriées")</f>
        <v>3G</v>
      </c>
      <c r="F1544" s="3">
        <f>_xlfn.XLOOKUP(B1544,Tableau13[ID_Antenne],Tableau13[Latitude],"Non répertoriées")</f>
        <v>-4.7886769999999999</v>
      </c>
      <c r="G1544" s="32">
        <f>_xlfn.XLOOKUP(B1544,Tableau13[ID_Antenne],Tableau13[Longitude],"Non répertoriées")</f>
        <v>23.600221999999999</v>
      </c>
      <c r="H1544" t="s">
        <v>10</v>
      </c>
    </row>
    <row r="1545" spans="1:8" x14ac:dyDescent="0.25">
      <c r="A1545" s="1">
        <v>45206.927083333343</v>
      </c>
      <c r="B1545" t="s">
        <v>309</v>
      </c>
      <c r="C1545" s="29" t="str">
        <f>_xlfn.XLOOKUP(B1545,Tableau13[ID_Antenne],Tableau13[Province_RDC],"Non répertoriées")</f>
        <v>Tanganyika</v>
      </c>
      <c r="D1545">
        <v>44</v>
      </c>
      <c r="E1545" s="31" t="str">
        <f>_xlfn.XLOOKUP(B1545,Tableau13[ID_Antenne],Tableau13[Technologie],"Non répertoriées")</f>
        <v>4G</v>
      </c>
      <c r="F1545" s="3">
        <f>_xlfn.XLOOKUP(B1545,Tableau13[ID_Antenne],Tableau13[Latitude],"Non répertoriées")</f>
        <v>-12.229338</v>
      </c>
      <c r="G1545" s="32">
        <f>_xlfn.XLOOKUP(B1545,Tableau13[ID_Antenne],Tableau13[Longitude],"Non répertoriées")</f>
        <v>29.587834999999998</v>
      </c>
      <c r="H1545" t="s">
        <v>10</v>
      </c>
    </row>
    <row r="1546" spans="1:8" x14ac:dyDescent="0.25">
      <c r="A1546" s="1">
        <v>45218.509722222218</v>
      </c>
      <c r="B1546" t="s">
        <v>374</v>
      </c>
      <c r="C1546" t="str">
        <f>_xlfn.XLOOKUP(B1546,Tableau13[ID_Antenne],Tableau13[Province_RDC],"Non répertoriées")</f>
        <v>Non répertoriées</v>
      </c>
      <c r="D1546">
        <v>106</v>
      </c>
      <c r="E1546" t="str">
        <f>_xlfn.XLOOKUP(B1546,Tableau13[ID_Antenne],Tableau13[Technologie],"Non répertoriées")</f>
        <v>Non répertoriées</v>
      </c>
      <c r="F1546" t="str">
        <f>_xlfn.XLOOKUP(B1546,Tableau13[ID_Antenne],Tableau13[Latitude],"Non répertoriées")</f>
        <v>Non répertoriées</v>
      </c>
      <c r="G1546" t="str">
        <f>_xlfn.XLOOKUP(B1546,Tableau13[ID_Antenne],Tableau13[Longitude],"Non répertoriées")</f>
        <v>Non répertoriées</v>
      </c>
      <c r="H1546" t="s">
        <v>10</v>
      </c>
    </row>
    <row r="1547" spans="1:8" x14ac:dyDescent="0.25">
      <c r="A1547" s="1">
        <v>45227.543055555558</v>
      </c>
      <c r="B1547" t="s">
        <v>83</v>
      </c>
      <c r="C1547" s="29" t="str">
        <f>_xlfn.XLOOKUP(B1547,Tableau13[ID_Antenne],Tableau13[Province_RDC],"Non répertoriées")</f>
        <v>Nord-Ubangi</v>
      </c>
      <c r="D1547">
        <v>120</v>
      </c>
      <c r="E1547" s="31" t="str">
        <f>_xlfn.XLOOKUP(B1547,Tableau13[ID_Antenne],Tableau13[Technologie],"Non répertoriées")</f>
        <v>5G</v>
      </c>
      <c r="F1547" s="3">
        <f>_xlfn.XLOOKUP(B1547,Tableau13[ID_Antenne],Tableau13[Latitude],"Non répertoriées")</f>
        <v>0.94539899999999999</v>
      </c>
      <c r="G1547" s="32">
        <f>_xlfn.XLOOKUP(B1547,Tableau13[ID_Antenne],Tableau13[Longitude],"Non répertoriées")</f>
        <v>14.401821999999999</v>
      </c>
      <c r="H1547" t="s">
        <v>10</v>
      </c>
    </row>
    <row r="1548" spans="1:8" x14ac:dyDescent="0.25">
      <c r="A1548" s="1">
        <v>45210.979166666657</v>
      </c>
      <c r="B1548" t="s">
        <v>582</v>
      </c>
      <c r="C1548" s="29" t="str">
        <f>_xlfn.XLOOKUP(B1548,Tableau13[ID_Antenne],Tableau13[Province_RDC],"Non répertoriées")</f>
        <v>Kongo-Central</v>
      </c>
      <c r="D1548">
        <v>97</v>
      </c>
      <c r="E1548" s="31" t="str">
        <f>_xlfn.XLOOKUP(B1548,Tableau13[ID_Antenne],Tableau13[Technologie],"Non répertoriées")</f>
        <v>5G</v>
      </c>
      <c r="F1548" s="3">
        <f>_xlfn.XLOOKUP(B1548,Tableau13[ID_Antenne],Tableau13[Latitude],"Non répertoriées")</f>
        <v>-10.977309</v>
      </c>
      <c r="G1548" s="32">
        <f>_xlfn.XLOOKUP(B1548,Tableau13[ID_Antenne],Tableau13[Longitude],"Non répertoriées")</f>
        <v>12.408281000000001</v>
      </c>
      <c r="H1548" t="s">
        <v>8</v>
      </c>
    </row>
    <row r="1549" spans="1:8" x14ac:dyDescent="0.25">
      <c r="A1549" s="1">
        <v>45222.51666666667</v>
      </c>
      <c r="B1549" t="s">
        <v>746</v>
      </c>
      <c r="C1549" s="29" t="str">
        <f>_xlfn.XLOOKUP(B1549,Tableau13[ID_Antenne],Tableau13[Province_RDC],"Non répertoriées")</f>
        <v>Kwilu</v>
      </c>
      <c r="D1549">
        <v>116</v>
      </c>
      <c r="E1549" s="31" t="str">
        <f>_xlfn.XLOOKUP(B1549,Tableau13[ID_Antenne],Tableau13[Technologie],"Non répertoriées")</f>
        <v>4G</v>
      </c>
      <c r="F1549" s="3">
        <f>_xlfn.XLOOKUP(B1549,Tableau13[ID_Antenne],Tableau13[Latitude],"Non répertoriées")</f>
        <v>2.413557</v>
      </c>
      <c r="G1549" s="32">
        <f>_xlfn.XLOOKUP(B1549,Tableau13[ID_Antenne],Tableau13[Longitude],"Non répertoriées")</f>
        <v>19.690681999999999</v>
      </c>
      <c r="H1549" t="s">
        <v>8</v>
      </c>
    </row>
    <row r="1550" spans="1:8" x14ac:dyDescent="0.25">
      <c r="A1550" s="1">
        <v>45221.839583333327</v>
      </c>
      <c r="B1550" t="s">
        <v>441</v>
      </c>
      <c r="C1550" s="29" t="str">
        <f>_xlfn.XLOOKUP(B1550,Tableau13[ID_Antenne],Tableau13[Province_RDC],"Non répertoriées")</f>
        <v>Kongo-Central</v>
      </c>
      <c r="D1550">
        <v>93</v>
      </c>
      <c r="E1550" s="31" t="str">
        <f>_xlfn.XLOOKUP(B1550,Tableau13[ID_Antenne],Tableau13[Technologie],"Non répertoriées")</f>
        <v>5G</v>
      </c>
      <c r="F1550" s="3">
        <f>_xlfn.XLOOKUP(B1550,Tableau13[ID_Antenne],Tableau13[Latitude],"Non répertoriées")</f>
        <v>-11.157245</v>
      </c>
      <c r="G1550" s="32">
        <f>_xlfn.XLOOKUP(B1550,Tableau13[ID_Antenne],Tableau13[Longitude],"Non répertoriées")</f>
        <v>21.262627999999999</v>
      </c>
      <c r="H1550" t="s">
        <v>10</v>
      </c>
    </row>
    <row r="1551" spans="1:8" x14ac:dyDescent="0.25">
      <c r="A1551" s="1">
        <v>45215.047222222223</v>
      </c>
      <c r="B1551" t="s">
        <v>6</v>
      </c>
      <c r="C1551" t="str">
        <f>_xlfn.XLOOKUP(B1551,Tableau13[ID_Antenne],Tableau13[Province_RDC],"Non répertoriées")</f>
        <v>Non répertoriées</v>
      </c>
      <c r="D1551">
        <v>85</v>
      </c>
      <c r="E1551" t="str">
        <f>_xlfn.XLOOKUP(B1551,Tableau13[ID_Antenne],Tableau13[Technologie],"Non répertoriées")</f>
        <v>Non répertoriées</v>
      </c>
      <c r="F1551" t="str">
        <f>_xlfn.XLOOKUP(B1551,Tableau13[ID_Antenne],Tableau13[Latitude],"Non répertoriées")</f>
        <v>Non répertoriées</v>
      </c>
      <c r="G1551" t="str">
        <f>_xlfn.XLOOKUP(B1551,Tableau13[ID_Antenne],Tableau13[Longitude],"Non répertoriées")</f>
        <v>Non répertoriées</v>
      </c>
      <c r="H1551" t="s">
        <v>10</v>
      </c>
    </row>
    <row r="1552" spans="1:8" x14ac:dyDescent="0.25">
      <c r="A1552" s="1">
        <v>45216.76458333333</v>
      </c>
      <c r="B1552" t="s">
        <v>751</v>
      </c>
      <c r="C1552" s="29" t="str">
        <f>_xlfn.XLOOKUP(B1552,Tableau13[ID_Antenne],Tableau13[Province_RDC],"Non répertoriées")</f>
        <v>Kasai-Central</v>
      </c>
      <c r="D1552">
        <v>8</v>
      </c>
      <c r="E1552" s="31" t="str">
        <f>_xlfn.XLOOKUP(B1552,Tableau13[ID_Antenne],Tableau13[Technologie],"Non répertoriées")</f>
        <v>5G</v>
      </c>
      <c r="F1552" s="3">
        <f>_xlfn.XLOOKUP(B1552,Tableau13[ID_Antenne],Tableau13[Latitude],"Non répertoriées")</f>
        <v>-8.0800809999999998</v>
      </c>
      <c r="G1552" s="32">
        <f>_xlfn.XLOOKUP(B1552,Tableau13[ID_Antenne],Tableau13[Longitude],"Non répertoriées")</f>
        <v>30.147970999999998</v>
      </c>
      <c r="H1552" t="s">
        <v>10</v>
      </c>
    </row>
    <row r="1553" spans="1:8" x14ac:dyDescent="0.25">
      <c r="A1553" s="1">
        <v>45227.163194444453</v>
      </c>
      <c r="B1553" t="s">
        <v>319</v>
      </c>
      <c r="C1553" s="29" t="str">
        <f>_xlfn.XLOOKUP(B1553,Tableau13[ID_Antenne],Tableau13[Province_RDC],"Non répertoriées")</f>
        <v>Bas-Uele</v>
      </c>
      <c r="D1553">
        <v>81</v>
      </c>
      <c r="E1553" s="31" t="str">
        <f>_xlfn.XLOOKUP(B1553,Tableau13[ID_Antenne],Tableau13[Technologie],"Non répertoriées")</f>
        <v>4G</v>
      </c>
      <c r="F1553" s="3">
        <f>_xlfn.XLOOKUP(B1553,Tableau13[ID_Antenne],Tableau13[Latitude],"Non répertoriées")</f>
        <v>-2.2876210000000001</v>
      </c>
      <c r="G1553" s="32">
        <f>_xlfn.XLOOKUP(B1553,Tableau13[ID_Antenne],Tableau13[Longitude],"Non répertoriées")</f>
        <v>27.582545</v>
      </c>
      <c r="H1553" t="s">
        <v>10</v>
      </c>
    </row>
    <row r="1554" spans="1:8" x14ac:dyDescent="0.25">
      <c r="A1554" s="1">
        <v>45227.587500000001</v>
      </c>
      <c r="B1554" t="s">
        <v>752</v>
      </c>
      <c r="C1554" t="str">
        <f>_xlfn.XLOOKUP(B1554,Tableau13[ID_Antenne],Tableau13[Province_RDC],"Non répertoriées")</f>
        <v>Non répertoriées</v>
      </c>
      <c r="D1554">
        <v>65</v>
      </c>
      <c r="E1554" t="str">
        <f>_xlfn.XLOOKUP(B1554,Tableau13[ID_Antenne],Tableau13[Technologie],"Non répertoriées")</f>
        <v>Non répertoriées</v>
      </c>
      <c r="F1554" t="str">
        <f>_xlfn.XLOOKUP(B1554,Tableau13[ID_Antenne],Tableau13[Latitude],"Non répertoriées")</f>
        <v>Non répertoriées</v>
      </c>
      <c r="G1554" t="str">
        <f>_xlfn.XLOOKUP(B1554,Tableau13[ID_Antenne],Tableau13[Longitude],"Non répertoriées")</f>
        <v>Non répertoriées</v>
      </c>
      <c r="H1554" t="s">
        <v>5</v>
      </c>
    </row>
    <row r="1555" spans="1:8" x14ac:dyDescent="0.25">
      <c r="A1555" s="1">
        <v>45216.583333333343</v>
      </c>
      <c r="B1555" t="s">
        <v>753</v>
      </c>
      <c r="C1555" s="29" t="str">
        <f>_xlfn.XLOOKUP(B1555,Tableau13[ID_Antenne],Tableau13[Province_RDC],"Non répertoriées")</f>
        <v>Kinshasa</v>
      </c>
      <c r="D1555">
        <v>38</v>
      </c>
      <c r="E1555" s="31" t="str">
        <f>_xlfn.XLOOKUP(B1555,Tableau13[ID_Antenne],Tableau13[Technologie],"Non répertoriées")</f>
        <v>5G</v>
      </c>
      <c r="F1555" s="3">
        <f>_xlfn.XLOOKUP(B1555,Tableau13[ID_Antenne],Tableau13[Latitude],"Non répertoriées")</f>
        <v>1.217457</v>
      </c>
      <c r="G1555" s="32">
        <f>_xlfn.XLOOKUP(B1555,Tableau13[ID_Antenne],Tableau13[Longitude],"Non répertoriées")</f>
        <v>25.48668</v>
      </c>
      <c r="H1555" t="s">
        <v>5</v>
      </c>
    </row>
    <row r="1556" spans="1:8" x14ac:dyDescent="0.25">
      <c r="A1556" s="1">
        <v>45223.18472222222</v>
      </c>
      <c r="B1556" t="s">
        <v>268</v>
      </c>
      <c r="C1556" t="str">
        <f>_xlfn.XLOOKUP(B1556,Tableau13[ID_Antenne],Tableau13[Province_RDC],"Non répertoriées")</f>
        <v>Non répertoriées</v>
      </c>
      <c r="D1556">
        <v>88</v>
      </c>
      <c r="E1556" t="str">
        <f>_xlfn.XLOOKUP(B1556,Tableau13[ID_Antenne],Tableau13[Technologie],"Non répertoriées")</f>
        <v>Non répertoriées</v>
      </c>
      <c r="F1556" t="str">
        <f>_xlfn.XLOOKUP(B1556,Tableau13[ID_Antenne],Tableau13[Latitude],"Non répertoriées")</f>
        <v>Non répertoriées</v>
      </c>
      <c r="G1556" t="str">
        <f>_xlfn.XLOOKUP(B1556,Tableau13[ID_Antenne],Tableau13[Longitude],"Non répertoriées")</f>
        <v>Non répertoriées</v>
      </c>
      <c r="H1556" t="s">
        <v>5</v>
      </c>
    </row>
    <row r="1557" spans="1:8" x14ac:dyDescent="0.25">
      <c r="A1557" s="1">
        <v>45227.839583333327</v>
      </c>
      <c r="B1557" t="s">
        <v>645</v>
      </c>
      <c r="C1557" t="str">
        <f>_xlfn.XLOOKUP(B1557,Tableau13[ID_Antenne],Tableau13[Province_RDC],"Non répertoriées")</f>
        <v>Non répertoriées</v>
      </c>
      <c r="D1557">
        <v>105</v>
      </c>
      <c r="E1557" t="str">
        <f>_xlfn.XLOOKUP(B1557,Tableau13[ID_Antenne],Tableau13[Technologie],"Non répertoriées")</f>
        <v>Non répertoriées</v>
      </c>
      <c r="F1557" t="str">
        <f>_xlfn.XLOOKUP(B1557,Tableau13[ID_Antenne],Tableau13[Latitude],"Non répertoriées")</f>
        <v>Non répertoriées</v>
      </c>
      <c r="G1557" t="str">
        <f>_xlfn.XLOOKUP(B1557,Tableau13[ID_Antenne],Tableau13[Longitude],"Non répertoriées")</f>
        <v>Non répertoriées</v>
      </c>
      <c r="H1557" t="s">
        <v>5</v>
      </c>
    </row>
    <row r="1558" spans="1:8" x14ac:dyDescent="0.25">
      <c r="A1558" s="1">
        <v>45202.659722222219</v>
      </c>
      <c r="B1558" t="s">
        <v>712</v>
      </c>
      <c r="C1558" s="29" t="str">
        <f>_xlfn.XLOOKUP(B1558,Tableau13[ID_Antenne],Tableau13[Province_RDC],"Non répertoriées")</f>
        <v>Tanganyika</v>
      </c>
      <c r="D1558">
        <v>104</v>
      </c>
      <c r="E1558" s="31" t="str">
        <f>_xlfn.XLOOKUP(B1558,Tableau13[ID_Antenne],Tableau13[Technologie],"Non répertoriées")</f>
        <v>5G</v>
      </c>
      <c r="F1558" s="3">
        <f>_xlfn.XLOOKUP(B1558,Tableau13[ID_Antenne],Tableau13[Latitude],"Non répertoriées")</f>
        <v>-12.824638999999999</v>
      </c>
      <c r="G1558" s="32">
        <f>_xlfn.XLOOKUP(B1558,Tableau13[ID_Antenne],Tableau13[Longitude],"Non répertoriées")</f>
        <v>24.407249</v>
      </c>
      <c r="H1558" t="s">
        <v>8</v>
      </c>
    </row>
    <row r="1559" spans="1:8" x14ac:dyDescent="0.25">
      <c r="A1559" s="1">
        <v>45208.443749999999</v>
      </c>
      <c r="B1559" t="s">
        <v>558</v>
      </c>
      <c r="C1559" t="str">
        <f>_xlfn.XLOOKUP(B1559,Tableau13[ID_Antenne],Tableau13[Province_RDC],"Non répertoriées")</f>
        <v>Non répertoriées</v>
      </c>
      <c r="D1559">
        <v>79</v>
      </c>
      <c r="E1559" t="str">
        <f>_xlfn.XLOOKUP(B1559,Tableau13[ID_Antenne],Tableau13[Technologie],"Non répertoriées")</f>
        <v>Non répertoriées</v>
      </c>
      <c r="F1559" t="str">
        <f>_xlfn.XLOOKUP(B1559,Tableau13[ID_Antenne],Tableau13[Latitude],"Non répertoriées")</f>
        <v>Non répertoriées</v>
      </c>
      <c r="G1559" t="str">
        <f>_xlfn.XLOOKUP(B1559,Tableau13[ID_Antenne],Tableau13[Longitude],"Non répertoriées")</f>
        <v>Non répertoriées</v>
      </c>
      <c r="H1559" t="s">
        <v>5</v>
      </c>
    </row>
    <row r="1560" spans="1:8" x14ac:dyDescent="0.25">
      <c r="A1560" s="1">
        <v>45222.52847222222</v>
      </c>
      <c r="B1560" t="s">
        <v>345</v>
      </c>
      <c r="C1560" s="29" t="str">
        <f>_xlfn.XLOOKUP(B1560,Tableau13[ID_Antenne],Tableau13[Province_RDC],"Non répertoriées")</f>
        <v>Kasai</v>
      </c>
      <c r="D1560">
        <v>78</v>
      </c>
      <c r="E1560" s="31" t="str">
        <f>_xlfn.XLOOKUP(B1560,Tableau13[ID_Antenne],Tableau13[Technologie],"Non répertoriées")</f>
        <v>3G</v>
      </c>
      <c r="F1560" s="3">
        <f>_xlfn.XLOOKUP(B1560,Tableau13[ID_Antenne],Tableau13[Latitude],"Non répertoriées")</f>
        <v>4.8689660000000003</v>
      </c>
      <c r="G1560" s="32">
        <f>_xlfn.XLOOKUP(B1560,Tableau13[ID_Antenne],Tableau13[Longitude],"Non répertoriées")</f>
        <v>25.112373000000002</v>
      </c>
      <c r="H1560" t="s">
        <v>5</v>
      </c>
    </row>
    <row r="1561" spans="1:8" x14ac:dyDescent="0.25">
      <c r="A1561" s="1">
        <v>45221.724999999999</v>
      </c>
      <c r="B1561" t="s">
        <v>327</v>
      </c>
      <c r="C1561" s="29" t="str">
        <f>_xlfn.XLOOKUP(B1561,Tableau13[ID_Antenne],Tableau13[Province_RDC],"Non répertoriées")</f>
        <v>Nord-Kivu</v>
      </c>
      <c r="D1561">
        <v>97</v>
      </c>
      <c r="E1561" s="31" t="str">
        <f>_xlfn.XLOOKUP(B1561,Tableau13[ID_Antenne],Tableau13[Technologie],"Non répertoriées")</f>
        <v>3G</v>
      </c>
      <c r="F1561" s="3">
        <f>_xlfn.XLOOKUP(B1561,Tableau13[ID_Antenne],Tableau13[Latitude],"Non répertoriées")</f>
        <v>-6.5529849999999996</v>
      </c>
      <c r="G1561" s="32">
        <f>_xlfn.XLOOKUP(B1561,Tableau13[ID_Antenne],Tableau13[Longitude],"Non répertoriées")</f>
        <v>21.990606</v>
      </c>
      <c r="H1561" t="s">
        <v>5</v>
      </c>
    </row>
    <row r="1562" spans="1:8" x14ac:dyDescent="0.25">
      <c r="A1562" s="1">
        <v>45230.444444444453</v>
      </c>
      <c r="B1562" t="s">
        <v>270</v>
      </c>
      <c r="C1562" t="str">
        <f>_xlfn.XLOOKUP(B1562,Tableau13[ID_Antenne],Tableau13[Province_RDC],"Non répertoriées")</f>
        <v>Non répertoriées</v>
      </c>
      <c r="D1562">
        <v>11</v>
      </c>
      <c r="E1562" t="str">
        <f>_xlfn.XLOOKUP(B1562,Tableau13[ID_Antenne],Tableau13[Technologie],"Non répertoriées")</f>
        <v>Non répertoriées</v>
      </c>
      <c r="F1562" t="str">
        <f>_xlfn.XLOOKUP(B1562,Tableau13[ID_Antenne],Tableau13[Latitude],"Non répertoriées")</f>
        <v>Non répertoriées</v>
      </c>
      <c r="G1562" t="str">
        <f>_xlfn.XLOOKUP(B1562,Tableau13[ID_Antenne],Tableau13[Longitude],"Non répertoriées")</f>
        <v>Non répertoriées</v>
      </c>
      <c r="H1562" t="s">
        <v>10</v>
      </c>
    </row>
    <row r="1563" spans="1:8" x14ac:dyDescent="0.25">
      <c r="A1563" s="1">
        <v>45222.663194444453</v>
      </c>
      <c r="B1563" t="s">
        <v>538</v>
      </c>
      <c r="C1563" t="str">
        <f>_xlfn.XLOOKUP(B1563,Tableau13[ID_Antenne],Tableau13[Province_RDC],"Non répertoriées")</f>
        <v>Non répertoriées</v>
      </c>
      <c r="D1563">
        <v>79</v>
      </c>
      <c r="E1563" t="str">
        <f>_xlfn.XLOOKUP(B1563,Tableau13[ID_Antenne],Tableau13[Technologie],"Non répertoriées")</f>
        <v>Non répertoriées</v>
      </c>
      <c r="F1563" t="str">
        <f>_xlfn.XLOOKUP(B1563,Tableau13[ID_Antenne],Tableau13[Latitude],"Non répertoriées")</f>
        <v>Non répertoriées</v>
      </c>
      <c r="G1563" t="str">
        <f>_xlfn.XLOOKUP(B1563,Tableau13[ID_Antenne],Tableau13[Longitude],"Non répertoriées")</f>
        <v>Non répertoriées</v>
      </c>
      <c r="H1563" t="s">
        <v>10</v>
      </c>
    </row>
    <row r="1564" spans="1:8" x14ac:dyDescent="0.25">
      <c r="A1564" s="1">
        <v>45217.068749999999</v>
      </c>
      <c r="B1564" t="s">
        <v>327</v>
      </c>
      <c r="C1564" s="29" t="str">
        <f>_xlfn.XLOOKUP(B1564,Tableau13[ID_Antenne],Tableau13[Province_RDC],"Non répertoriées")</f>
        <v>Nord-Kivu</v>
      </c>
      <c r="D1564">
        <v>66</v>
      </c>
      <c r="E1564" s="31" t="str">
        <f>_xlfn.XLOOKUP(B1564,Tableau13[ID_Antenne],Tableau13[Technologie],"Non répertoriées")</f>
        <v>3G</v>
      </c>
      <c r="F1564" s="3">
        <f>_xlfn.XLOOKUP(B1564,Tableau13[ID_Antenne],Tableau13[Latitude],"Non répertoriées")</f>
        <v>-6.5529849999999996</v>
      </c>
      <c r="G1564" s="32">
        <f>_xlfn.XLOOKUP(B1564,Tableau13[ID_Antenne],Tableau13[Longitude],"Non répertoriées")</f>
        <v>21.990606</v>
      </c>
      <c r="H1564" t="s">
        <v>10</v>
      </c>
    </row>
    <row r="1565" spans="1:8" x14ac:dyDescent="0.25">
      <c r="A1565" s="1">
        <v>45202.319444444453</v>
      </c>
      <c r="B1565" t="s">
        <v>348</v>
      </c>
      <c r="C1565" t="str">
        <f>_xlfn.XLOOKUP(B1565,Tableau13[ID_Antenne],Tableau13[Province_RDC],"Non répertoriées")</f>
        <v>Non répertoriées</v>
      </c>
      <c r="D1565">
        <v>26</v>
      </c>
      <c r="E1565" t="str">
        <f>_xlfn.XLOOKUP(B1565,Tableau13[ID_Antenne],Tableau13[Technologie],"Non répertoriées")</f>
        <v>Non répertoriées</v>
      </c>
      <c r="F1565" t="str">
        <f>_xlfn.XLOOKUP(B1565,Tableau13[ID_Antenne],Tableau13[Latitude],"Non répertoriées")</f>
        <v>Non répertoriées</v>
      </c>
      <c r="G1565" t="str">
        <f>_xlfn.XLOOKUP(B1565,Tableau13[ID_Antenne],Tableau13[Longitude],"Non répertoriées")</f>
        <v>Non répertoriées</v>
      </c>
      <c r="H1565" t="s">
        <v>10</v>
      </c>
    </row>
    <row r="1566" spans="1:8" x14ac:dyDescent="0.25">
      <c r="A1566" s="1">
        <v>45221.384722222218</v>
      </c>
      <c r="B1566" t="s">
        <v>349</v>
      </c>
      <c r="C1566" t="str">
        <f>_xlfn.XLOOKUP(B1566,Tableau13[ID_Antenne],Tableau13[Province_RDC],"Non répertoriées")</f>
        <v>Non répertoriées</v>
      </c>
      <c r="D1566">
        <v>72</v>
      </c>
      <c r="E1566" t="str">
        <f>_xlfn.XLOOKUP(B1566,Tableau13[ID_Antenne],Tableau13[Technologie],"Non répertoriées")</f>
        <v>Non répertoriées</v>
      </c>
      <c r="F1566" t="str">
        <f>_xlfn.XLOOKUP(B1566,Tableau13[ID_Antenne],Tableau13[Latitude],"Non répertoriées")</f>
        <v>Non répertoriées</v>
      </c>
      <c r="G1566" t="str">
        <f>_xlfn.XLOOKUP(B1566,Tableau13[ID_Antenne],Tableau13[Longitude],"Non répertoriées")</f>
        <v>Non répertoriées</v>
      </c>
      <c r="H1566" t="s">
        <v>5</v>
      </c>
    </row>
    <row r="1567" spans="1:8" x14ac:dyDescent="0.25">
      <c r="A1567" s="1">
        <v>45223.102083333331</v>
      </c>
      <c r="B1567" t="s">
        <v>78</v>
      </c>
      <c r="C1567" s="29" t="str">
        <f>_xlfn.XLOOKUP(B1567,Tableau13[ID_Antenne],Tableau13[Province_RDC],"Non répertoriées")</f>
        <v>Sud-Ubangi</v>
      </c>
      <c r="D1567">
        <v>85</v>
      </c>
      <c r="E1567" s="31" t="str">
        <f>_xlfn.XLOOKUP(B1567,Tableau13[ID_Antenne],Tableau13[Technologie],"Non répertoriées")</f>
        <v>5G</v>
      </c>
      <c r="F1567" s="3">
        <f>_xlfn.XLOOKUP(B1567,Tableau13[ID_Antenne],Tableau13[Latitude],"Non répertoriées")</f>
        <v>-12.141233</v>
      </c>
      <c r="G1567" s="32">
        <f>_xlfn.XLOOKUP(B1567,Tableau13[ID_Antenne],Tableau13[Longitude],"Non répertoriées")</f>
        <v>15.179043999999999</v>
      </c>
      <c r="H1567" t="s">
        <v>8</v>
      </c>
    </row>
    <row r="1568" spans="1:8" x14ac:dyDescent="0.25">
      <c r="A1568" s="1">
        <v>45203.864583333343</v>
      </c>
      <c r="B1568" t="s">
        <v>349</v>
      </c>
      <c r="C1568" t="str">
        <f>_xlfn.XLOOKUP(B1568,Tableau13[ID_Antenne],Tableau13[Province_RDC],"Non répertoriées")</f>
        <v>Non répertoriées</v>
      </c>
      <c r="D1568">
        <v>97</v>
      </c>
      <c r="E1568" t="str">
        <f>_xlfn.XLOOKUP(B1568,Tableau13[ID_Antenne],Tableau13[Technologie],"Non répertoriées")</f>
        <v>Non répertoriées</v>
      </c>
      <c r="F1568" t="str">
        <f>_xlfn.XLOOKUP(B1568,Tableau13[ID_Antenne],Tableau13[Latitude],"Non répertoriées")</f>
        <v>Non répertoriées</v>
      </c>
      <c r="G1568" t="str">
        <f>_xlfn.XLOOKUP(B1568,Tableau13[ID_Antenne],Tableau13[Longitude],"Non répertoriées")</f>
        <v>Non répertoriées</v>
      </c>
      <c r="H1568" t="s">
        <v>10</v>
      </c>
    </row>
    <row r="1569" spans="1:8" x14ac:dyDescent="0.25">
      <c r="A1569" s="1">
        <v>45227.144444444442</v>
      </c>
      <c r="B1569" t="s">
        <v>754</v>
      </c>
      <c r="C1569" t="str">
        <f>_xlfn.XLOOKUP(B1569,Tableau13[ID_Antenne],Tableau13[Province_RDC],"Non répertoriées")</f>
        <v>Non répertoriées</v>
      </c>
      <c r="D1569">
        <v>84</v>
      </c>
      <c r="E1569" t="str">
        <f>_xlfn.XLOOKUP(B1569,Tableau13[ID_Antenne],Tableau13[Technologie],"Non répertoriées")</f>
        <v>Non répertoriées</v>
      </c>
      <c r="F1569" t="str">
        <f>_xlfn.XLOOKUP(B1569,Tableau13[ID_Antenne],Tableau13[Latitude],"Non répertoriées")</f>
        <v>Non répertoriées</v>
      </c>
      <c r="G1569" t="str">
        <f>_xlfn.XLOOKUP(B1569,Tableau13[ID_Antenne],Tableau13[Longitude],"Non répertoriées")</f>
        <v>Non répertoriées</v>
      </c>
      <c r="H1569" t="s">
        <v>5</v>
      </c>
    </row>
    <row r="1570" spans="1:8" x14ac:dyDescent="0.25">
      <c r="A1570" s="1">
        <v>45205.929861111108</v>
      </c>
      <c r="B1570" t="s">
        <v>724</v>
      </c>
      <c r="C1570" s="29" t="str">
        <f>_xlfn.XLOOKUP(B1570,Tableau13[ID_Antenne],Tableau13[Province_RDC],"Non répertoriées")</f>
        <v>Ituri</v>
      </c>
      <c r="D1570">
        <v>104</v>
      </c>
      <c r="E1570" s="31" t="str">
        <f>_xlfn.XLOOKUP(B1570,Tableau13[ID_Antenne],Tableau13[Technologie],"Non répertoriées")</f>
        <v>3G</v>
      </c>
      <c r="F1570" s="3">
        <f>_xlfn.XLOOKUP(B1570,Tableau13[ID_Antenne],Tableau13[Latitude],"Non répertoriées")</f>
        <v>-0.767455</v>
      </c>
      <c r="G1570" s="32">
        <f>_xlfn.XLOOKUP(B1570,Tableau13[ID_Antenne],Tableau13[Longitude],"Non répertoriées")</f>
        <v>30.924261000000001</v>
      </c>
      <c r="H1570" t="s">
        <v>10</v>
      </c>
    </row>
    <row r="1571" spans="1:8" x14ac:dyDescent="0.25">
      <c r="A1571" s="1">
        <v>45228.001388888893</v>
      </c>
      <c r="B1571" t="s">
        <v>675</v>
      </c>
      <c r="C1571" s="29" t="str">
        <f>_xlfn.XLOOKUP(B1571,Tableau13[ID_Antenne],Tableau13[Province_RDC],"Non répertoriées")</f>
        <v>Sankuru</v>
      </c>
      <c r="D1571">
        <v>112</v>
      </c>
      <c r="E1571" s="31" t="str">
        <f>_xlfn.XLOOKUP(B1571,Tableau13[ID_Antenne],Tableau13[Technologie],"Non répertoriées")</f>
        <v>5G</v>
      </c>
      <c r="F1571" s="3">
        <f>_xlfn.XLOOKUP(B1571,Tableau13[ID_Antenne],Tableau13[Latitude],"Non répertoriées")</f>
        <v>-3.419035</v>
      </c>
      <c r="G1571" s="32">
        <f>_xlfn.XLOOKUP(B1571,Tableau13[ID_Antenne],Tableau13[Longitude],"Non répertoriées")</f>
        <v>29.018315999999999</v>
      </c>
      <c r="H1571" t="s">
        <v>10</v>
      </c>
    </row>
    <row r="1572" spans="1:8" x14ac:dyDescent="0.25">
      <c r="A1572" s="1">
        <v>45210.054166666669</v>
      </c>
      <c r="B1572" t="s">
        <v>93</v>
      </c>
      <c r="C1572" t="str">
        <f>_xlfn.XLOOKUP(B1572,Tableau13[ID_Antenne],Tableau13[Province_RDC],"Non répertoriées")</f>
        <v>Non répertoriées</v>
      </c>
      <c r="D1572">
        <v>53</v>
      </c>
      <c r="E1572" t="str">
        <f>_xlfn.XLOOKUP(B1572,Tableau13[ID_Antenne],Tableau13[Technologie],"Non répertoriées")</f>
        <v>Non répertoriées</v>
      </c>
      <c r="F1572" t="str">
        <f>_xlfn.XLOOKUP(B1572,Tableau13[ID_Antenne],Tableau13[Latitude],"Non répertoriées")</f>
        <v>Non répertoriées</v>
      </c>
      <c r="G1572" t="str">
        <f>_xlfn.XLOOKUP(B1572,Tableau13[ID_Antenne],Tableau13[Longitude],"Non répertoriées")</f>
        <v>Non répertoriées</v>
      </c>
      <c r="H1572" t="s">
        <v>10</v>
      </c>
    </row>
    <row r="1573" spans="1:8" x14ac:dyDescent="0.25">
      <c r="A1573" s="1">
        <v>45211.477083333331</v>
      </c>
      <c r="B1573" t="s">
        <v>736</v>
      </c>
      <c r="C1573" s="29" t="str">
        <f>_xlfn.XLOOKUP(B1573,Tableau13[ID_Antenne],Tableau13[Province_RDC],"Non répertoriées")</f>
        <v>Haut-Uele</v>
      </c>
      <c r="D1573">
        <v>23</v>
      </c>
      <c r="E1573" s="31" t="str">
        <f>_xlfn.XLOOKUP(B1573,Tableau13[ID_Antenne],Tableau13[Technologie],"Non répertoriées")</f>
        <v>5G</v>
      </c>
      <c r="F1573" s="3">
        <f>_xlfn.XLOOKUP(B1573,Tableau13[ID_Antenne],Tableau13[Latitude],"Non répertoriées")</f>
        <v>-7.8417870000000001</v>
      </c>
      <c r="G1573" s="32">
        <f>_xlfn.XLOOKUP(B1573,Tableau13[ID_Antenne],Tableau13[Longitude],"Non répertoriées")</f>
        <v>14.730712</v>
      </c>
      <c r="H1573" t="s">
        <v>10</v>
      </c>
    </row>
    <row r="1574" spans="1:8" x14ac:dyDescent="0.25">
      <c r="A1574" s="1">
        <v>45204.314583333333</v>
      </c>
      <c r="B1574" t="s">
        <v>475</v>
      </c>
      <c r="C1574" s="29" t="str">
        <f>_xlfn.XLOOKUP(B1574,Tableau13[ID_Antenne],Tableau13[Province_RDC],"Non répertoriées")</f>
        <v>Ituri</v>
      </c>
      <c r="D1574">
        <v>110</v>
      </c>
      <c r="E1574" s="31" t="str">
        <f>_xlfn.XLOOKUP(B1574,Tableau13[ID_Antenne],Tableau13[Technologie],"Non répertoriées")</f>
        <v>4G</v>
      </c>
      <c r="F1574" s="3">
        <f>_xlfn.XLOOKUP(B1574,Tableau13[ID_Antenne],Tableau13[Latitude],"Non répertoriées")</f>
        <v>-12.595355</v>
      </c>
      <c r="G1574" s="32">
        <f>_xlfn.XLOOKUP(B1574,Tableau13[ID_Antenne],Tableau13[Longitude],"Non répertoriées")</f>
        <v>17.897442000000002</v>
      </c>
      <c r="H1574" t="s">
        <v>5</v>
      </c>
    </row>
    <row r="1575" spans="1:8" x14ac:dyDescent="0.25">
      <c r="A1575" s="1">
        <v>45213.779861111107</v>
      </c>
      <c r="B1575" t="s">
        <v>599</v>
      </c>
      <c r="C1575" t="str">
        <f>_xlfn.XLOOKUP(B1575,Tableau13[ID_Antenne],Tableau13[Province_RDC],"Non répertoriées")</f>
        <v>Non répertoriées</v>
      </c>
      <c r="D1575">
        <v>92</v>
      </c>
      <c r="E1575" t="str">
        <f>_xlfn.XLOOKUP(B1575,Tableau13[ID_Antenne],Tableau13[Technologie],"Non répertoriées")</f>
        <v>Non répertoriées</v>
      </c>
      <c r="F1575" t="str">
        <f>_xlfn.XLOOKUP(B1575,Tableau13[ID_Antenne],Tableau13[Latitude],"Non répertoriées")</f>
        <v>Non répertoriées</v>
      </c>
      <c r="G1575" t="str">
        <f>_xlfn.XLOOKUP(B1575,Tableau13[ID_Antenne],Tableau13[Longitude],"Non répertoriées")</f>
        <v>Non répertoriées</v>
      </c>
      <c r="H1575" t="s">
        <v>5</v>
      </c>
    </row>
    <row r="1576" spans="1:8" x14ac:dyDescent="0.25">
      <c r="A1576" s="1">
        <v>45225.215277777781</v>
      </c>
      <c r="B1576" t="s">
        <v>335</v>
      </c>
      <c r="C1576" t="str">
        <f>_xlfn.XLOOKUP(B1576,Tableau13[ID_Antenne],Tableau13[Province_RDC],"Non répertoriées")</f>
        <v>Non répertoriées</v>
      </c>
      <c r="D1576">
        <v>36</v>
      </c>
      <c r="E1576" t="str">
        <f>_xlfn.XLOOKUP(B1576,Tableau13[ID_Antenne],Tableau13[Technologie],"Non répertoriées")</f>
        <v>Non répertoriées</v>
      </c>
      <c r="F1576" t="str">
        <f>_xlfn.XLOOKUP(B1576,Tableau13[ID_Antenne],Tableau13[Latitude],"Non répertoriées")</f>
        <v>Non répertoriées</v>
      </c>
      <c r="G1576" t="str">
        <f>_xlfn.XLOOKUP(B1576,Tableau13[ID_Antenne],Tableau13[Longitude],"Non répertoriées")</f>
        <v>Non répertoriées</v>
      </c>
      <c r="H1576" t="s">
        <v>5</v>
      </c>
    </row>
    <row r="1577" spans="1:8" x14ac:dyDescent="0.25">
      <c r="A1577" s="1">
        <v>45205.11041666667</v>
      </c>
      <c r="B1577" t="s">
        <v>731</v>
      </c>
      <c r="C1577" t="str">
        <f>_xlfn.XLOOKUP(B1577,Tableau13[ID_Antenne],Tableau13[Province_RDC],"Non répertoriées")</f>
        <v>Non répertoriées</v>
      </c>
      <c r="D1577">
        <v>9</v>
      </c>
      <c r="E1577" t="str">
        <f>_xlfn.XLOOKUP(B1577,Tableau13[ID_Antenne],Tableau13[Technologie],"Non répertoriées")</f>
        <v>Non répertoriées</v>
      </c>
      <c r="F1577" t="str">
        <f>_xlfn.XLOOKUP(B1577,Tableau13[ID_Antenne],Tableau13[Latitude],"Non répertoriées")</f>
        <v>Non répertoriées</v>
      </c>
      <c r="G1577" t="str">
        <f>_xlfn.XLOOKUP(B1577,Tableau13[ID_Antenne],Tableau13[Longitude],"Non répertoriées")</f>
        <v>Non répertoriées</v>
      </c>
      <c r="H1577" t="s">
        <v>8</v>
      </c>
    </row>
    <row r="1578" spans="1:8" x14ac:dyDescent="0.25">
      <c r="A1578" s="1">
        <v>45227.527083333327</v>
      </c>
      <c r="B1578" t="s">
        <v>40</v>
      </c>
      <c r="C1578" s="29" t="str">
        <f>_xlfn.XLOOKUP(B1578,Tableau13[ID_Antenne],Tableau13[Province_RDC],"Non répertoriées")</f>
        <v>Kasai</v>
      </c>
      <c r="D1578">
        <v>78</v>
      </c>
      <c r="E1578" s="31" t="str">
        <f>_xlfn.XLOOKUP(B1578,Tableau13[ID_Antenne],Tableau13[Technologie],"Non répertoriées")</f>
        <v>4G</v>
      </c>
      <c r="F1578" s="3">
        <f>_xlfn.XLOOKUP(B1578,Tableau13[ID_Antenne],Tableau13[Latitude],"Non répertoriées")</f>
        <v>-10.059846</v>
      </c>
      <c r="G1578" s="32">
        <f>_xlfn.XLOOKUP(B1578,Tableau13[ID_Antenne],Tableau13[Longitude],"Non répertoriées")</f>
        <v>14.375757999999999</v>
      </c>
      <c r="H1578" t="s">
        <v>10</v>
      </c>
    </row>
    <row r="1579" spans="1:8" x14ac:dyDescent="0.25">
      <c r="A1579" s="1">
        <v>45221.313194444447</v>
      </c>
      <c r="B1579" t="s">
        <v>224</v>
      </c>
      <c r="C1579" s="29" t="str">
        <f>_xlfn.XLOOKUP(B1579,Tableau13[ID_Antenne],Tableau13[Province_RDC],"Non répertoriées")</f>
        <v>Kongo-Central</v>
      </c>
      <c r="D1579">
        <v>94</v>
      </c>
      <c r="E1579" s="31" t="str">
        <f>_xlfn.XLOOKUP(B1579,Tableau13[ID_Antenne],Tableau13[Technologie],"Non répertoriées")</f>
        <v>4G</v>
      </c>
      <c r="F1579" s="3">
        <f>_xlfn.XLOOKUP(B1579,Tableau13[ID_Antenne],Tableau13[Latitude],"Non répertoriées")</f>
        <v>2.975352</v>
      </c>
      <c r="G1579" s="32">
        <f>_xlfn.XLOOKUP(B1579,Tableau13[ID_Antenne],Tableau13[Longitude],"Non répertoriées")</f>
        <v>22.535886000000001</v>
      </c>
      <c r="H1579" t="s">
        <v>8</v>
      </c>
    </row>
    <row r="1580" spans="1:8" x14ac:dyDescent="0.25">
      <c r="A1580" s="1">
        <v>45229.756249999999</v>
      </c>
      <c r="B1580" t="s">
        <v>735</v>
      </c>
      <c r="C1580" s="29" t="str">
        <f>_xlfn.XLOOKUP(B1580,Tableau13[ID_Antenne],Tableau13[Province_RDC],"Non répertoriées")</f>
        <v>Tshopo</v>
      </c>
      <c r="D1580">
        <v>19</v>
      </c>
      <c r="E1580" s="31" t="str">
        <f>_xlfn.XLOOKUP(B1580,Tableau13[ID_Antenne],Tableau13[Technologie],"Non répertoriées")</f>
        <v>5G</v>
      </c>
      <c r="F1580" s="3">
        <f>_xlfn.XLOOKUP(B1580,Tableau13[ID_Antenne],Tableau13[Latitude],"Non répertoriées")</f>
        <v>1.499457</v>
      </c>
      <c r="G1580" s="32">
        <f>_xlfn.XLOOKUP(B1580,Tableau13[ID_Antenne],Tableau13[Longitude],"Non répertoriées")</f>
        <v>13.876317999999999</v>
      </c>
      <c r="H1580" t="s">
        <v>8</v>
      </c>
    </row>
    <row r="1581" spans="1:8" x14ac:dyDescent="0.25">
      <c r="A1581" s="1">
        <v>45207.611111111109</v>
      </c>
      <c r="B1581" t="s">
        <v>543</v>
      </c>
      <c r="C1581" t="str">
        <f>_xlfn.XLOOKUP(B1581,Tableau13[ID_Antenne],Tableau13[Province_RDC],"Non répertoriées")</f>
        <v>Non répertoriées</v>
      </c>
      <c r="D1581">
        <v>29</v>
      </c>
      <c r="E1581" t="str">
        <f>_xlfn.XLOOKUP(B1581,Tableau13[ID_Antenne],Tableau13[Technologie],"Non répertoriées")</f>
        <v>Non répertoriées</v>
      </c>
      <c r="F1581" t="str">
        <f>_xlfn.XLOOKUP(B1581,Tableau13[ID_Antenne],Tableau13[Latitude],"Non répertoriées")</f>
        <v>Non répertoriées</v>
      </c>
      <c r="G1581" t="str">
        <f>_xlfn.XLOOKUP(B1581,Tableau13[ID_Antenne],Tableau13[Longitude],"Non répertoriées")</f>
        <v>Non répertoriées</v>
      </c>
      <c r="H1581" t="s">
        <v>8</v>
      </c>
    </row>
    <row r="1582" spans="1:8" x14ac:dyDescent="0.25">
      <c r="A1582" s="1">
        <v>45208.594444444447</v>
      </c>
      <c r="B1582" t="s">
        <v>464</v>
      </c>
      <c r="C1582" s="29" t="str">
        <f>_xlfn.XLOOKUP(B1582,Tableau13[ID_Antenne],Tableau13[Province_RDC],"Non répertoriées")</f>
        <v>Haut-Uele</v>
      </c>
      <c r="D1582">
        <v>7</v>
      </c>
      <c r="E1582" s="31" t="str">
        <f>_xlfn.XLOOKUP(B1582,Tableau13[ID_Antenne],Tableau13[Technologie],"Non répertoriées")</f>
        <v>5G</v>
      </c>
      <c r="F1582" s="3">
        <f>_xlfn.XLOOKUP(B1582,Tableau13[ID_Antenne],Tableau13[Latitude],"Non répertoriées")</f>
        <v>1.2391989999999999</v>
      </c>
      <c r="G1582" s="32">
        <f>_xlfn.XLOOKUP(B1582,Tableau13[ID_Antenne],Tableau13[Longitude],"Non répertoriées")</f>
        <v>15.386718999999999</v>
      </c>
      <c r="H1582" t="s">
        <v>5</v>
      </c>
    </row>
    <row r="1583" spans="1:8" x14ac:dyDescent="0.25">
      <c r="A1583" s="1">
        <v>45221.039583333331</v>
      </c>
      <c r="B1583" t="s">
        <v>705</v>
      </c>
      <c r="C1583" t="str">
        <f>_xlfn.XLOOKUP(B1583,Tableau13[ID_Antenne],Tableau13[Province_RDC],"Non répertoriées")</f>
        <v>Non répertoriées</v>
      </c>
      <c r="D1583">
        <v>61</v>
      </c>
      <c r="E1583" t="str">
        <f>_xlfn.XLOOKUP(B1583,Tableau13[ID_Antenne],Tableau13[Technologie],"Non répertoriées")</f>
        <v>Non répertoriées</v>
      </c>
      <c r="F1583" t="str">
        <f>_xlfn.XLOOKUP(B1583,Tableau13[ID_Antenne],Tableau13[Latitude],"Non répertoriées")</f>
        <v>Non répertoriées</v>
      </c>
      <c r="G1583" t="str">
        <f>_xlfn.XLOOKUP(B1583,Tableau13[ID_Antenne],Tableau13[Longitude],"Non répertoriées")</f>
        <v>Non répertoriées</v>
      </c>
      <c r="H1583" t="s">
        <v>5</v>
      </c>
    </row>
    <row r="1584" spans="1:8" x14ac:dyDescent="0.25">
      <c r="A1584" s="1">
        <v>45225.622916666667</v>
      </c>
      <c r="B1584" t="s">
        <v>588</v>
      </c>
      <c r="C1584" t="str">
        <f>_xlfn.XLOOKUP(B1584,Tableau13[ID_Antenne],Tableau13[Province_RDC],"Non répertoriées")</f>
        <v>Non répertoriées</v>
      </c>
      <c r="D1584">
        <v>45</v>
      </c>
      <c r="E1584" t="str">
        <f>_xlfn.XLOOKUP(B1584,Tableau13[ID_Antenne],Tableau13[Technologie],"Non répertoriées")</f>
        <v>Non répertoriées</v>
      </c>
      <c r="F1584" t="str">
        <f>_xlfn.XLOOKUP(B1584,Tableau13[ID_Antenne],Tableau13[Latitude],"Non répertoriées")</f>
        <v>Non répertoriées</v>
      </c>
      <c r="G1584" t="str">
        <f>_xlfn.XLOOKUP(B1584,Tableau13[ID_Antenne],Tableau13[Longitude],"Non répertoriées")</f>
        <v>Non répertoriées</v>
      </c>
      <c r="H1584" t="s">
        <v>10</v>
      </c>
    </row>
    <row r="1585" spans="1:8" x14ac:dyDescent="0.25">
      <c r="A1585" s="1">
        <v>45209.898611111108</v>
      </c>
      <c r="B1585" t="s">
        <v>83</v>
      </c>
      <c r="C1585" s="29" t="str">
        <f>_xlfn.XLOOKUP(B1585,Tableau13[ID_Antenne],Tableau13[Province_RDC],"Non répertoriées")</f>
        <v>Nord-Ubangi</v>
      </c>
      <c r="D1585">
        <v>58</v>
      </c>
      <c r="E1585" s="31" t="str">
        <f>_xlfn.XLOOKUP(B1585,Tableau13[ID_Antenne],Tableau13[Technologie],"Non répertoriées")</f>
        <v>5G</v>
      </c>
      <c r="F1585" s="3">
        <f>_xlfn.XLOOKUP(B1585,Tableau13[ID_Antenne],Tableau13[Latitude],"Non répertoriées")</f>
        <v>0.94539899999999999</v>
      </c>
      <c r="G1585" s="32">
        <f>_xlfn.XLOOKUP(B1585,Tableau13[ID_Antenne],Tableau13[Longitude],"Non répertoriées")</f>
        <v>14.401821999999999</v>
      </c>
      <c r="H1585" t="s">
        <v>5</v>
      </c>
    </row>
    <row r="1586" spans="1:8" x14ac:dyDescent="0.25">
      <c r="A1586" s="1">
        <v>45205.102777777778</v>
      </c>
      <c r="B1586" t="s">
        <v>631</v>
      </c>
      <c r="C1586" t="str">
        <f>_xlfn.XLOOKUP(B1586,Tableau13[ID_Antenne],Tableau13[Province_RDC],"Non répertoriées")</f>
        <v>Non répertoriées</v>
      </c>
      <c r="D1586">
        <v>24</v>
      </c>
      <c r="E1586" t="str">
        <f>_xlfn.XLOOKUP(B1586,Tableau13[ID_Antenne],Tableau13[Technologie],"Non répertoriées")</f>
        <v>Non répertoriées</v>
      </c>
      <c r="F1586" t="str">
        <f>_xlfn.XLOOKUP(B1586,Tableau13[ID_Antenne],Tableau13[Latitude],"Non répertoriées")</f>
        <v>Non répertoriées</v>
      </c>
      <c r="G1586" t="str">
        <f>_xlfn.XLOOKUP(B1586,Tableau13[ID_Antenne],Tableau13[Longitude],"Non répertoriées")</f>
        <v>Non répertoriées</v>
      </c>
      <c r="H1586" t="s">
        <v>5</v>
      </c>
    </row>
    <row r="1587" spans="1:8" x14ac:dyDescent="0.25">
      <c r="A1587" s="1">
        <v>45230.484027777777</v>
      </c>
      <c r="B1587" t="s">
        <v>726</v>
      </c>
      <c r="C1587" t="str">
        <f>_xlfn.XLOOKUP(B1587,Tableau13[ID_Antenne],Tableau13[Province_RDC],"Non répertoriées")</f>
        <v>Non répertoriées</v>
      </c>
      <c r="D1587">
        <v>57</v>
      </c>
      <c r="E1587" t="str">
        <f>_xlfn.XLOOKUP(B1587,Tableau13[ID_Antenne],Tableau13[Technologie],"Non répertoriées")</f>
        <v>Non répertoriées</v>
      </c>
      <c r="F1587" t="str">
        <f>_xlfn.XLOOKUP(B1587,Tableau13[ID_Antenne],Tableau13[Latitude],"Non répertoriées")</f>
        <v>Non répertoriées</v>
      </c>
      <c r="G1587" t="str">
        <f>_xlfn.XLOOKUP(B1587,Tableau13[ID_Antenne],Tableau13[Longitude],"Non répertoriées")</f>
        <v>Non répertoriées</v>
      </c>
      <c r="H1587" t="s">
        <v>8</v>
      </c>
    </row>
    <row r="1588" spans="1:8" x14ac:dyDescent="0.25">
      <c r="A1588" s="1">
        <v>45209.852083333331</v>
      </c>
      <c r="B1588" t="s">
        <v>265</v>
      </c>
      <c r="C1588" t="str">
        <f>_xlfn.XLOOKUP(B1588,Tableau13[ID_Antenne],Tableau13[Province_RDC],"Non répertoriées")</f>
        <v>Non répertoriées</v>
      </c>
      <c r="D1588">
        <v>93</v>
      </c>
      <c r="E1588" t="str">
        <f>_xlfn.XLOOKUP(B1588,Tableau13[ID_Antenne],Tableau13[Technologie],"Non répertoriées")</f>
        <v>Non répertoriées</v>
      </c>
      <c r="F1588" t="str">
        <f>_xlfn.XLOOKUP(B1588,Tableau13[ID_Antenne],Tableau13[Latitude],"Non répertoriées")</f>
        <v>Non répertoriées</v>
      </c>
      <c r="G1588" t="str">
        <f>_xlfn.XLOOKUP(B1588,Tableau13[ID_Antenne],Tableau13[Longitude],"Non répertoriées")</f>
        <v>Non répertoriées</v>
      </c>
      <c r="H1588" t="s">
        <v>5</v>
      </c>
    </row>
    <row r="1589" spans="1:8" x14ac:dyDescent="0.25">
      <c r="A1589" s="1">
        <v>45222.353472222218</v>
      </c>
      <c r="B1589" t="s">
        <v>467</v>
      </c>
      <c r="C1589" t="str">
        <f>_xlfn.XLOOKUP(B1589,Tableau13[ID_Antenne],Tableau13[Province_RDC],"Non répertoriées")</f>
        <v>Non répertoriées</v>
      </c>
      <c r="D1589">
        <v>31</v>
      </c>
      <c r="E1589" t="str">
        <f>_xlfn.XLOOKUP(B1589,Tableau13[ID_Antenne],Tableau13[Technologie],"Non répertoriées")</f>
        <v>Non répertoriées</v>
      </c>
      <c r="F1589" t="str">
        <f>_xlfn.XLOOKUP(B1589,Tableau13[ID_Antenne],Tableau13[Latitude],"Non répertoriées")</f>
        <v>Non répertoriées</v>
      </c>
      <c r="G1589" t="str">
        <f>_xlfn.XLOOKUP(B1589,Tableau13[ID_Antenne],Tableau13[Longitude],"Non répertoriées")</f>
        <v>Non répertoriées</v>
      </c>
      <c r="H1589" t="s">
        <v>10</v>
      </c>
    </row>
    <row r="1590" spans="1:8" x14ac:dyDescent="0.25">
      <c r="A1590" s="1">
        <v>45227.383333333331</v>
      </c>
      <c r="B1590" t="s">
        <v>220</v>
      </c>
      <c r="C1590" s="29" t="str">
        <f>_xlfn.XLOOKUP(B1590,Tableau13[ID_Antenne],Tableau13[Province_RDC],"Non répertoriées")</f>
        <v>Haut-Lomami</v>
      </c>
      <c r="D1590">
        <v>57</v>
      </c>
      <c r="E1590" s="31" t="str">
        <f>_xlfn.XLOOKUP(B1590,Tableau13[ID_Antenne],Tableau13[Technologie],"Non répertoriées")</f>
        <v>4G</v>
      </c>
      <c r="F1590" s="3">
        <f>_xlfn.XLOOKUP(B1590,Tableau13[ID_Antenne],Tableau13[Latitude],"Non répertoriées")</f>
        <v>-6.3324319999999998</v>
      </c>
      <c r="G1590" s="32">
        <f>_xlfn.XLOOKUP(B1590,Tableau13[ID_Antenne],Tableau13[Longitude],"Non répertoriées")</f>
        <v>24.887858000000001</v>
      </c>
      <c r="H1590" t="s">
        <v>10</v>
      </c>
    </row>
    <row r="1591" spans="1:8" x14ac:dyDescent="0.25">
      <c r="A1591" s="1">
        <v>45212.629166666673</v>
      </c>
      <c r="B1591" t="s">
        <v>78</v>
      </c>
      <c r="C1591" s="29" t="str">
        <f>_xlfn.XLOOKUP(B1591,Tableau13[ID_Antenne],Tableau13[Province_RDC],"Non répertoriées")</f>
        <v>Sud-Ubangi</v>
      </c>
      <c r="D1591">
        <v>69</v>
      </c>
      <c r="E1591" s="31" t="str">
        <f>_xlfn.XLOOKUP(B1591,Tableau13[ID_Antenne],Tableau13[Technologie],"Non répertoriées")</f>
        <v>5G</v>
      </c>
      <c r="F1591" s="3">
        <f>_xlfn.XLOOKUP(B1591,Tableau13[ID_Antenne],Tableau13[Latitude],"Non répertoriées")</f>
        <v>-12.141233</v>
      </c>
      <c r="G1591" s="32">
        <f>_xlfn.XLOOKUP(B1591,Tableau13[ID_Antenne],Tableau13[Longitude],"Non répertoriées")</f>
        <v>15.179043999999999</v>
      </c>
      <c r="H1591" t="s">
        <v>8</v>
      </c>
    </row>
    <row r="1592" spans="1:8" x14ac:dyDescent="0.25">
      <c r="A1592" s="1">
        <v>45207.525000000001</v>
      </c>
      <c r="B1592" t="s">
        <v>180</v>
      </c>
      <c r="C1592" s="29" t="str">
        <f>_xlfn.XLOOKUP(B1592,Tableau13[ID_Antenne],Tableau13[Province_RDC],"Non répertoriées")</f>
        <v>Mai-Ndombe</v>
      </c>
      <c r="D1592">
        <v>104</v>
      </c>
      <c r="E1592" s="31" t="str">
        <f>_xlfn.XLOOKUP(B1592,Tableau13[ID_Antenne],Tableau13[Technologie],"Non répertoriées")</f>
        <v>4G</v>
      </c>
      <c r="F1592" s="3">
        <f>_xlfn.XLOOKUP(B1592,Tableau13[ID_Antenne],Tableau13[Latitude],"Non répertoriées")</f>
        <v>-10.442425</v>
      </c>
      <c r="G1592" s="32">
        <f>_xlfn.XLOOKUP(B1592,Tableau13[ID_Antenne],Tableau13[Longitude],"Non répertoriées")</f>
        <v>23.243632000000002</v>
      </c>
      <c r="H1592" t="s">
        <v>5</v>
      </c>
    </row>
    <row r="1593" spans="1:8" x14ac:dyDescent="0.25">
      <c r="A1593" s="1">
        <v>45211.762499999997</v>
      </c>
      <c r="B1593" t="s">
        <v>263</v>
      </c>
      <c r="C1593" t="str">
        <f>_xlfn.XLOOKUP(B1593,Tableau13[ID_Antenne],Tableau13[Province_RDC],"Non répertoriées")</f>
        <v>Non répertoriées</v>
      </c>
      <c r="D1593">
        <v>83</v>
      </c>
      <c r="E1593" t="str">
        <f>_xlfn.XLOOKUP(B1593,Tableau13[ID_Antenne],Tableau13[Technologie],"Non répertoriées")</f>
        <v>Non répertoriées</v>
      </c>
      <c r="F1593" t="str">
        <f>_xlfn.XLOOKUP(B1593,Tableau13[ID_Antenne],Tableau13[Latitude],"Non répertoriées")</f>
        <v>Non répertoriées</v>
      </c>
      <c r="G1593" t="str">
        <f>_xlfn.XLOOKUP(B1593,Tableau13[ID_Antenne],Tableau13[Longitude],"Non répertoriées")</f>
        <v>Non répertoriées</v>
      </c>
      <c r="H1593" t="s">
        <v>8</v>
      </c>
    </row>
    <row r="1594" spans="1:8" x14ac:dyDescent="0.25">
      <c r="A1594" s="1">
        <v>45222.375694444447</v>
      </c>
      <c r="B1594" t="s">
        <v>324</v>
      </c>
      <c r="C1594" s="29" t="str">
        <f>_xlfn.XLOOKUP(B1594,Tableau13[ID_Antenne],Tableau13[Province_RDC],"Non répertoriées")</f>
        <v>Sud-Kivu</v>
      </c>
      <c r="D1594">
        <v>65</v>
      </c>
      <c r="E1594" s="31" t="str">
        <f>_xlfn.XLOOKUP(B1594,Tableau13[ID_Antenne],Tableau13[Technologie],"Non répertoriées")</f>
        <v>3G</v>
      </c>
      <c r="F1594" s="3">
        <f>_xlfn.XLOOKUP(B1594,Tableau13[ID_Antenne],Tableau13[Latitude],"Non répertoriées")</f>
        <v>4.2904629999999999</v>
      </c>
      <c r="G1594" s="32">
        <f>_xlfn.XLOOKUP(B1594,Tableau13[ID_Antenne],Tableau13[Longitude],"Non répertoriées")</f>
        <v>26.354195000000001</v>
      </c>
      <c r="H1594" t="s">
        <v>10</v>
      </c>
    </row>
    <row r="1595" spans="1:8" x14ac:dyDescent="0.25">
      <c r="A1595" s="1">
        <v>45226.892361111109</v>
      </c>
      <c r="B1595" t="s">
        <v>420</v>
      </c>
      <c r="C1595" s="29" t="str">
        <f>_xlfn.XLOOKUP(B1595,Tableau13[ID_Antenne],Tableau13[Province_RDC],"Non répertoriées")</f>
        <v>Sud-Kivu</v>
      </c>
      <c r="D1595">
        <v>116</v>
      </c>
      <c r="E1595" s="31" t="str">
        <f>_xlfn.XLOOKUP(B1595,Tableau13[ID_Antenne],Tableau13[Technologie],"Non répertoriées")</f>
        <v>5G</v>
      </c>
      <c r="F1595" s="3">
        <f>_xlfn.XLOOKUP(B1595,Tableau13[ID_Antenne],Tableau13[Latitude],"Non répertoriées")</f>
        <v>2.4414509999999998</v>
      </c>
      <c r="G1595" s="32">
        <f>_xlfn.XLOOKUP(B1595,Tableau13[ID_Antenne],Tableau13[Longitude],"Non répertoriées")</f>
        <v>30.167489</v>
      </c>
      <c r="H1595" t="s">
        <v>10</v>
      </c>
    </row>
    <row r="1596" spans="1:8" x14ac:dyDescent="0.25">
      <c r="A1596" s="1">
        <v>45208.025000000001</v>
      </c>
      <c r="B1596" t="s">
        <v>538</v>
      </c>
      <c r="C1596" t="str">
        <f>_xlfn.XLOOKUP(B1596,Tableau13[ID_Antenne],Tableau13[Province_RDC],"Non répertoriées")</f>
        <v>Non répertoriées</v>
      </c>
      <c r="D1596">
        <v>113</v>
      </c>
      <c r="E1596" t="str">
        <f>_xlfn.XLOOKUP(B1596,Tableau13[ID_Antenne],Tableau13[Technologie],"Non répertoriées")</f>
        <v>Non répertoriées</v>
      </c>
      <c r="F1596" t="str">
        <f>_xlfn.XLOOKUP(B1596,Tableau13[ID_Antenne],Tableau13[Latitude],"Non répertoriées")</f>
        <v>Non répertoriées</v>
      </c>
      <c r="G1596" t="str">
        <f>_xlfn.XLOOKUP(B1596,Tableau13[ID_Antenne],Tableau13[Longitude],"Non répertoriées")</f>
        <v>Non répertoriées</v>
      </c>
      <c r="H1596" t="s">
        <v>5</v>
      </c>
    </row>
    <row r="1597" spans="1:8" x14ac:dyDescent="0.25">
      <c r="A1597" s="1">
        <v>45227.90902777778</v>
      </c>
      <c r="B1597" t="s">
        <v>713</v>
      </c>
      <c r="C1597" t="str">
        <f>_xlfn.XLOOKUP(B1597,Tableau13[ID_Antenne],Tableau13[Province_RDC],"Non répertoriées")</f>
        <v>Non répertoriées</v>
      </c>
      <c r="D1597">
        <v>99</v>
      </c>
      <c r="E1597" t="str">
        <f>_xlfn.XLOOKUP(B1597,Tableau13[ID_Antenne],Tableau13[Technologie],"Non répertoriées")</f>
        <v>Non répertoriées</v>
      </c>
      <c r="F1597" t="str">
        <f>_xlfn.XLOOKUP(B1597,Tableau13[ID_Antenne],Tableau13[Latitude],"Non répertoriées")</f>
        <v>Non répertoriées</v>
      </c>
      <c r="G1597" t="str">
        <f>_xlfn.XLOOKUP(B1597,Tableau13[ID_Antenne],Tableau13[Longitude],"Non répertoriées")</f>
        <v>Non répertoriées</v>
      </c>
      <c r="H1597" t="s">
        <v>5</v>
      </c>
    </row>
    <row r="1598" spans="1:8" x14ac:dyDescent="0.25">
      <c r="A1598" s="1">
        <v>45223.081944444442</v>
      </c>
      <c r="B1598" t="s">
        <v>696</v>
      </c>
      <c r="C1598" t="str">
        <f>_xlfn.XLOOKUP(B1598,Tableau13[ID_Antenne],Tableau13[Province_RDC],"Non répertoriées")</f>
        <v>Non répertoriées</v>
      </c>
      <c r="D1598">
        <v>98</v>
      </c>
      <c r="E1598" t="str">
        <f>_xlfn.XLOOKUP(B1598,Tableau13[ID_Antenne],Tableau13[Technologie],"Non répertoriées")</f>
        <v>Non répertoriées</v>
      </c>
      <c r="F1598" t="str">
        <f>_xlfn.XLOOKUP(B1598,Tableau13[ID_Antenne],Tableau13[Latitude],"Non répertoriées")</f>
        <v>Non répertoriées</v>
      </c>
      <c r="G1598" t="str">
        <f>_xlfn.XLOOKUP(B1598,Tableau13[ID_Antenne],Tableau13[Longitude],"Non répertoriées")</f>
        <v>Non répertoriées</v>
      </c>
      <c r="H1598" t="s">
        <v>10</v>
      </c>
    </row>
    <row r="1599" spans="1:8" x14ac:dyDescent="0.25">
      <c r="A1599" s="1">
        <v>45219.979861111111</v>
      </c>
      <c r="B1599" t="s">
        <v>324</v>
      </c>
      <c r="C1599" s="29" t="str">
        <f>_xlfn.XLOOKUP(B1599,Tableau13[ID_Antenne],Tableau13[Province_RDC],"Non répertoriées")</f>
        <v>Sud-Kivu</v>
      </c>
      <c r="D1599">
        <v>12</v>
      </c>
      <c r="E1599" s="31" t="str">
        <f>_xlfn.XLOOKUP(B1599,Tableau13[ID_Antenne],Tableau13[Technologie],"Non répertoriées")</f>
        <v>3G</v>
      </c>
      <c r="F1599" s="3">
        <f>_xlfn.XLOOKUP(B1599,Tableau13[ID_Antenne],Tableau13[Latitude],"Non répertoriées")</f>
        <v>4.2904629999999999</v>
      </c>
      <c r="G1599" s="32">
        <f>_xlfn.XLOOKUP(B1599,Tableau13[ID_Antenne],Tableau13[Longitude],"Non répertoriées")</f>
        <v>26.354195000000001</v>
      </c>
      <c r="H1599" t="s">
        <v>10</v>
      </c>
    </row>
    <row r="1600" spans="1:8" x14ac:dyDescent="0.25">
      <c r="A1600" s="1">
        <v>45226.40902777778</v>
      </c>
      <c r="B1600" t="s">
        <v>246</v>
      </c>
      <c r="C1600" t="str">
        <f>_xlfn.XLOOKUP(B1600,Tableau13[ID_Antenne],Tableau13[Province_RDC],"Non répertoriées")</f>
        <v>Non répertoriées</v>
      </c>
      <c r="D1600">
        <v>95</v>
      </c>
      <c r="E1600" t="str">
        <f>_xlfn.XLOOKUP(B1600,Tableau13[ID_Antenne],Tableau13[Technologie],"Non répertoriées")</f>
        <v>Non répertoriées</v>
      </c>
      <c r="F1600" t="str">
        <f>_xlfn.XLOOKUP(B1600,Tableau13[ID_Antenne],Tableau13[Latitude],"Non répertoriées")</f>
        <v>Non répertoriées</v>
      </c>
      <c r="G1600" t="str">
        <f>_xlfn.XLOOKUP(B1600,Tableau13[ID_Antenne],Tableau13[Longitude],"Non répertoriées")</f>
        <v>Non répertoriées</v>
      </c>
      <c r="H1600" t="s">
        <v>8</v>
      </c>
    </row>
    <row r="1601" spans="1:8" x14ac:dyDescent="0.25">
      <c r="A1601" s="1">
        <v>45225.318055555559</v>
      </c>
      <c r="B1601" t="s">
        <v>721</v>
      </c>
      <c r="C1601" t="str">
        <f>_xlfn.XLOOKUP(B1601,Tableau13[ID_Antenne],Tableau13[Province_RDC],"Non répertoriées")</f>
        <v>Non répertoriées</v>
      </c>
      <c r="D1601">
        <v>22</v>
      </c>
      <c r="E1601" t="str">
        <f>_xlfn.XLOOKUP(B1601,Tableau13[ID_Antenne],Tableau13[Technologie],"Non répertoriées")</f>
        <v>Non répertoriées</v>
      </c>
      <c r="F1601" t="str">
        <f>_xlfn.XLOOKUP(B1601,Tableau13[ID_Antenne],Tableau13[Latitude],"Non répertoriées")</f>
        <v>Non répertoriées</v>
      </c>
      <c r="G1601" t="str">
        <f>_xlfn.XLOOKUP(B1601,Tableau13[ID_Antenne],Tableau13[Longitude],"Non répertoriées")</f>
        <v>Non répertoriées</v>
      </c>
      <c r="H1601" t="s">
        <v>8</v>
      </c>
    </row>
    <row r="1602" spans="1:8" x14ac:dyDescent="0.25">
      <c r="A1602" s="1">
        <v>45225.468055555553</v>
      </c>
      <c r="B1602" t="s">
        <v>83</v>
      </c>
      <c r="C1602" s="29" t="str">
        <f>_xlfn.XLOOKUP(B1602,Tableau13[ID_Antenne],Tableau13[Province_RDC],"Non répertoriées")</f>
        <v>Nord-Ubangi</v>
      </c>
      <c r="D1602">
        <v>71</v>
      </c>
      <c r="E1602" s="31" t="str">
        <f>_xlfn.XLOOKUP(B1602,Tableau13[ID_Antenne],Tableau13[Technologie],"Non répertoriées")</f>
        <v>5G</v>
      </c>
      <c r="F1602" s="3">
        <f>_xlfn.XLOOKUP(B1602,Tableau13[ID_Antenne],Tableau13[Latitude],"Non répertoriées")</f>
        <v>0.94539899999999999</v>
      </c>
      <c r="G1602" s="32">
        <f>_xlfn.XLOOKUP(B1602,Tableau13[ID_Antenne],Tableau13[Longitude],"Non répertoriées")</f>
        <v>14.401821999999999</v>
      </c>
      <c r="H1602" t="s">
        <v>8</v>
      </c>
    </row>
    <row r="1603" spans="1:8" x14ac:dyDescent="0.25">
      <c r="A1603" s="1">
        <v>45220.277083333327</v>
      </c>
      <c r="B1603" t="s">
        <v>220</v>
      </c>
      <c r="C1603" s="29" t="str">
        <f>_xlfn.XLOOKUP(B1603,Tableau13[ID_Antenne],Tableau13[Province_RDC],"Non répertoriées")</f>
        <v>Haut-Lomami</v>
      </c>
      <c r="D1603">
        <v>31</v>
      </c>
      <c r="E1603" s="31" t="str">
        <f>_xlfn.XLOOKUP(B1603,Tableau13[ID_Antenne],Tableau13[Technologie],"Non répertoriées")</f>
        <v>4G</v>
      </c>
      <c r="F1603" s="3">
        <f>_xlfn.XLOOKUP(B1603,Tableau13[ID_Antenne],Tableau13[Latitude],"Non répertoriées")</f>
        <v>-6.3324319999999998</v>
      </c>
      <c r="G1603" s="32">
        <f>_xlfn.XLOOKUP(B1603,Tableau13[ID_Antenne],Tableau13[Longitude],"Non répertoriées")</f>
        <v>24.887858000000001</v>
      </c>
      <c r="H1603" t="s">
        <v>5</v>
      </c>
    </row>
    <row r="1604" spans="1:8" x14ac:dyDescent="0.25">
      <c r="A1604" s="1">
        <v>45208.908333333333</v>
      </c>
      <c r="B1604" t="s">
        <v>335</v>
      </c>
      <c r="C1604" t="str">
        <f>_xlfn.XLOOKUP(B1604,Tableau13[ID_Antenne],Tableau13[Province_RDC],"Non répertoriées")</f>
        <v>Non répertoriées</v>
      </c>
      <c r="D1604">
        <v>76</v>
      </c>
      <c r="E1604" t="str">
        <f>_xlfn.XLOOKUP(B1604,Tableau13[ID_Antenne],Tableau13[Technologie],"Non répertoriées")</f>
        <v>Non répertoriées</v>
      </c>
      <c r="F1604" t="str">
        <f>_xlfn.XLOOKUP(B1604,Tableau13[ID_Antenne],Tableau13[Latitude],"Non répertoriées")</f>
        <v>Non répertoriées</v>
      </c>
      <c r="G1604" t="str">
        <f>_xlfn.XLOOKUP(B1604,Tableau13[ID_Antenne],Tableau13[Longitude],"Non répertoriées")</f>
        <v>Non répertoriées</v>
      </c>
      <c r="H1604" t="s">
        <v>5</v>
      </c>
    </row>
    <row r="1605" spans="1:8" x14ac:dyDescent="0.25">
      <c r="A1605" s="1">
        <v>45223.904861111107</v>
      </c>
      <c r="B1605" t="s">
        <v>251</v>
      </c>
      <c r="C1605" t="str">
        <f>_xlfn.XLOOKUP(B1605,Tableau13[ID_Antenne],Tableau13[Province_RDC],"Non répertoriées")</f>
        <v>Non répertoriées</v>
      </c>
      <c r="D1605">
        <v>46</v>
      </c>
      <c r="E1605" t="str">
        <f>_xlfn.XLOOKUP(B1605,Tableau13[ID_Antenne],Tableau13[Technologie],"Non répertoriées")</f>
        <v>Non répertoriées</v>
      </c>
      <c r="F1605" t="str">
        <f>_xlfn.XLOOKUP(B1605,Tableau13[ID_Antenne],Tableau13[Latitude],"Non répertoriées")</f>
        <v>Non répertoriées</v>
      </c>
      <c r="G1605" t="str">
        <f>_xlfn.XLOOKUP(B1605,Tableau13[ID_Antenne],Tableau13[Longitude],"Non répertoriées")</f>
        <v>Non répertoriées</v>
      </c>
      <c r="H1605" t="s">
        <v>10</v>
      </c>
    </row>
    <row r="1606" spans="1:8" x14ac:dyDescent="0.25">
      <c r="A1606" s="1">
        <v>45226.194444444453</v>
      </c>
      <c r="B1606" t="s">
        <v>551</v>
      </c>
      <c r="C1606" t="str">
        <f>_xlfn.XLOOKUP(B1606,Tableau13[ID_Antenne],Tableau13[Province_RDC],"Non répertoriées")</f>
        <v>Non répertoriées</v>
      </c>
      <c r="D1606">
        <v>89</v>
      </c>
      <c r="E1606" t="str">
        <f>_xlfn.XLOOKUP(B1606,Tableau13[ID_Antenne],Tableau13[Technologie],"Non répertoriées")</f>
        <v>Non répertoriées</v>
      </c>
      <c r="F1606" t="str">
        <f>_xlfn.XLOOKUP(B1606,Tableau13[ID_Antenne],Tableau13[Latitude],"Non répertoriées")</f>
        <v>Non répertoriées</v>
      </c>
      <c r="G1606" t="str">
        <f>_xlfn.XLOOKUP(B1606,Tableau13[ID_Antenne],Tableau13[Longitude],"Non répertoriées")</f>
        <v>Non répertoriées</v>
      </c>
      <c r="H1606" t="s">
        <v>5</v>
      </c>
    </row>
    <row r="1607" spans="1:8" x14ac:dyDescent="0.25">
      <c r="A1607" s="1">
        <v>45203.861805555563</v>
      </c>
      <c r="B1607" t="s">
        <v>738</v>
      </c>
      <c r="C1607" s="29" t="str">
        <f>_xlfn.XLOOKUP(B1607,Tableau13[ID_Antenne],Tableau13[Province_RDC],"Non répertoriées")</f>
        <v>Kasai</v>
      </c>
      <c r="D1607">
        <v>66</v>
      </c>
      <c r="E1607" s="31" t="str">
        <f>_xlfn.XLOOKUP(B1607,Tableau13[ID_Antenne],Tableau13[Technologie],"Non répertoriées")</f>
        <v>5G</v>
      </c>
      <c r="F1607" s="3">
        <f>_xlfn.XLOOKUP(B1607,Tableau13[ID_Antenne],Tableau13[Latitude],"Non répertoriées")</f>
        <v>4.1464489999999996</v>
      </c>
      <c r="G1607" s="32">
        <f>_xlfn.XLOOKUP(B1607,Tableau13[ID_Antenne],Tableau13[Longitude],"Non répertoriées")</f>
        <v>17.793337000000001</v>
      </c>
      <c r="H1607" t="s">
        <v>5</v>
      </c>
    </row>
    <row r="1608" spans="1:8" x14ac:dyDescent="0.25">
      <c r="A1608" s="1">
        <v>45201.409722222219</v>
      </c>
      <c r="B1608" t="s">
        <v>354</v>
      </c>
      <c r="C1608" t="str">
        <f>_xlfn.XLOOKUP(B1608,Tableau13[ID_Antenne],Tableau13[Province_RDC],"Non répertoriées")</f>
        <v>Non répertoriées</v>
      </c>
      <c r="D1608">
        <v>72</v>
      </c>
      <c r="E1608" t="str">
        <f>_xlfn.XLOOKUP(B1608,Tableau13[ID_Antenne],Tableau13[Technologie],"Non répertoriées")</f>
        <v>Non répertoriées</v>
      </c>
      <c r="F1608" t="str">
        <f>_xlfn.XLOOKUP(B1608,Tableau13[ID_Antenne],Tableau13[Latitude],"Non répertoriées")</f>
        <v>Non répertoriées</v>
      </c>
      <c r="G1608" t="str">
        <f>_xlfn.XLOOKUP(B1608,Tableau13[ID_Antenne],Tableau13[Longitude],"Non répertoriées")</f>
        <v>Non répertoriées</v>
      </c>
      <c r="H1608" t="s">
        <v>5</v>
      </c>
    </row>
    <row r="1609" spans="1:8" x14ac:dyDescent="0.25">
      <c r="A1609" s="1">
        <v>45214.067361111112</v>
      </c>
      <c r="B1609" t="s">
        <v>622</v>
      </c>
      <c r="C1609" s="29" t="str">
        <f>_xlfn.XLOOKUP(B1609,Tableau13[ID_Antenne],Tableau13[Province_RDC],"Non répertoriées")</f>
        <v>Bas-Uele</v>
      </c>
      <c r="D1609">
        <v>53</v>
      </c>
      <c r="E1609" s="31" t="str">
        <f>_xlfn.XLOOKUP(B1609,Tableau13[ID_Antenne],Tableau13[Technologie],"Non répertoriées")</f>
        <v>4G</v>
      </c>
      <c r="F1609" s="3">
        <f>_xlfn.XLOOKUP(B1609,Tableau13[ID_Antenne],Tableau13[Latitude],"Non répertoriées")</f>
        <v>-1.6893210000000001</v>
      </c>
      <c r="G1609" s="32">
        <f>_xlfn.XLOOKUP(B1609,Tableau13[ID_Antenne],Tableau13[Longitude],"Non répertoriées")</f>
        <v>30.446543999999999</v>
      </c>
      <c r="H1609" t="s">
        <v>5</v>
      </c>
    </row>
    <row r="1610" spans="1:8" x14ac:dyDescent="0.25">
      <c r="A1610" s="1">
        <v>45211.963888888888</v>
      </c>
      <c r="B1610" t="s">
        <v>283</v>
      </c>
      <c r="C1610" s="29" t="str">
        <f>_xlfn.XLOOKUP(B1610,Tableau13[ID_Antenne],Tableau13[Province_RDC],"Non répertoriées")</f>
        <v>Tshuapa</v>
      </c>
      <c r="D1610">
        <v>45</v>
      </c>
      <c r="E1610" s="31" t="str">
        <f>_xlfn.XLOOKUP(B1610,Tableau13[ID_Antenne],Tableau13[Technologie],"Non répertoriées")</f>
        <v>4G</v>
      </c>
      <c r="F1610" s="3">
        <f>_xlfn.XLOOKUP(B1610,Tableau13[ID_Antenne],Tableau13[Latitude],"Non répertoriées")</f>
        <v>-10.577049000000001</v>
      </c>
      <c r="G1610" s="32">
        <f>_xlfn.XLOOKUP(B1610,Tableau13[ID_Antenne],Tableau13[Longitude],"Non répertoriées")</f>
        <v>23.721854</v>
      </c>
      <c r="H1610" t="s">
        <v>5</v>
      </c>
    </row>
    <row r="1611" spans="1:8" x14ac:dyDescent="0.25">
      <c r="A1611" s="1">
        <v>45202.388888888891</v>
      </c>
      <c r="B1611" t="s">
        <v>65</v>
      </c>
      <c r="C1611" t="str">
        <f>_xlfn.XLOOKUP(B1611,Tableau13[ID_Antenne],Tableau13[Province_RDC],"Non répertoriées")</f>
        <v>Non répertoriées</v>
      </c>
      <c r="D1611">
        <v>27</v>
      </c>
      <c r="E1611" t="str">
        <f>_xlfn.XLOOKUP(B1611,Tableau13[ID_Antenne],Tableau13[Technologie],"Non répertoriées")</f>
        <v>Non répertoriées</v>
      </c>
      <c r="F1611" t="str">
        <f>_xlfn.XLOOKUP(B1611,Tableau13[ID_Antenne],Tableau13[Latitude],"Non répertoriées")</f>
        <v>Non répertoriées</v>
      </c>
      <c r="G1611" t="str">
        <f>_xlfn.XLOOKUP(B1611,Tableau13[ID_Antenne],Tableau13[Longitude],"Non répertoriées")</f>
        <v>Non répertoriées</v>
      </c>
      <c r="H1611" t="s">
        <v>5</v>
      </c>
    </row>
    <row r="1612" spans="1:8" x14ac:dyDescent="0.25">
      <c r="A1612" s="1">
        <v>45223.549305555563</v>
      </c>
      <c r="B1612" t="s">
        <v>263</v>
      </c>
      <c r="C1612" t="str">
        <f>_xlfn.XLOOKUP(B1612,Tableau13[ID_Antenne],Tableau13[Province_RDC],"Non répertoriées")</f>
        <v>Non répertoriées</v>
      </c>
      <c r="D1612">
        <v>63</v>
      </c>
      <c r="E1612" t="str">
        <f>_xlfn.XLOOKUP(B1612,Tableau13[ID_Antenne],Tableau13[Technologie],"Non répertoriées")</f>
        <v>Non répertoriées</v>
      </c>
      <c r="F1612" t="str">
        <f>_xlfn.XLOOKUP(B1612,Tableau13[ID_Antenne],Tableau13[Latitude],"Non répertoriées")</f>
        <v>Non répertoriées</v>
      </c>
      <c r="G1612" t="str">
        <f>_xlfn.XLOOKUP(B1612,Tableau13[ID_Antenne],Tableau13[Longitude],"Non répertoriées")</f>
        <v>Non répertoriées</v>
      </c>
      <c r="H1612" t="s">
        <v>5</v>
      </c>
    </row>
    <row r="1613" spans="1:8" x14ac:dyDescent="0.25">
      <c r="A1613" s="1">
        <v>45206.201388888891</v>
      </c>
      <c r="B1613" t="s">
        <v>701</v>
      </c>
      <c r="C1613" s="29" t="str">
        <f>_xlfn.XLOOKUP(B1613,Tableau13[ID_Antenne],Tableau13[Province_RDC],"Non répertoriées")</f>
        <v>Haut-Katanga</v>
      </c>
      <c r="D1613">
        <v>73</v>
      </c>
      <c r="E1613" s="31" t="str">
        <f>_xlfn.XLOOKUP(B1613,Tableau13[ID_Antenne],Tableau13[Technologie],"Non répertoriées")</f>
        <v>3G</v>
      </c>
      <c r="F1613" s="3">
        <f>_xlfn.XLOOKUP(B1613,Tableau13[ID_Antenne],Tableau13[Latitude],"Non répertoriées")</f>
        <v>-12.776386</v>
      </c>
      <c r="G1613" s="32">
        <f>_xlfn.XLOOKUP(B1613,Tableau13[ID_Antenne],Tableau13[Longitude],"Non répertoriées")</f>
        <v>14.157596</v>
      </c>
      <c r="H1613" t="s">
        <v>5</v>
      </c>
    </row>
    <row r="1614" spans="1:8" x14ac:dyDescent="0.25">
      <c r="A1614" s="1">
        <v>45217.481249999997</v>
      </c>
      <c r="B1614" t="s">
        <v>638</v>
      </c>
      <c r="C1614" s="29" t="str">
        <f>_xlfn.XLOOKUP(B1614,Tableau13[ID_Antenne],Tableau13[Province_RDC],"Non répertoriées")</f>
        <v>Kasai-Central</v>
      </c>
      <c r="D1614">
        <v>48</v>
      </c>
      <c r="E1614" s="31" t="str">
        <f>_xlfn.XLOOKUP(B1614,Tableau13[ID_Antenne],Tableau13[Technologie],"Non répertoriées")</f>
        <v>5G</v>
      </c>
      <c r="F1614" s="3">
        <f>_xlfn.XLOOKUP(B1614,Tableau13[ID_Antenne],Tableau13[Latitude],"Non répertoriées")</f>
        <v>-8.0800809999999998</v>
      </c>
      <c r="G1614" s="32">
        <f>_xlfn.XLOOKUP(B1614,Tableau13[ID_Antenne],Tableau13[Longitude],"Non répertoriées")</f>
        <v>30.147970999999998</v>
      </c>
      <c r="H1614" t="s">
        <v>10</v>
      </c>
    </row>
    <row r="1615" spans="1:8" x14ac:dyDescent="0.25">
      <c r="A1615" s="1">
        <v>45216.370138888888</v>
      </c>
      <c r="B1615" t="s">
        <v>643</v>
      </c>
      <c r="C1615" t="str">
        <f>_xlfn.XLOOKUP(B1615,Tableau13[ID_Antenne],Tableau13[Province_RDC],"Non répertoriées")</f>
        <v>Non répertoriées</v>
      </c>
      <c r="D1615">
        <v>74</v>
      </c>
      <c r="E1615" t="str">
        <f>_xlfn.XLOOKUP(B1615,Tableau13[ID_Antenne],Tableau13[Technologie],"Non répertoriées")</f>
        <v>Non répertoriées</v>
      </c>
      <c r="F1615" t="str">
        <f>_xlfn.XLOOKUP(B1615,Tableau13[ID_Antenne],Tableau13[Latitude],"Non répertoriées")</f>
        <v>Non répertoriées</v>
      </c>
      <c r="G1615" t="str">
        <f>_xlfn.XLOOKUP(B1615,Tableau13[ID_Antenne],Tableau13[Longitude],"Non répertoriées")</f>
        <v>Non répertoriées</v>
      </c>
      <c r="H1615" t="s">
        <v>10</v>
      </c>
    </row>
    <row r="1616" spans="1:8" x14ac:dyDescent="0.25">
      <c r="A1616" s="1">
        <v>45205.373611111107</v>
      </c>
      <c r="B1616" t="s">
        <v>738</v>
      </c>
      <c r="C1616" s="29" t="str">
        <f>_xlfn.XLOOKUP(B1616,Tableau13[ID_Antenne],Tableau13[Province_RDC],"Non répertoriées")</f>
        <v>Kasai</v>
      </c>
      <c r="D1616">
        <v>50</v>
      </c>
      <c r="E1616" s="31" t="str">
        <f>_xlfn.XLOOKUP(B1616,Tableau13[ID_Antenne],Tableau13[Technologie],"Non répertoriées")</f>
        <v>5G</v>
      </c>
      <c r="F1616" s="3">
        <f>_xlfn.XLOOKUP(B1616,Tableau13[ID_Antenne],Tableau13[Latitude],"Non répertoriées")</f>
        <v>4.1464489999999996</v>
      </c>
      <c r="G1616" s="32">
        <f>_xlfn.XLOOKUP(B1616,Tableau13[ID_Antenne],Tableau13[Longitude],"Non répertoriées")</f>
        <v>17.793337000000001</v>
      </c>
      <c r="H1616" t="s">
        <v>8</v>
      </c>
    </row>
    <row r="1617" spans="1:8" x14ac:dyDescent="0.25">
      <c r="A1617" s="1">
        <v>45226.660416666673</v>
      </c>
      <c r="B1617" t="s">
        <v>112</v>
      </c>
      <c r="C1617" t="str">
        <f>_xlfn.XLOOKUP(B1617,Tableau13[ID_Antenne],Tableau13[Province_RDC],"Non répertoriées")</f>
        <v>Non répertoriées</v>
      </c>
      <c r="D1617">
        <v>91</v>
      </c>
      <c r="E1617" t="str">
        <f>_xlfn.XLOOKUP(B1617,Tableau13[ID_Antenne],Tableau13[Technologie],"Non répertoriées")</f>
        <v>Non répertoriées</v>
      </c>
      <c r="F1617" t="str">
        <f>_xlfn.XLOOKUP(B1617,Tableau13[ID_Antenne],Tableau13[Latitude],"Non répertoriées")</f>
        <v>Non répertoriées</v>
      </c>
      <c r="G1617" t="str">
        <f>_xlfn.XLOOKUP(B1617,Tableau13[ID_Antenne],Tableau13[Longitude],"Non répertoriées")</f>
        <v>Non répertoriées</v>
      </c>
      <c r="H1617" t="s">
        <v>8</v>
      </c>
    </row>
    <row r="1618" spans="1:8" x14ac:dyDescent="0.25">
      <c r="A1618" s="1">
        <v>45209.996527777781</v>
      </c>
      <c r="B1618" t="s">
        <v>352</v>
      </c>
      <c r="C1618" t="str">
        <f>_xlfn.XLOOKUP(B1618,Tableau13[ID_Antenne],Tableau13[Province_RDC],"Non répertoriées")</f>
        <v>Non répertoriées</v>
      </c>
      <c r="D1618">
        <v>103</v>
      </c>
      <c r="E1618" t="str">
        <f>_xlfn.XLOOKUP(B1618,Tableau13[ID_Antenne],Tableau13[Technologie],"Non répertoriées")</f>
        <v>Non répertoriées</v>
      </c>
      <c r="F1618" t="str">
        <f>_xlfn.XLOOKUP(B1618,Tableau13[ID_Antenne],Tableau13[Latitude],"Non répertoriées")</f>
        <v>Non répertoriées</v>
      </c>
      <c r="G1618" t="str">
        <f>_xlfn.XLOOKUP(B1618,Tableau13[ID_Antenne],Tableau13[Longitude],"Non répertoriées")</f>
        <v>Non répertoriées</v>
      </c>
      <c r="H1618" t="s">
        <v>8</v>
      </c>
    </row>
    <row r="1619" spans="1:8" x14ac:dyDescent="0.25">
      <c r="A1619" s="1">
        <v>45210.145138888889</v>
      </c>
      <c r="B1619" t="s">
        <v>700</v>
      </c>
      <c r="C1619" t="str">
        <f>_xlfn.XLOOKUP(B1619,Tableau13[ID_Antenne],Tableau13[Province_RDC],"Non répertoriées")</f>
        <v>Non répertoriées</v>
      </c>
      <c r="D1619">
        <v>116</v>
      </c>
      <c r="E1619" t="str">
        <f>_xlfn.XLOOKUP(B1619,Tableau13[ID_Antenne],Tableau13[Technologie],"Non répertoriées")</f>
        <v>Non répertoriées</v>
      </c>
      <c r="F1619" t="str">
        <f>_xlfn.XLOOKUP(B1619,Tableau13[ID_Antenne],Tableau13[Latitude],"Non répertoriées")</f>
        <v>Non répertoriées</v>
      </c>
      <c r="G1619" t="str">
        <f>_xlfn.XLOOKUP(B1619,Tableau13[ID_Antenne],Tableau13[Longitude],"Non répertoriées")</f>
        <v>Non répertoriées</v>
      </c>
      <c r="H1619" t="s">
        <v>5</v>
      </c>
    </row>
    <row r="1620" spans="1:8" x14ac:dyDescent="0.25">
      <c r="A1620" s="1">
        <v>45230.089583333327</v>
      </c>
      <c r="B1620" t="s">
        <v>558</v>
      </c>
      <c r="C1620" t="str">
        <f>_xlfn.XLOOKUP(B1620,Tableau13[ID_Antenne],Tableau13[Province_RDC],"Non répertoriées")</f>
        <v>Non répertoriées</v>
      </c>
      <c r="D1620">
        <v>97</v>
      </c>
      <c r="E1620" t="str">
        <f>_xlfn.XLOOKUP(B1620,Tableau13[ID_Antenne],Tableau13[Technologie],"Non répertoriées")</f>
        <v>Non répertoriées</v>
      </c>
      <c r="F1620" t="str">
        <f>_xlfn.XLOOKUP(B1620,Tableau13[ID_Antenne],Tableau13[Latitude],"Non répertoriées")</f>
        <v>Non répertoriées</v>
      </c>
      <c r="G1620" t="str">
        <f>_xlfn.XLOOKUP(B1620,Tableau13[ID_Antenne],Tableau13[Longitude],"Non répertoriées")</f>
        <v>Non répertoriées</v>
      </c>
      <c r="H1620" t="s">
        <v>8</v>
      </c>
    </row>
    <row r="1621" spans="1:8" x14ac:dyDescent="0.25">
      <c r="A1621" s="1">
        <v>45224.329861111109</v>
      </c>
      <c r="B1621" t="s">
        <v>746</v>
      </c>
      <c r="C1621" s="29" t="str">
        <f>_xlfn.XLOOKUP(B1621,Tableau13[ID_Antenne],Tableau13[Province_RDC],"Non répertoriées")</f>
        <v>Kwilu</v>
      </c>
      <c r="D1621">
        <v>92</v>
      </c>
      <c r="E1621" s="31" t="str">
        <f>_xlfn.XLOOKUP(B1621,Tableau13[ID_Antenne],Tableau13[Technologie],"Non répertoriées")</f>
        <v>4G</v>
      </c>
      <c r="F1621" s="3">
        <f>_xlfn.XLOOKUP(B1621,Tableau13[ID_Antenne],Tableau13[Latitude],"Non répertoriées")</f>
        <v>2.413557</v>
      </c>
      <c r="G1621" s="32">
        <f>_xlfn.XLOOKUP(B1621,Tableau13[ID_Antenne],Tableau13[Longitude],"Non répertoriées")</f>
        <v>19.690681999999999</v>
      </c>
      <c r="H1621" t="s">
        <v>8</v>
      </c>
    </row>
    <row r="1622" spans="1:8" x14ac:dyDescent="0.25">
      <c r="A1622" s="1">
        <v>45221.988194444442</v>
      </c>
      <c r="B1622" t="s">
        <v>682</v>
      </c>
      <c r="C1622" t="str">
        <f>_xlfn.XLOOKUP(B1622,Tableau13[ID_Antenne],Tableau13[Province_RDC],"Non répertoriées")</f>
        <v>Non répertoriées</v>
      </c>
      <c r="D1622">
        <v>87</v>
      </c>
      <c r="E1622" t="str">
        <f>_xlfn.XLOOKUP(B1622,Tableau13[ID_Antenne],Tableau13[Technologie],"Non répertoriées")</f>
        <v>Non répertoriées</v>
      </c>
      <c r="F1622" t="str">
        <f>_xlfn.XLOOKUP(B1622,Tableau13[ID_Antenne],Tableau13[Latitude],"Non répertoriées")</f>
        <v>Non répertoriées</v>
      </c>
      <c r="G1622" t="str">
        <f>_xlfn.XLOOKUP(B1622,Tableau13[ID_Antenne],Tableau13[Longitude],"Non répertoriées")</f>
        <v>Non répertoriées</v>
      </c>
      <c r="H1622" t="s">
        <v>10</v>
      </c>
    </row>
    <row r="1623" spans="1:8" x14ac:dyDescent="0.25">
      <c r="A1623" s="1">
        <v>45212.724305555559</v>
      </c>
      <c r="B1623" t="s">
        <v>739</v>
      </c>
      <c r="C1623" t="str">
        <f>_xlfn.XLOOKUP(B1623,Tableau13[ID_Antenne],Tableau13[Province_RDC],"Non répertoriées")</f>
        <v>Non répertoriées</v>
      </c>
      <c r="D1623">
        <v>107</v>
      </c>
      <c r="E1623" t="str">
        <f>_xlfn.XLOOKUP(B1623,Tableau13[ID_Antenne],Tableau13[Technologie],"Non répertoriées")</f>
        <v>Non répertoriées</v>
      </c>
      <c r="F1623" t="str">
        <f>_xlfn.XLOOKUP(B1623,Tableau13[ID_Antenne],Tableau13[Latitude],"Non répertoriées")</f>
        <v>Non répertoriées</v>
      </c>
      <c r="G1623" t="str">
        <f>_xlfn.XLOOKUP(B1623,Tableau13[ID_Antenne],Tableau13[Longitude],"Non répertoriées")</f>
        <v>Non répertoriées</v>
      </c>
      <c r="H1623" t="s">
        <v>5</v>
      </c>
    </row>
    <row r="1624" spans="1:8" x14ac:dyDescent="0.25">
      <c r="A1624" s="1">
        <v>45202.5</v>
      </c>
      <c r="B1624" t="s">
        <v>647</v>
      </c>
      <c r="C1624" s="29" t="str">
        <f>_xlfn.XLOOKUP(B1624,Tableau13[ID_Antenne],Tableau13[Province_RDC],"Non répertoriées")</f>
        <v>Haut-Uele</v>
      </c>
      <c r="D1624">
        <v>93</v>
      </c>
      <c r="E1624" s="31" t="str">
        <f>_xlfn.XLOOKUP(B1624,Tableau13[ID_Antenne],Tableau13[Technologie],"Non répertoriées")</f>
        <v>4G</v>
      </c>
      <c r="F1624" s="3">
        <f>_xlfn.XLOOKUP(B1624,Tableau13[ID_Antenne],Tableau13[Latitude],"Non répertoriées")</f>
        <v>1.0134879999999999</v>
      </c>
      <c r="G1624" s="32">
        <f>_xlfn.XLOOKUP(B1624,Tableau13[ID_Antenne],Tableau13[Longitude],"Non répertoriées")</f>
        <v>20.363515</v>
      </c>
      <c r="H1624" t="s">
        <v>5</v>
      </c>
    </row>
    <row r="1625" spans="1:8" x14ac:dyDescent="0.25">
      <c r="A1625" s="1">
        <v>45208.713194444441</v>
      </c>
      <c r="B1625" t="s">
        <v>604</v>
      </c>
      <c r="C1625" s="29" t="str">
        <f>_xlfn.XLOOKUP(B1625,Tableau13[ID_Antenne],Tableau13[Province_RDC],"Non répertoriées")</f>
        <v>Maniema</v>
      </c>
      <c r="D1625">
        <v>38</v>
      </c>
      <c r="E1625" s="31" t="str">
        <f>_xlfn.XLOOKUP(B1625,Tableau13[ID_Antenne],Tableau13[Technologie],"Non répertoriées")</f>
        <v>4G</v>
      </c>
      <c r="F1625" s="3">
        <f>_xlfn.XLOOKUP(B1625,Tableau13[ID_Antenne],Tableau13[Latitude],"Non répertoriées")</f>
        <v>-10.650321</v>
      </c>
      <c r="G1625" s="32">
        <f>_xlfn.XLOOKUP(B1625,Tableau13[ID_Antenne],Tableau13[Longitude],"Non répertoriées")</f>
        <v>15.917044000000001</v>
      </c>
      <c r="H1625" t="s">
        <v>5</v>
      </c>
    </row>
    <row r="1626" spans="1:8" x14ac:dyDescent="0.25">
      <c r="A1626" s="1">
        <v>45214.488194444442</v>
      </c>
      <c r="B1626" t="s">
        <v>755</v>
      </c>
      <c r="C1626" t="str">
        <f>_xlfn.XLOOKUP(B1626,Tableau13[ID_Antenne],Tableau13[Province_RDC],"Non répertoriées")</f>
        <v>Non répertoriées</v>
      </c>
      <c r="D1626">
        <v>83</v>
      </c>
      <c r="E1626" t="str">
        <f>_xlfn.XLOOKUP(B1626,Tableau13[ID_Antenne],Tableau13[Technologie],"Non répertoriées")</f>
        <v>Non répertoriées</v>
      </c>
      <c r="F1626" t="str">
        <f>_xlfn.XLOOKUP(B1626,Tableau13[ID_Antenne],Tableau13[Latitude],"Non répertoriées")</f>
        <v>Non répertoriées</v>
      </c>
      <c r="G1626" t="str">
        <f>_xlfn.XLOOKUP(B1626,Tableau13[ID_Antenne],Tableau13[Longitude],"Non répertoriées")</f>
        <v>Non répertoriées</v>
      </c>
      <c r="H1626" t="s">
        <v>5</v>
      </c>
    </row>
    <row r="1627" spans="1:8" x14ac:dyDescent="0.25">
      <c r="A1627" s="1">
        <v>45223.886111111111</v>
      </c>
      <c r="B1627" t="s">
        <v>353</v>
      </c>
      <c r="C1627" t="str">
        <f>_xlfn.XLOOKUP(B1627,Tableau13[ID_Antenne],Tableau13[Province_RDC],"Non répertoriées")</f>
        <v>Non répertoriées</v>
      </c>
      <c r="D1627">
        <v>66</v>
      </c>
      <c r="E1627" t="str">
        <f>_xlfn.XLOOKUP(B1627,Tableau13[ID_Antenne],Tableau13[Technologie],"Non répertoriées")</f>
        <v>Non répertoriées</v>
      </c>
      <c r="F1627" t="str">
        <f>_xlfn.XLOOKUP(B1627,Tableau13[ID_Antenne],Tableau13[Latitude],"Non répertoriées")</f>
        <v>Non répertoriées</v>
      </c>
      <c r="G1627" t="str">
        <f>_xlfn.XLOOKUP(B1627,Tableau13[ID_Antenne],Tableau13[Longitude],"Non répertoriées")</f>
        <v>Non répertoriées</v>
      </c>
      <c r="H1627" t="s">
        <v>8</v>
      </c>
    </row>
    <row r="1628" spans="1:8" x14ac:dyDescent="0.25">
      <c r="A1628" s="1">
        <v>45218.536111111112</v>
      </c>
      <c r="B1628" t="s">
        <v>354</v>
      </c>
      <c r="C1628" t="str">
        <f>_xlfn.XLOOKUP(B1628,Tableau13[ID_Antenne],Tableau13[Province_RDC],"Non répertoriées")</f>
        <v>Non répertoriées</v>
      </c>
      <c r="D1628">
        <v>29</v>
      </c>
      <c r="E1628" t="str">
        <f>_xlfn.XLOOKUP(B1628,Tableau13[ID_Antenne],Tableau13[Technologie],"Non répertoriées")</f>
        <v>Non répertoriées</v>
      </c>
      <c r="F1628" t="str">
        <f>_xlfn.XLOOKUP(B1628,Tableau13[ID_Antenne],Tableau13[Latitude],"Non répertoriées")</f>
        <v>Non répertoriées</v>
      </c>
      <c r="G1628" t="str">
        <f>_xlfn.XLOOKUP(B1628,Tableau13[ID_Antenne],Tableau13[Longitude],"Non répertoriées")</f>
        <v>Non répertoriées</v>
      </c>
      <c r="H1628" t="s">
        <v>10</v>
      </c>
    </row>
    <row r="1629" spans="1:8" x14ac:dyDescent="0.25">
      <c r="A1629" s="1">
        <v>45220.462500000001</v>
      </c>
      <c r="B1629" t="s">
        <v>90</v>
      </c>
      <c r="C1629" t="str">
        <f>_xlfn.XLOOKUP(B1629,Tableau13[ID_Antenne],Tableau13[Province_RDC],"Non répertoriées")</f>
        <v>Non répertoriées</v>
      </c>
      <c r="D1629">
        <v>36</v>
      </c>
      <c r="E1629" t="str">
        <f>_xlfn.XLOOKUP(B1629,Tableau13[ID_Antenne],Tableau13[Technologie],"Non répertoriées")</f>
        <v>Non répertoriées</v>
      </c>
      <c r="F1629" t="str">
        <f>_xlfn.XLOOKUP(B1629,Tableau13[ID_Antenne],Tableau13[Latitude],"Non répertoriées")</f>
        <v>Non répertoriées</v>
      </c>
      <c r="G1629" t="str">
        <f>_xlfn.XLOOKUP(B1629,Tableau13[ID_Antenne],Tableau13[Longitude],"Non répertoriées")</f>
        <v>Non répertoriées</v>
      </c>
      <c r="H1629" t="s">
        <v>5</v>
      </c>
    </row>
    <row r="1630" spans="1:8" x14ac:dyDescent="0.25">
      <c r="A1630" s="1">
        <v>45221.3125</v>
      </c>
      <c r="B1630" t="s">
        <v>688</v>
      </c>
      <c r="C1630" t="str">
        <f>_xlfn.XLOOKUP(B1630,Tableau13[ID_Antenne],Tableau13[Province_RDC],"Non répertoriées")</f>
        <v>Non répertoriées</v>
      </c>
      <c r="D1630">
        <v>40</v>
      </c>
      <c r="E1630" t="str">
        <f>_xlfn.XLOOKUP(B1630,Tableau13[ID_Antenne],Tableau13[Technologie],"Non répertoriées")</f>
        <v>Non répertoriées</v>
      </c>
      <c r="F1630" t="str">
        <f>_xlfn.XLOOKUP(B1630,Tableau13[ID_Antenne],Tableau13[Latitude],"Non répertoriées")</f>
        <v>Non répertoriées</v>
      </c>
      <c r="G1630" t="str">
        <f>_xlfn.XLOOKUP(B1630,Tableau13[ID_Antenne],Tableau13[Longitude],"Non répertoriées")</f>
        <v>Non répertoriées</v>
      </c>
      <c r="H1630" t="s">
        <v>5</v>
      </c>
    </row>
    <row r="1631" spans="1:8" x14ac:dyDescent="0.25">
      <c r="A1631" s="1">
        <v>45200.830555555563</v>
      </c>
      <c r="B1631" t="s">
        <v>680</v>
      </c>
      <c r="C1631" t="str">
        <f>_xlfn.XLOOKUP(B1631,Tableau13[ID_Antenne],Tableau13[Province_RDC],"Non répertoriées")</f>
        <v>Non répertoriées</v>
      </c>
      <c r="D1631">
        <v>76</v>
      </c>
      <c r="E1631" t="str">
        <f>_xlfn.XLOOKUP(B1631,Tableau13[ID_Antenne],Tableau13[Technologie],"Non répertoriées")</f>
        <v>Non répertoriées</v>
      </c>
      <c r="F1631" t="str">
        <f>_xlfn.XLOOKUP(B1631,Tableau13[ID_Antenne],Tableau13[Latitude],"Non répertoriées")</f>
        <v>Non répertoriées</v>
      </c>
      <c r="G1631" t="str">
        <f>_xlfn.XLOOKUP(B1631,Tableau13[ID_Antenne],Tableau13[Longitude],"Non répertoriées")</f>
        <v>Non répertoriées</v>
      </c>
      <c r="H1631" t="s">
        <v>10</v>
      </c>
    </row>
    <row r="1632" spans="1:8" x14ac:dyDescent="0.25">
      <c r="A1632" s="1">
        <v>45230.722222222219</v>
      </c>
      <c r="B1632" t="s">
        <v>683</v>
      </c>
      <c r="C1632" s="29" t="str">
        <f>_xlfn.XLOOKUP(B1632,Tableau13[ID_Antenne],Tableau13[Province_RDC],"Non répertoriées")</f>
        <v>Maniema</v>
      </c>
      <c r="D1632">
        <v>43</v>
      </c>
      <c r="E1632" s="31" t="str">
        <f>_xlfn.XLOOKUP(B1632,Tableau13[ID_Antenne],Tableau13[Technologie],"Non répertoriées")</f>
        <v>4G</v>
      </c>
      <c r="F1632" s="3">
        <f>_xlfn.XLOOKUP(B1632,Tableau13[ID_Antenne],Tableau13[Latitude],"Non répertoriées")</f>
        <v>0.850665</v>
      </c>
      <c r="G1632" s="32">
        <f>_xlfn.XLOOKUP(B1632,Tableau13[ID_Antenne],Tableau13[Longitude],"Non répertoriées")</f>
        <v>19.446418000000001</v>
      </c>
      <c r="H1632" t="s">
        <v>5</v>
      </c>
    </row>
    <row r="1633" spans="1:8" x14ac:dyDescent="0.25">
      <c r="A1633" s="1">
        <v>45229.801388888889</v>
      </c>
      <c r="B1633" t="s">
        <v>442</v>
      </c>
      <c r="C1633" t="str">
        <f>_xlfn.XLOOKUP(B1633,Tableau13[ID_Antenne],Tableau13[Province_RDC],"Non répertoriées")</f>
        <v>Non répertoriées</v>
      </c>
      <c r="D1633">
        <v>33</v>
      </c>
      <c r="E1633" t="str">
        <f>_xlfn.XLOOKUP(B1633,Tableau13[ID_Antenne],Tableau13[Technologie],"Non répertoriées")</f>
        <v>Non répertoriées</v>
      </c>
      <c r="F1633" t="str">
        <f>_xlfn.XLOOKUP(B1633,Tableau13[ID_Antenne],Tableau13[Latitude],"Non répertoriées")</f>
        <v>Non répertoriées</v>
      </c>
      <c r="G1633" t="str">
        <f>_xlfn.XLOOKUP(B1633,Tableau13[ID_Antenne],Tableau13[Longitude],"Non répertoriées")</f>
        <v>Non répertoriées</v>
      </c>
      <c r="H1633" t="s">
        <v>5</v>
      </c>
    </row>
    <row r="1634" spans="1:8" x14ac:dyDescent="0.25">
      <c r="A1634" s="1">
        <v>45220.111111111109</v>
      </c>
      <c r="B1634" t="s">
        <v>212</v>
      </c>
      <c r="C1634" t="str">
        <f>_xlfn.XLOOKUP(B1634,Tableau13[ID_Antenne],Tableau13[Province_RDC],"Non répertoriées")</f>
        <v>Non répertoriées</v>
      </c>
      <c r="D1634">
        <v>43</v>
      </c>
      <c r="E1634" t="str">
        <f>_xlfn.XLOOKUP(B1634,Tableau13[ID_Antenne],Tableau13[Technologie],"Non répertoriées")</f>
        <v>Non répertoriées</v>
      </c>
      <c r="F1634" t="str">
        <f>_xlfn.XLOOKUP(B1634,Tableau13[ID_Antenne],Tableau13[Latitude],"Non répertoriées")</f>
        <v>Non répertoriées</v>
      </c>
      <c r="G1634" t="str">
        <f>_xlfn.XLOOKUP(B1634,Tableau13[ID_Antenne],Tableau13[Longitude],"Non répertoriées")</f>
        <v>Non répertoriées</v>
      </c>
      <c r="H1634" t="s">
        <v>10</v>
      </c>
    </row>
    <row r="1635" spans="1:8" x14ac:dyDescent="0.25">
      <c r="A1635" s="1">
        <v>45226.623611111107</v>
      </c>
      <c r="B1635" t="s">
        <v>429</v>
      </c>
      <c r="C1635" s="29" t="str">
        <f>_xlfn.XLOOKUP(B1635,Tableau13[ID_Antenne],Tableau13[Province_RDC],"Non répertoriées")</f>
        <v>Tshopo</v>
      </c>
      <c r="D1635">
        <v>103</v>
      </c>
      <c r="E1635" s="31" t="str">
        <f>_xlfn.XLOOKUP(B1635,Tableau13[ID_Antenne],Tableau13[Technologie],"Non répertoriées")</f>
        <v>5G</v>
      </c>
      <c r="F1635" s="3">
        <f>_xlfn.XLOOKUP(B1635,Tableau13[ID_Antenne],Tableau13[Latitude],"Non répertoriées")</f>
        <v>4.7777349999999998</v>
      </c>
      <c r="G1635" s="32">
        <f>_xlfn.XLOOKUP(B1635,Tableau13[ID_Antenne],Tableau13[Longitude],"Non répertoriées")</f>
        <v>16.392204</v>
      </c>
      <c r="H1635" t="s">
        <v>5</v>
      </c>
    </row>
    <row r="1636" spans="1:8" x14ac:dyDescent="0.25">
      <c r="A1636" s="1">
        <v>45222.40347222222</v>
      </c>
      <c r="B1636" t="s">
        <v>681</v>
      </c>
      <c r="C1636" s="29" t="str">
        <f>_xlfn.XLOOKUP(B1636,Tableau13[ID_Antenne],Tableau13[Province_RDC],"Non répertoriées")</f>
        <v>Nord-Kivu</v>
      </c>
      <c r="D1636">
        <v>41</v>
      </c>
      <c r="E1636" s="31" t="str">
        <f>_xlfn.XLOOKUP(B1636,Tableau13[ID_Antenne],Tableau13[Technologie],"Non répertoriées")</f>
        <v>5G</v>
      </c>
      <c r="F1636" s="3">
        <f>_xlfn.XLOOKUP(B1636,Tableau13[ID_Antenne],Tableau13[Latitude],"Non répertoriées")</f>
        <v>-6.0234120000000004</v>
      </c>
      <c r="G1636" s="32">
        <f>_xlfn.XLOOKUP(B1636,Tableau13[ID_Antenne],Tableau13[Longitude],"Non répertoriées")</f>
        <v>18.314309999999999</v>
      </c>
      <c r="H1636" t="s">
        <v>5</v>
      </c>
    </row>
    <row r="1637" spans="1:8" x14ac:dyDescent="0.25">
      <c r="A1637" s="1">
        <v>45213.130555555559</v>
      </c>
      <c r="B1637" t="s">
        <v>173</v>
      </c>
      <c r="C1637" t="str">
        <f>_xlfn.XLOOKUP(B1637,Tableau13[ID_Antenne],Tableau13[Province_RDC],"Non répertoriées")</f>
        <v>Non répertoriées</v>
      </c>
      <c r="D1637">
        <v>95</v>
      </c>
      <c r="E1637" t="str">
        <f>_xlfn.XLOOKUP(B1637,Tableau13[ID_Antenne],Tableau13[Technologie],"Non répertoriées")</f>
        <v>Non répertoriées</v>
      </c>
      <c r="F1637" t="str">
        <f>_xlfn.XLOOKUP(B1637,Tableau13[ID_Antenne],Tableau13[Latitude],"Non répertoriées")</f>
        <v>Non répertoriées</v>
      </c>
      <c r="G1637" t="str">
        <f>_xlfn.XLOOKUP(B1637,Tableau13[ID_Antenne],Tableau13[Longitude],"Non répertoriées")</f>
        <v>Non répertoriées</v>
      </c>
      <c r="H1637" t="s">
        <v>8</v>
      </c>
    </row>
    <row r="1638" spans="1:8" x14ac:dyDescent="0.25">
      <c r="A1638" s="1">
        <v>45201.054861111108</v>
      </c>
      <c r="B1638" t="s">
        <v>711</v>
      </c>
      <c r="C1638" s="29" t="str">
        <f>_xlfn.XLOOKUP(B1638,Tableau13[ID_Antenne],Tableau13[Province_RDC],"Non répertoriées")</f>
        <v>Lualaba</v>
      </c>
      <c r="D1638">
        <v>31</v>
      </c>
      <c r="E1638" s="31" t="str">
        <f>_xlfn.XLOOKUP(B1638,Tableau13[ID_Antenne],Tableau13[Technologie],"Non répertoriées")</f>
        <v>4G</v>
      </c>
      <c r="F1638" s="3">
        <f>_xlfn.XLOOKUP(B1638,Tableau13[ID_Antenne],Tableau13[Latitude],"Non répertoriées")</f>
        <v>-3.234483</v>
      </c>
      <c r="G1638" s="32">
        <f>_xlfn.XLOOKUP(B1638,Tableau13[ID_Antenne],Tableau13[Longitude],"Non répertoriées")</f>
        <v>13.241939</v>
      </c>
      <c r="H1638" t="s">
        <v>10</v>
      </c>
    </row>
    <row r="1639" spans="1:8" x14ac:dyDescent="0.25">
      <c r="A1639" s="1">
        <v>45215.129166666673</v>
      </c>
      <c r="B1639" t="s">
        <v>312</v>
      </c>
      <c r="C1639" s="29" t="str">
        <f>_xlfn.XLOOKUP(B1639,Tableau13[ID_Antenne],Tableau13[Province_RDC],"Non répertoriées")</f>
        <v>Mongala</v>
      </c>
      <c r="D1639">
        <v>93</v>
      </c>
      <c r="E1639" s="31" t="str">
        <f>_xlfn.XLOOKUP(B1639,Tableau13[ID_Antenne],Tableau13[Technologie],"Non répertoriées")</f>
        <v>3G</v>
      </c>
      <c r="F1639" s="3">
        <f>_xlfn.XLOOKUP(B1639,Tableau13[ID_Antenne],Tableau13[Latitude],"Non répertoriées")</f>
        <v>-1.231033</v>
      </c>
      <c r="G1639" s="32">
        <f>_xlfn.XLOOKUP(B1639,Tableau13[ID_Antenne],Tableau13[Longitude],"Non répertoriées")</f>
        <v>28.851388</v>
      </c>
      <c r="H1639" t="s">
        <v>8</v>
      </c>
    </row>
    <row r="1640" spans="1:8" x14ac:dyDescent="0.25">
      <c r="A1640" s="1">
        <v>45207.713888888888</v>
      </c>
      <c r="B1640" t="s">
        <v>696</v>
      </c>
      <c r="C1640" t="str">
        <f>_xlfn.XLOOKUP(B1640,Tableau13[ID_Antenne],Tableau13[Province_RDC],"Non répertoriées")</f>
        <v>Non répertoriées</v>
      </c>
      <c r="D1640">
        <v>95</v>
      </c>
      <c r="E1640" t="str">
        <f>_xlfn.XLOOKUP(B1640,Tableau13[ID_Antenne],Tableau13[Technologie],"Non répertoriées")</f>
        <v>Non répertoriées</v>
      </c>
      <c r="F1640" t="str">
        <f>_xlfn.XLOOKUP(B1640,Tableau13[ID_Antenne],Tableau13[Latitude],"Non répertoriées")</f>
        <v>Non répertoriées</v>
      </c>
      <c r="G1640" t="str">
        <f>_xlfn.XLOOKUP(B1640,Tableau13[ID_Antenne],Tableau13[Longitude],"Non répertoriées")</f>
        <v>Non répertoriées</v>
      </c>
      <c r="H1640" t="s">
        <v>10</v>
      </c>
    </row>
    <row r="1641" spans="1:8" x14ac:dyDescent="0.25">
      <c r="A1641" s="1">
        <v>45212.599305555559</v>
      </c>
      <c r="B1641" t="s">
        <v>638</v>
      </c>
      <c r="C1641" s="29" t="str">
        <f>_xlfn.XLOOKUP(B1641,Tableau13[ID_Antenne],Tableau13[Province_RDC],"Non répertoriées")</f>
        <v>Kasai-Central</v>
      </c>
      <c r="D1641">
        <v>67</v>
      </c>
      <c r="E1641" s="31" t="str">
        <f>_xlfn.XLOOKUP(B1641,Tableau13[ID_Antenne],Tableau13[Technologie],"Non répertoriées")</f>
        <v>5G</v>
      </c>
      <c r="F1641" s="3">
        <f>_xlfn.XLOOKUP(B1641,Tableau13[ID_Antenne],Tableau13[Latitude],"Non répertoriées")</f>
        <v>-8.0800809999999998</v>
      </c>
      <c r="G1641" s="32">
        <f>_xlfn.XLOOKUP(B1641,Tableau13[ID_Antenne],Tableau13[Longitude],"Non répertoriées")</f>
        <v>30.147970999999998</v>
      </c>
      <c r="H1641" t="s">
        <v>10</v>
      </c>
    </row>
    <row r="1642" spans="1:8" x14ac:dyDescent="0.25">
      <c r="A1642" s="1">
        <v>45221.988888888889</v>
      </c>
      <c r="B1642" t="s">
        <v>738</v>
      </c>
      <c r="C1642" s="29" t="str">
        <f>_xlfn.XLOOKUP(B1642,Tableau13[ID_Antenne],Tableau13[Province_RDC],"Non répertoriées")</f>
        <v>Kasai</v>
      </c>
      <c r="D1642">
        <v>45</v>
      </c>
      <c r="E1642" s="31" t="str">
        <f>_xlfn.XLOOKUP(B1642,Tableau13[ID_Antenne],Tableau13[Technologie],"Non répertoriées")</f>
        <v>5G</v>
      </c>
      <c r="F1642" s="3">
        <f>_xlfn.XLOOKUP(B1642,Tableau13[ID_Antenne],Tableau13[Latitude],"Non répertoriées")</f>
        <v>4.1464489999999996</v>
      </c>
      <c r="G1642" s="32">
        <f>_xlfn.XLOOKUP(B1642,Tableau13[ID_Antenne],Tableau13[Longitude],"Non répertoriées")</f>
        <v>17.793337000000001</v>
      </c>
      <c r="H1642" t="s">
        <v>5</v>
      </c>
    </row>
    <row r="1643" spans="1:8" x14ac:dyDescent="0.25">
      <c r="A1643" s="1">
        <v>45230.726388888892</v>
      </c>
      <c r="B1643" t="s">
        <v>154</v>
      </c>
      <c r="C1643" t="str">
        <f>_xlfn.XLOOKUP(B1643,Tableau13[ID_Antenne],Tableau13[Province_RDC],"Non répertoriées")</f>
        <v>Non répertoriées</v>
      </c>
      <c r="D1643">
        <v>66</v>
      </c>
      <c r="E1643" t="str">
        <f>_xlfn.XLOOKUP(B1643,Tableau13[ID_Antenne],Tableau13[Technologie],"Non répertoriées")</f>
        <v>Non répertoriées</v>
      </c>
      <c r="F1643" t="str">
        <f>_xlfn.XLOOKUP(B1643,Tableau13[ID_Antenne],Tableau13[Latitude],"Non répertoriées")</f>
        <v>Non répertoriées</v>
      </c>
      <c r="G1643" t="str">
        <f>_xlfn.XLOOKUP(B1643,Tableau13[ID_Antenne],Tableau13[Longitude],"Non répertoriées")</f>
        <v>Non répertoriées</v>
      </c>
      <c r="H1643" t="s">
        <v>10</v>
      </c>
    </row>
    <row r="1644" spans="1:8" x14ac:dyDescent="0.25">
      <c r="A1644" s="1">
        <v>45218.990277777782</v>
      </c>
      <c r="B1644" t="s">
        <v>496</v>
      </c>
      <c r="C1644" t="str">
        <f>_xlfn.XLOOKUP(B1644,Tableau13[ID_Antenne],Tableau13[Province_RDC],"Non répertoriées")</f>
        <v>Non répertoriées</v>
      </c>
      <c r="D1644">
        <v>49</v>
      </c>
      <c r="E1644" t="str">
        <f>_xlfn.XLOOKUP(B1644,Tableau13[ID_Antenne],Tableau13[Technologie],"Non répertoriées")</f>
        <v>Non répertoriées</v>
      </c>
      <c r="F1644" t="str">
        <f>_xlfn.XLOOKUP(B1644,Tableau13[ID_Antenne],Tableau13[Latitude],"Non répertoriées")</f>
        <v>Non répertoriées</v>
      </c>
      <c r="G1644" t="str">
        <f>_xlfn.XLOOKUP(B1644,Tableau13[ID_Antenne],Tableau13[Longitude],"Non répertoriées")</f>
        <v>Non répertoriées</v>
      </c>
      <c r="H1644" t="s">
        <v>8</v>
      </c>
    </row>
    <row r="1645" spans="1:8" x14ac:dyDescent="0.25">
      <c r="A1645" s="1">
        <v>45204.570138888892</v>
      </c>
      <c r="B1645" t="s">
        <v>288</v>
      </c>
      <c r="C1645" t="str">
        <f>_xlfn.XLOOKUP(B1645,Tableau13[ID_Antenne],Tableau13[Province_RDC],"Non répertoriées")</f>
        <v>Non répertoriées</v>
      </c>
      <c r="D1645">
        <v>76</v>
      </c>
      <c r="E1645" t="str">
        <f>_xlfn.XLOOKUP(B1645,Tableau13[ID_Antenne],Tableau13[Technologie],"Non répertoriées")</f>
        <v>Non répertoriées</v>
      </c>
      <c r="F1645" t="str">
        <f>_xlfn.XLOOKUP(B1645,Tableau13[ID_Antenne],Tableau13[Latitude],"Non répertoriées")</f>
        <v>Non répertoriées</v>
      </c>
      <c r="G1645" t="str">
        <f>_xlfn.XLOOKUP(B1645,Tableau13[ID_Antenne],Tableau13[Longitude],"Non répertoriées")</f>
        <v>Non répertoriées</v>
      </c>
      <c r="H1645" t="s">
        <v>10</v>
      </c>
    </row>
    <row r="1646" spans="1:8" x14ac:dyDescent="0.25">
      <c r="A1646" s="1">
        <v>45203.652083333327</v>
      </c>
      <c r="B1646" t="s">
        <v>322</v>
      </c>
      <c r="C1646" t="str">
        <f>_xlfn.XLOOKUP(B1646,Tableau13[ID_Antenne],Tableau13[Province_RDC],"Non répertoriées")</f>
        <v>Non répertoriées</v>
      </c>
      <c r="D1646">
        <v>106</v>
      </c>
      <c r="E1646" t="str">
        <f>_xlfn.XLOOKUP(B1646,Tableau13[ID_Antenne],Tableau13[Technologie],"Non répertoriées")</f>
        <v>Non répertoriées</v>
      </c>
      <c r="F1646" t="str">
        <f>_xlfn.XLOOKUP(B1646,Tableau13[ID_Antenne],Tableau13[Latitude],"Non répertoriées")</f>
        <v>Non répertoriées</v>
      </c>
      <c r="G1646" t="str">
        <f>_xlfn.XLOOKUP(B1646,Tableau13[ID_Antenne],Tableau13[Longitude],"Non répertoriées")</f>
        <v>Non répertoriées</v>
      </c>
      <c r="H1646" t="s">
        <v>5</v>
      </c>
    </row>
    <row r="1647" spans="1:8" x14ac:dyDescent="0.25">
      <c r="A1647" s="1">
        <v>45213.334722222222</v>
      </c>
      <c r="B1647" t="s">
        <v>348</v>
      </c>
      <c r="C1647" t="str">
        <f>_xlfn.XLOOKUP(B1647,Tableau13[ID_Antenne],Tableau13[Province_RDC],"Non répertoriées")</f>
        <v>Non répertoriées</v>
      </c>
      <c r="D1647">
        <v>97</v>
      </c>
      <c r="E1647" t="str">
        <f>_xlfn.XLOOKUP(B1647,Tableau13[ID_Antenne],Tableau13[Technologie],"Non répertoriées")</f>
        <v>Non répertoriées</v>
      </c>
      <c r="F1647" t="str">
        <f>_xlfn.XLOOKUP(B1647,Tableau13[ID_Antenne],Tableau13[Latitude],"Non répertoriées")</f>
        <v>Non répertoriées</v>
      </c>
      <c r="G1647" t="str">
        <f>_xlfn.XLOOKUP(B1647,Tableau13[ID_Antenne],Tableau13[Longitude],"Non répertoriées")</f>
        <v>Non répertoriées</v>
      </c>
      <c r="H1647" t="s">
        <v>10</v>
      </c>
    </row>
    <row r="1648" spans="1:8" x14ac:dyDescent="0.25">
      <c r="A1648" s="1">
        <v>45222.467361111107</v>
      </c>
      <c r="B1648" t="s">
        <v>112</v>
      </c>
      <c r="C1648" t="str">
        <f>_xlfn.XLOOKUP(B1648,Tableau13[ID_Antenne],Tableau13[Province_RDC],"Non répertoriées")</f>
        <v>Non répertoriées</v>
      </c>
      <c r="D1648">
        <v>40</v>
      </c>
      <c r="E1648" t="str">
        <f>_xlfn.XLOOKUP(B1648,Tableau13[ID_Antenne],Tableau13[Technologie],"Non répertoriées")</f>
        <v>Non répertoriées</v>
      </c>
      <c r="F1648" t="str">
        <f>_xlfn.XLOOKUP(B1648,Tableau13[ID_Antenne],Tableau13[Latitude],"Non répertoriées")</f>
        <v>Non répertoriées</v>
      </c>
      <c r="G1648" t="str">
        <f>_xlfn.XLOOKUP(B1648,Tableau13[ID_Antenne],Tableau13[Longitude],"Non répertoriées")</f>
        <v>Non répertoriées</v>
      </c>
      <c r="H1648" t="s">
        <v>5</v>
      </c>
    </row>
    <row r="1649" spans="1:8" x14ac:dyDescent="0.25">
      <c r="A1649" s="1">
        <v>45214.59375</v>
      </c>
      <c r="B1649" t="s">
        <v>78</v>
      </c>
      <c r="C1649" s="29" t="str">
        <f>_xlfn.XLOOKUP(B1649,Tableau13[ID_Antenne],Tableau13[Province_RDC],"Non répertoriées")</f>
        <v>Sud-Ubangi</v>
      </c>
      <c r="D1649">
        <v>41</v>
      </c>
      <c r="E1649" s="31" t="str">
        <f>_xlfn.XLOOKUP(B1649,Tableau13[ID_Antenne],Tableau13[Technologie],"Non répertoriées")</f>
        <v>5G</v>
      </c>
      <c r="F1649" s="3">
        <f>_xlfn.XLOOKUP(B1649,Tableau13[ID_Antenne],Tableau13[Latitude],"Non répertoriées")</f>
        <v>-12.141233</v>
      </c>
      <c r="G1649" s="32">
        <f>_xlfn.XLOOKUP(B1649,Tableau13[ID_Antenne],Tableau13[Longitude],"Non répertoriées")</f>
        <v>15.179043999999999</v>
      </c>
      <c r="H1649" t="s">
        <v>5</v>
      </c>
    </row>
    <row r="1650" spans="1:8" x14ac:dyDescent="0.25">
      <c r="A1650" s="1">
        <v>45227.462500000001</v>
      </c>
      <c r="B1650" t="s">
        <v>524</v>
      </c>
      <c r="C1650" t="str">
        <f>_xlfn.XLOOKUP(B1650,Tableau13[ID_Antenne],Tableau13[Province_RDC],"Non répertoriées")</f>
        <v>Non répertoriées</v>
      </c>
      <c r="D1650">
        <v>20</v>
      </c>
      <c r="E1650" t="str">
        <f>_xlfn.XLOOKUP(B1650,Tableau13[ID_Antenne],Tableau13[Technologie],"Non répertoriées")</f>
        <v>Non répertoriées</v>
      </c>
      <c r="F1650" t="str">
        <f>_xlfn.XLOOKUP(B1650,Tableau13[ID_Antenne],Tableau13[Latitude],"Non répertoriées")</f>
        <v>Non répertoriées</v>
      </c>
      <c r="G1650" t="str">
        <f>_xlfn.XLOOKUP(B1650,Tableau13[ID_Antenne],Tableau13[Longitude],"Non répertoriées")</f>
        <v>Non répertoriées</v>
      </c>
      <c r="H1650" t="s">
        <v>10</v>
      </c>
    </row>
    <row r="1651" spans="1:8" x14ac:dyDescent="0.25">
      <c r="A1651" s="1">
        <v>45221.481944444437</v>
      </c>
      <c r="B1651" t="s">
        <v>735</v>
      </c>
      <c r="C1651" s="29" t="str">
        <f>_xlfn.XLOOKUP(B1651,Tableau13[ID_Antenne],Tableau13[Province_RDC],"Non répertoriées")</f>
        <v>Tshopo</v>
      </c>
      <c r="D1651">
        <v>78</v>
      </c>
      <c r="E1651" s="31" t="str">
        <f>_xlfn.XLOOKUP(B1651,Tableau13[ID_Antenne],Tableau13[Technologie],"Non répertoriées")</f>
        <v>5G</v>
      </c>
      <c r="F1651" s="3">
        <f>_xlfn.XLOOKUP(B1651,Tableau13[ID_Antenne],Tableau13[Latitude],"Non répertoriées")</f>
        <v>1.499457</v>
      </c>
      <c r="G1651" s="32">
        <f>_xlfn.XLOOKUP(B1651,Tableau13[ID_Antenne],Tableau13[Longitude],"Non répertoriées")</f>
        <v>13.876317999999999</v>
      </c>
      <c r="H1651" t="s">
        <v>10</v>
      </c>
    </row>
    <row r="1652" spans="1:8" x14ac:dyDescent="0.25">
      <c r="A1652" s="1">
        <v>45228.848611111112</v>
      </c>
      <c r="B1652" t="s">
        <v>240</v>
      </c>
      <c r="C1652" t="str">
        <f>_xlfn.XLOOKUP(B1652,Tableau13[ID_Antenne],Tableau13[Province_RDC],"Non répertoriées")</f>
        <v>Non répertoriées</v>
      </c>
      <c r="D1652">
        <v>91</v>
      </c>
      <c r="E1652" t="str">
        <f>_xlfn.XLOOKUP(B1652,Tableau13[ID_Antenne],Tableau13[Technologie],"Non répertoriées")</f>
        <v>Non répertoriées</v>
      </c>
      <c r="F1652" t="str">
        <f>_xlfn.XLOOKUP(B1652,Tableau13[ID_Antenne],Tableau13[Latitude],"Non répertoriées")</f>
        <v>Non répertoriées</v>
      </c>
      <c r="G1652" t="str">
        <f>_xlfn.XLOOKUP(B1652,Tableau13[ID_Antenne],Tableau13[Longitude],"Non répertoriées")</f>
        <v>Non répertoriées</v>
      </c>
      <c r="H1652" t="s">
        <v>10</v>
      </c>
    </row>
    <row r="1653" spans="1:8" x14ac:dyDescent="0.25">
      <c r="A1653" s="1">
        <v>45201.511805555558</v>
      </c>
      <c r="B1653" t="s">
        <v>689</v>
      </c>
      <c r="C1653" s="29" t="str">
        <f>_xlfn.XLOOKUP(B1653,Tableau13[ID_Antenne],Tableau13[Province_RDC],"Non répertoriées")</f>
        <v>Tshopo</v>
      </c>
      <c r="D1653">
        <v>74</v>
      </c>
      <c r="E1653" s="31" t="str">
        <f>_xlfn.XLOOKUP(B1653,Tableau13[ID_Antenne],Tableau13[Technologie],"Non répertoriées")</f>
        <v>4G</v>
      </c>
      <c r="F1653" s="3">
        <f>_xlfn.XLOOKUP(B1653,Tableau13[ID_Antenne],Tableau13[Latitude],"Non répertoriées")</f>
        <v>1.472051</v>
      </c>
      <c r="G1653" s="32">
        <f>_xlfn.XLOOKUP(B1653,Tableau13[ID_Antenne],Tableau13[Longitude],"Non répertoriées")</f>
        <v>17.36289</v>
      </c>
      <c r="H1653" t="s">
        <v>5</v>
      </c>
    </row>
    <row r="1654" spans="1:8" x14ac:dyDescent="0.25">
      <c r="A1654" s="1">
        <v>45206.162499999999</v>
      </c>
      <c r="B1654" t="s">
        <v>439</v>
      </c>
      <c r="C1654" s="29" t="str">
        <f>_xlfn.XLOOKUP(B1654,Tableau13[ID_Antenne],Tableau13[Province_RDC],"Non répertoriées")</f>
        <v>Kwilu</v>
      </c>
      <c r="D1654">
        <v>53</v>
      </c>
      <c r="E1654" s="31" t="str">
        <f>_xlfn.XLOOKUP(B1654,Tableau13[ID_Antenne],Tableau13[Technologie],"Non répertoriées")</f>
        <v>3G</v>
      </c>
      <c r="F1654" s="3">
        <f>_xlfn.XLOOKUP(B1654,Tableau13[ID_Antenne],Tableau13[Latitude],"Non répertoriées")</f>
        <v>-10.161428000000001</v>
      </c>
      <c r="G1654" s="32">
        <f>_xlfn.XLOOKUP(B1654,Tableau13[ID_Antenne],Tableau13[Longitude],"Non répertoriées")</f>
        <v>19.362325999999999</v>
      </c>
      <c r="H1654" t="s">
        <v>5</v>
      </c>
    </row>
    <row r="1655" spans="1:8" x14ac:dyDescent="0.25">
      <c r="A1655" s="1">
        <v>45226.586805555547</v>
      </c>
      <c r="B1655" t="s">
        <v>20</v>
      </c>
      <c r="C1655" t="str">
        <f>_xlfn.XLOOKUP(B1655,Tableau13[ID_Antenne],Tableau13[Province_RDC],"Non répertoriées")</f>
        <v>Non répertoriées</v>
      </c>
      <c r="D1655">
        <v>119</v>
      </c>
      <c r="E1655" t="str">
        <f>_xlfn.XLOOKUP(B1655,Tableau13[ID_Antenne],Tableau13[Technologie],"Non répertoriées")</f>
        <v>Non répertoriées</v>
      </c>
      <c r="F1655" t="str">
        <f>_xlfn.XLOOKUP(B1655,Tableau13[ID_Antenne],Tableau13[Latitude],"Non répertoriées")</f>
        <v>Non répertoriées</v>
      </c>
      <c r="G1655" t="str">
        <f>_xlfn.XLOOKUP(B1655,Tableau13[ID_Antenne],Tableau13[Longitude],"Non répertoriées")</f>
        <v>Non répertoriées</v>
      </c>
      <c r="H1655" t="s">
        <v>8</v>
      </c>
    </row>
    <row r="1656" spans="1:8" x14ac:dyDescent="0.25">
      <c r="A1656" s="1">
        <v>45221.27847222222</v>
      </c>
      <c r="B1656" t="s">
        <v>682</v>
      </c>
      <c r="C1656" t="str">
        <f>_xlfn.XLOOKUP(B1656,Tableau13[ID_Antenne],Tableau13[Province_RDC],"Non répertoriées")</f>
        <v>Non répertoriées</v>
      </c>
      <c r="D1656">
        <v>55</v>
      </c>
      <c r="E1656" t="str">
        <f>_xlfn.XLOOKUP(B1656,Tableau13[ID_Antenne],Tableau13[Technologie],"Non répertoriées")</f>
        <v>Non répertoriées</v>
      </c>
      <c r="F1656" t="str">
        <f>_xlfn.XLOOKUP(B1656,Tableau13[ID_Antenne],Tableau13[Latitude],"Non répertoriées")</f>
        <v>Non répertoriées</v>
      </c>
      <c r="G1656" t="str">
        <f>_xlfn.XLOOKUP(B1656,Tableau13[ID_Antenne],Tableau13[Longitude],"Non répertoriées")</f>
        <v>Non répertoriées</v>
      </c>
      <c r="H1656" t="s">
        <v>8</v>
      </c>
    </row>
    <row r="1657" spans="1:8" x14ac:dyDescent="0.25">
      <c r="A1657" s="1">
        <v>45220.792361111111</v>
      </c>
      <c r="B1657" t="s">
        <v>601</v>
      </c>
      <c r="C1657" t="str">
        <f>_xlfn.XLOOKUP(B1657,Tableau13[ID_Antenne],Tableau13[Province_RDC],"Non répertoriées")</f>
        <v>Non répertoriées</v>
      </c>
      <c r="D1657">
        <v>109</v>
      </c>
      <c r="E1657" t="str">
        <f>_xlfn.XLOOKUP(B1657,Tableau13[ID_Antenne],Tableau13[Technologie],"Non répertoriées")</f>
        <v>Non répertoriées</v>
      </c>
      <c r="F1657" t="str">
        <f>_xlfn.XLOOKUP(B1657,Tableau13[ID_Antenne],Tableau13[Latitude],"Non répertoriées")</f>
        <v>Non répertoriées</v>
      </c>
      <c r="G1657" t="str">
        <f>_xlfn.XLOOKUP(B1657,Tableau13[ID_Antenne],Tableau13[Longitude],"Non répertoriées")</f>
        <v>Non répertoriées</v>
      </c>
      <c r="H1657" t="s">
        <v>8</v>
      </c>
    </row>
    <row r="1658" spans="1:8" x14ac:dyDescent="0.25">
      <c r="A1658" s="1">
        <v>45201.427083333343</v>
      </c>
      <c r="B1658" t="s">
        <v>41</v>
      </c>
      <c r="C1658" t="str">
        <f>_xlfn.XLOOKUP(B1658,Tableau13[ID_Antenne],Tableau13[Province_RDC],"Non répertoriées")</f>
        <v>Non répertoriées</v>
      </c>
      <c r="D1658">
        <v>49</v>
      </c>
      <c r="E1658" t="str">
        <f>_xlfn.XLOOKUP(B1658,Tableau13[ID_Antenne],Tableau13[Technologie],"Non répertoriées")</f>
        <v>Non répertoriées</v>
      </c>
      <c r="F1658" t="str">
        <f>_xlfn.XLOOKUP(B1658,Tableau13[ID_Antenne],Tableau13[Latitude],"Non répertoriées")</f>
        <v>Non répertoriées</v>
      </c>
      <c r="G1658" t="str">
        <f>_xlfn.XLOOKUP(B1658,Tableau13[ID_Antenne],Tableau13[Longitude],"Non répertoriées")</f>
        <v>Non répertoriées</v>
      </c>
      <c r="H1658" t="s">
        <v>5</v>
      </c>
    </row>
    <row r="1659" spans="1:8" x14ac:dyDescent="0.25">
      <c r="A1659" s="1">
        <v>45204.759027777778</v>
      </c>
      <c r="B1659" t="s">
        <v>582</v>
      </c>
      <c r="C1659" s="29" t="str">
        <f>_xlfn.XLOOKUP(B1659,Tableau13[ID_Antenne],Tableau13[Province_RDC],"Non répertoriées")</f>
        <v>Kongo-Central</v>
      </c>
      <c r="D1659">
        <v>103</v>
      </c>
      <c r="E1659" s="31" t="str">
        <f>_xlfn.XLOOKUP(B1659,Tableau13[ID_Antenne],Tableau13[Technologie],"Non répertoriées")</f>
        <v>5G</v>
      </c>
      <c r="F1659" s="3">
        <f>_xlfn.XLOOKUP(B1659,Tableau13[ID_Antenne],Tableau13[Latitude],"Non répertoriées")</f>
        <v>-10.977309</v>
      </c>
      <c r="G1659" s="32">
        <f>_xlfn.XLOOKUP(B1659,Tableau13[ID_Antenne],Tableau13[Longitude],"Non répertoriées")</f>
        <v>12.408281000000001</v>
      </c>
      <c r="H1659" t="s">
        <v>8</v>
      </c>
    </row>
    <row r="1660" spans="1:8" x14ac:dyDescent="0.25">
      <c r="A1660" s="1">
        <v>45202.717361111107</v>
      </c>
      <c r="B1660" t="s">
        <v>622</v>
      </c>
      <c r="C1660" s="29" t="str">
        <f>_xlfn.XLOOKUP(B1660,Tableau13[ID_Antenne],Tableau13[Province_RDC],"Non répertoriées")</f>
        <v>Bas-Uele</v>
      </c>
      <c r="D1660">
        <v>107</v>
      </c>
      <c r="E1660" s="31" t="str">
        <f>_xlfn.XLOOKUP(B1660,Tableau13[ID_Antenne],Tableau13[Technologie],"Non répertoriées")</f>
        <v>4G</v>
      </c>
      <c r="F1660" s="3">
        <f>_xlfn.XLOOKUP(B1660,Tableau13[ID_Antenne],Tableau13[Latitude],"Non répertoriées")</f>
        <v>-1.6893210000000001</v>
      </c>
      <c r="G1660" s="32">
        <f>_xlfn.XLOOKUP(B1660,Tableau13[ID_Antenne],Tableau13[Longitude],"Non répertoriées")</f>
        <v>30.446543999999999</v>
      </c>
      <c r="H1660" t="s">
        <v>10</v>
      </c>
    </row>
    <row r="1661" spans="1:8" x14ac:dyDescent="0.25">
      <c r="A1661" s="1">
        <v>45218.286111111112</v>
      </c>
      <c r="B1661" t="s">
        <v>725</v>
      </c>
      <c r="C1661" s="29" t="str">
        <f>_xlfn.XLOOKUP(B1661,Tableau13[ID_Antenne],Tableau13[Province_RDC],"Non répertoriées")</f>
        <v>Lualaba</v>
      </c>
      <c r="D1661">
        <v>23</v>
      </c>
      <c r="E1661" s="31" t="str">
        <f>_xlfn.XLOOKUP(B1661,Tableau13[ID_Antenne],Tableau13[Technologie],"Non répertoriées")</f>
        <v>4G</v>
      </c>
      <c r="F1661" s="3">
        <f>_xlfn.XLOOKUP(B1661,Tableau13[ID_Antenne],Tableau13[Latitude],"Non répertoriées")</f>
        <v>-1.7476179999999999</v>
      </c>
      <c r="G1661" s="32">
        <f>_xlfn.XLOOKUP(B1661,Tableau13[ID_Antenne],Tableau13[Longitude],"Non répertoriées")</f>
        <v>18.129401000000001</v>
      </c>
      <c r="H1661" t="s">
        <v>10</v>
      </c>
    </row>
    <row r="1662" spans="1:8" x14ac:dyDescent="0.25">
      <c r="A1662" s="1">
        <v>45227.306250000001</v>
      </c>
      <c r="B1662" t="s">
        <v>385</v>
      </c>
      <c r="C1662" s="29" t="str">
        <f>_xlfn.XLOOKUP(B1662,Tableau13[ID_Antenne],Tableau13[Province_RDC],"Non répertoriées")</f>
        <v>Equateur</v>
      </c>
      <c r="D1662">
        <v>42</v>
      </c>
      <c r="E1662" s="31" t="str">
        <f>_xlfn.XLOOKUP(B1662,Tableau13[ID_Antenne],Tableau13[Technologie],"Non répertoriées")</f>
        <v>5G</v>
      </c>
      <c r="F1662" s="3">
        <f>_xlfn.XLOOKUP(B1662,Tableau13[ID_Antenne],Tableau13[Latitude],"Non répertoriées")</f>
        <v>-0.79459900000000006</v>
      </c>
      <c r="G1662" s="32">
        <f>_xlfn.XLOOKUP(B1662,Tableau13[ID_Antenne],Tableau13[Longitude],"Non répertoriées")</f>
        <v>26.775570999999999</v>
      </c>
      <c r="H1662" t="s">
        <v>10</v>
      </c>
    </row>
    <row r="1663" spans="1:8" x14ac:dyDescent="0.25">
      <c r="A1663" s="1">
        <v>45224.201388888891</v>
      </c>
      <c r="B1663" t="s">
        <v>539</v>
      </c>
      <c r="C1663" t="str">
        <f>_xlfn.XLOOKUP(B1663,Tableau13[ID_Antenne],Tableau13[Province_RDC],"Non répertoriées")</f>
        <v>Non répertoriées</v>
      </c>
      <c r="D1663">
        <v>10</v>
      </c>
      <c r="E1663" t="str">
        <f>_xlfn.XLOOKUP(B1663,Tableau13[ID_Antenne],Tableau13[Technologie],"Non répertoriées")</f>
        <v>Non répertoriées</v>
      </c>
      <c r="F1663" t="str">
        <f>_xlfn.XLOOKUP(B1663,Tableau13[ID_Antenne],Tableau13[Latitude],"Non répertoriées")</f>
        <v>Non répertoriées</v>
      </c>
      <c r="G1663" t="str">
        <f>_xlfn.XLOOKUP(B1663,Tableau13[ID_Antenne],Tableau13[Longitude],"Non répertoriées")</f>
        <v>Non répertoriées</v>
      </c>
      <c r="H1663" t="s">
        <v>8</v>
      </c>
    </row>
    <row r="1664" spans="1:8" x14ac:dyDescent="0.25">
      <c r="A1664" s="1">
        <v>45228.791666666657</v>
      </c>
      <c r="B1664" t="s">
        <v>255</v>
      </c>
      <c r="C1664" t="str">
        <f>_xlfn.XLOOKUP(B1664,Tableau13[ID_Antenne],Tableau13[Province_RDC],"Non répertoriées")</f>
        <v>Non répertoriées</v>
      </c>
      <c r="D1664">
        <v>41</v>
      </c>
      <c r="E1664" t="str">
        <f>_xlfn.XLOOKUP(B1664,Tableau13[ID_Antenne],Tableau13[Technologie],"Non répertoriées")</f>
        <v>Non répertoriées</v>
      </c>
      <c r="F1664" t="str">
        <f>_xlfn.XLOOKUP(B1664,Tableau13[ID_Antenne],Tableau13[Latitude],"Non répertoriées")</f>
        <v>Non répertoriées</v>
      </c>
      <c r="G1664" t="str">
        <f>_xlfn.XLOOKUP(B1664,Tableau13[ID_Antenne],Tableau13[Longitude],"Non répertoriées")</f>
        <v>Non répertoriées</v>
      </c>
      <c r="H1664" t="s">
        <v>10</v>
      </c>
    </row>
    <row r="1665" spans="1:8" x14ac:dyDescent="0.25">
      <c r="A1665" s="1">
        <v>45208.172222222223</v>
      </c>
      <c r="B1665" t="s">
        <v>738</v>
      </c>
      <c r="C1665" s="29" t="str">
        <f>_xlfn.XLOOKUP(B1665,Tableau13[ID_Antenne],Tableau13[Province_RDC],"Non répertoriées")</f>
        <v>Kasai</v>
      </c>
      <c r="D1665">
        <v>96</v>
      </c>
      <c r="E1665" s="31" t="str">
        <f>_xlfn.XLOOKUP(B1665,Tableau13[ID_Antenne],Tableau13[Technologie],"Non répertoriées")</f>
        <v>5G</v>
      </c>
      <c r="F1665" s="3">
        <f>_xlfn.XLOOKUP(B1665,Tableau13[ID_Antenne],Tableau13[Latitude],"Non répertoriées")</f>
        <v>4.1464489999999996</v>
      </c>
      <c r="G1665" s="32">
        <f>_xlfn.XLOOKUP(B1665,Tableau13[ID_Antenne],Tableau13[Longitude],"Non répertoriées")</f>
        <v>17.793337000000001</v>
      </c>
      <c r="H1665" t="s">
        <v>5</v>
      </c>
    </row>
    <row r="1666" spans="1:8" x14ac:dyDescent="0.25">
      <c r="A1666" s="1">
        <v>45217.368750000001</v>
      </c>
      <c r="B1666" t="s">
        <v>599</v>
      </c>
      <c r="C1666" t="str">
        <f>_xlfn.XLOOKUP(B1666,Tableau13[ID_Antenne],Tableau13[Province_RDC],"Non répertoriées")</f>
        <v>Non répertoriées</v>
      </c>
      <c r="D1666">
        <v>15</v>
      </c>
      <c r="E1666" t="str">
        <f>_xlfn.XLOOKUP(B1666,Tableau13[ID_Antenne],Tableau13[Technologie],"Non répertoriées")</f>
        <v>Non répertoriées</v>
      </c>
      <c r="F1666" t="str">
        <f>_xlfn.XLOOKUP(B1666,Tableau13[ID_Antenne],Tableau13[Latitude],"Non répertoriées")</f>
        <v>Non répertoriées</v>
      </c>
      <c r="G1666" t="str">
        <f>_xlfn.XLOOKUP(B1666,Tableau13[ID_Antenne],Tableau13[Longitude],"Non répertoriées")</f>
        <v>Non répertoriées</v>
      </c>
      <c r="H1666" t="s">
        <v>5</v>
      </c>
    </row>
    <row r="1667" spans="1:8" x14ac:dyDescent="0.25">
      <c r="A1667" s="1">
        <v>45205.154166666667</v>
      </c>
      <c r="B1667" t="s">
        <v>688</v>
      </c>
      <c r="C1667" t="str">
        <f>_xlfn.XLOOKUP(B1667,Tableau13[ID_Antenne],Tableau13[Province_RDC],"Non répertoriées")</f>
        <v>Non répertoriées</v>
      </c>
      <c r="D1667">
        <v>49</v>
      </c>
      <c r="E1667" t="str">
        <f>_xlfn.XLOOKUP(B1667,Tableau13[ID_Antenne],Tableau13[Technologie],"Non répertoriées")</f>
        <v>Non répertoriées</v>
      </c>
      <c r="F1667" t="str">
        <f>_xlfn.XLOOKUP(B1667,Tableau13[ID_Antenne],Tableau13[Latitude],"Non répertoriées")</f>
        <v>Non répertoriées</v>
      </c>
      <c r="G1667" t="str">
        <f>_xlfn.XLOOKUP(B1667,Tableau13[ID_Antenne],Tableau13[Longitude],"Non répertoriées")</f>
        <v>Non répertoriées</v>
      </c>
      <c r="H1667" t="s">
        <v>10</v>
      </c>
    </row>
    <row r="1668" spans="1:8" x14ac:dyDescent="0.25">
      <c r="A1668" s="1">
        <v>45227.005555555559</v>
      </c>
      <c r="B1668" t="s">
        <v>77</v>
      </c>
      <c r="C1668" s="29" t="str">
        <f>_xlfn.XLOOKUP(B1668,Tableau13[ID_Antenne],Tableau13[Province_RDC],"Non répertoriées")</f>
        <v>Haut-Katanga</v>
      </c>
      <c r="D1668">
        <v>61</v>
      </c>
      <c r="E1668" s="31" t="str">
        <f>_xlfn.XLOOKUP(B1668,Tableau13[ID_Antenne],Tableau13[Technologie],"Non répertoriées")</f>
        <v>3G</v>
      </c>
      <c r="F1668" s="3">
        <f>_xlfn.XLOOKUP(B1668,Tableau13[ID_Antenne],Tableau13[Latitude],"Non répertoriées")</f>
        <v>4.4712560000000003</v>
      </c>
      <c r="G1668" s="32">
        <f>_xlfn.XLOOKUP(B1668,Tableau13[ID_Antenne],Tableau13[Longitude],"Non répertoriées")</f>
        <v>27.107028</v>
      </c>
      <c r="H1668" t="s">
        <v>10</v>
      </c>
    </row>
    <row r="1669" spans="1:8" x14ac:dyDescent="0.25">
      <c r="A1669" s="1">
        <v>45200.493055555547</v>
      </c>
      <c r="B1669" t="s">
        <v>224</v>
      </c>
      <c r="C1669" s="29" t="str">
        <f>_xlfn.XLOOKUP(B1669,Tableau13[ID_Antenne],Tableau13[Province_RDC],"Non répertoriées")</f>
        <v>Kongo-Central</v>
      </c>
      <c r="D1669">
        <v>88</v>
      </c>
      <c r="E1669" s="31" t="str">
        <f>_xlfn.XLOOKUP(B1669,Tableau13[ID_Antenne],Tableau13[Technologie],"Non répertoriées")</f>
        <v>4G</v>
      </c>
      <c r="F1669" s="3">
        <f>_xlfn.XLOOKUP(B1669,Tableau13[ID_Antenne],Tableau13[Latitude],"Non répertoriées")</f>
        <v>2.975352</v>
      </c>
      <c r="G1669" s="32">
        <f>_xlfn.XLOOKUP(B1669,Tableau13[ID_Antenne],Tableau13[Longitude],"Non répertoriées")</f>
        <v>22.535886000000001</v>
      </c>
      <c r="H1669" t="s">
        <v>5</v>
      </c>
    </row>
    <row r="1670" spans="1:8" x14ac:dyDescent="0.25">
      <c r="A1670" s="1">
        <v>45225.317361111112</v>
      </c>
      <c r="B1670" t="s">
        <v>230</v>
      </c>
      <c r="C1670" s="29" t="str">
        <f>_xlfn.XLOOKUP(B1670,Tableau13[ID_Antenne],Tableau13[Province_RDC],"Non répertoriées")</f>
        <v>Tshopo</v>
      </c>
      <c r="D1670">
        <v>37</v>
      </c>
      <c r="E1670" s="31" t="str">
        <f>_xlfn.XLOOKUP(B1670,Tableau13[ID_Antenne],Tableau13[Technologie],"Non répertoriées")</f>
        <v>5G</v>
      </c>
      <c r="F1670" s="3">
        <f>_xlfn.XLOOKUP(B1670,Tableau13[ID_Antenne],Tableau13[Latitude],"Non répertoriées")</f>
        <v>2.4425979999999998</v>
      </c>
      <c r="G1670" s="32">
        <f>_xlfn.XLOOKUP(B1670,Tableau13[ID_Antenne],Tableau13[Longitude],"Non répertoriées")</f>
        <v>24.924308</v>
      </c>
      <c r="H1670" t="s">
        <v>10</v>
      </c>
    </row>
    <row r="1671" spans="1:8" x14ac:dyDescent="0.25">
      <c r="A1671" s="1">
        <v>45210.007638888892</v>
      </c>
      <c r="B1671" t="s">
        <v>687</v>
      </c>
      <c r="C1671" s="29" t="str">
        <f>_xlfn.XLOOKUP(B1671,Tableau13[ID_Antenne],Tableau13[Province_RDC],"Non répertoriées")</f>
        <v>Sud-Kivu</v>
      </c>
      <c r="D1671">
        <v>100</v>
      </c>
      <c r="E1671" s="31" t="str">
        <f>_xlfn.XLOOKUP(B1671,Tableau13[ID_Antenne],Tableau13[Technologie],"Non répertoriées")</f>
        <v>3G</v>
      </c>
      <c r="F1671" s="3">
        <f>_xlfn.XLOOKUP(B1671,Tableau13[ID_Antenne],Tableau13[Latitude],"Non répertoriées")</f>
        <v>-3.6233270000000002</v>
      </c>
      <c r="G1671" s="32">
        <f>_xlfn.XLOOKUP(B1671,Tableau13[ID_Antenne],Tableau13[Longitude],"Non répertoriées")</f>
        <v>25.915645999999999</v>
      </c>
      <c r="H1671" t="s">
        <v>5</v>
      </c>
    </row>
    <row r="1672" spans="1:8" x14ac:dyDescent="0.25">
      <c r="A1672" s="1">
        <v>45208.047222222223</v>
      </c>
      <c r="B1672" t="s">
        <v>83</v>
      </c>
      <c r="C1672" s="29" t="str">
        <f>_xlfn.XLOOKUP(B1672,Tableau13[ID_Antenne],Tableau13[Province_RDC],"Non répertoriées")</f>
        <v>Nord-Ubangi</v>
      </c>
      <c r="D1672">
        <v>66</v>
      </c>
      <c r="E1672" s="31" t="str">
        <f>_xlfn.XLOOKUP(B1672,Tableau13[ID_Antenne],Tableau13[Technologie],"Non répertoriées")</f>
        <v>5G</v>
      </c>
      <c r="F1672" s="3">
        <f>_xlfn.XLOOKUP(B1672,Tableau13[ID_Antenne],Tableau13[Latitude],"Non répertoriées")</f>
        <v>0.94539899999999999</v>
      </c>
      <c r="G1672" s="32">
        <f>_xlfn.XLOOKUP(B1672,Tableau13[ID_Antenne],Tableau13[Longitude],"Non répertoriées")</f>
        <v>14.401821999999999</v>
      </c>
      <c r="H1672" t="s">
        <v>8</v>
      </c>
    </row>
    <row r="1673" spans="1:8" x14ac:dyDescent="0.25">
      <c r="A1673" s="1">
        <v>45223.564583333333</v>
      </c>
      <c r="B1673" t="s">
        <v>342</v>
      </c>
      <c r="C1673" s="29" t="str">
        <f>_xlfn.XLOOKUP(B1673,Tableau13[ID_Antenne],Tableau13[Province_RDC],"Non répertoriées")</f>
        <v>Kinshasa</v>
      </c>
      <c r="D1673">
        <v>32</v>
      </c>
      <c r="E1673" s="31" t="str">
        <f>_xlfn.XLOOKUP(B1673,Tableau13[ID_Antenne],Tableau13[Technologie],"Non répertoriées")</f>
        <v>5G</v>
      </c>
      <c r="F1673" s="3">
        <f>_xlfn.XLOOKUP(B1673,Tableau13[ID_Antenne],Tableau13[Latitude],"Non répertoriées")</f>
        <v>-11.389362</v>
      </c>
      <c r="G1673" s="32">
        <f>_xlfn.XLOOKUP(B1673,Tableau13[ID_Antenne],Tableau13[Longitude],"Non répertoriées")</f>
        <v>22.240174</v>
      </c>
      <c r="H1673" t="s">
        <v>8</v>
      </c>
    </row>
    <row r="1674" spans="1:8" x14ac:dyDescent="0.25">
      <c r="A1674" s="1">
        <v>45203.961111111108</v>
      </c>
      <c r="B1674" t="s">
        <v>268</v>
      </c>
      <c r="C1674" t="str">
        <f>_xlfn.XLOOKUP(B1674,Tableau13[ID_Antenne],Tableau13[Province_RDC],"Non répertoriées")</f>
        <v>Non répertoriées</v>
      </c>
      <c r="D1674">
        <v>30</v>
      </c>
      <c r="E1674" t="str">
        <f>_xlfn.XLOOKUP(B1674,Tableau13[ID_Antenne],Tableau13[Technologie],"Non répertoriées")</f>
        <v>Non répertoriées</v>
      </c>
      <c r="F1674" t="str">
        <f>_xlfn.XLOOKUP(B1674,Tableau13[ID_Antenne],Tableau13[Latitude],"Non répertoriées")</f>
        <v>Non répertoriées</v>
      </c>
      <c r="G1674" t="str">
        <f>_xlfn.XLOOKUP(B1674,Tableau13[ID_Antenne],Tableau13[Longitude],"Non répertoriées")</f>
        <v>Non répertoriées</v>
      </c>
      <c r="H1674" t="s">
        <v>5</v>
      </c>
    </row>
    <row r="1675" spans="1:8" x14ac:dyDescent="0.25">
      <c r="A1675" s="1">
        <v>45215.617361111108</v>
      </c>
      <c r="B1675" t="s">
        <v>467</v>
      </c>
      <c r="C1675" t="str">
        <f>_xlfn.XLOOKUP(B1675,Tableau13[ID_Antenne],Tableau13[Province_RDC],"Non répertoriées")</f>
        <v>Non répertoriées</v>
      </c>
      <c r="D1675">
        <v>110</v>
      </c>
      <c r="E1675" t="str">
        <f>_xlfn.XLOOKUP(B1675,Tableau13[ID_Antenne],Tableau13[Technologie],"Non répertoriées")</f>
        <v>Non répertoriées</v>
      </c>
      <c r="F1675" t="str">
        <f>_xlfn.XLOOKUP(B1675,Tableau13[ID_Antenne],Tableau13[Latitude],"Non répertoriées")</f>
        <v>Non répertoriées</v>
      </c>
      <c r="G1675" t="str">
        <f>_xlfn.XLOOKUP(B1675,Tableau13[ID_Antenne],Tableau13[Longitude],"Non répertoriées")</f>
        <v>Non répertoriées</v>
      </c>
      <c r="H1675" t="s">
        <v>8</v>
      </c>
    </row>
    <row r="1676" spans="1:8" x14ac:dyDescent="0.25">
      <c r="A1676" s="1">
        <v>45211.692361111112</v>
      </c>
      <c r="B1676" t="s">
        <v>442</v>
      </c>
      <c r="C1676" t="str">
        <f>_xlfn.XLOOKUP(B1676,Tableau13[ID_Antenne],Tableau13[Province_RDC],"Non répertoriées")</f>
        <v>Non répertoriées</v>
      </c>
      <c r="D1676">
        <v>73</v>
      </c>
      <c r="E1676" t="str">
        <f>_xlfn.XLOOKUP(B1676,Tableau13[ID_Antenne],Tableau13[Technologie],"Non répertoriées")</f>
        <v>Non répertoriées</v>
      </c>
      <c r="F1676" t="str">
        <f>_xlfn.XLOOKUP(B1676,Tableau13[ID_Antenne],Tableau13[Latitude],"Non répertoriées")</f>
        <v>Non répertoriées</v>
      </c>
      <c r="G1676" t="str">
        <f>_xlfn.XLOOKUP(B1676,Tableau13[ID_Antenne],Tableau13[Longitude],"Non répertoriées")</f>
        <v>Non répertoriées</v>
      </c>
      <c r="H1676" t="s">
        <v>8</v>
      </c>
    </row>
    <row r="1677" spans="1:8" x14ac:dyDescent="0.25">
      <c r="A1677" s="1">
        <v>45203.605555555558</v>
      </c>
      <c r="B1677" t="s">
        <v>543</v>
      </c>
      <c r="C1677" t="str">
        <f>_xlfn.XLOOKUP(B1677,Tableau13[ID_Antenne],Tableau13[Province_RDC],"Non répertoriées")</f>
        <v>Non répertoriées</v>
      </c>
      <c r="D1677">
        <v>39</v>
      </c>
      <c r="E1677" t="str">
        <f>_xlfn.XLOOKUP(B1677,Tableau13[ID_Antenne],Tableau13[Technologie],"Non répertoriées")</f>
        <v>Non répertoriées</v>
      </c>
      <c r="F1677" t="str">
        <f>_xlfn.XLOOKUP(B1677,Tableau13[ID_Antenne],Tableau13[Latitude],"Non répertoriées")</f>
        <v>Non répertoriées</v>
      </c>
      <c r="G1677" t="str">
        <f>_xlfn.XLOOKUP(B1677,Tableau13[ID_Antenne],Tableau13[Longitude],"Non répertoriées")</f>
        <v>Non répertoriées</v>
      </c>
      <c r="H1677" t="s">
        <v>5</v>
      </c>
    </row>
    <row r="1678" spans="1:8" x14ac:dyDescent="0.25">
      <c r="A1678" s="1">
        <v>45207.793055555558</v>
      </c>
      <c r="B1678" t="s">
        <v>240</v>
      </c>
      <c r="C1678" t="str">
        <f>_xlfn.XLOOKUP(B1678,Tableau13[ID_Antenne],Tableau13[Province_RDC],"Non répertoriées")</f>
        <v>Non répertoriées</v>
      </c>
      <c r="D1678">
        <v>76</v>
      </c>
      <c r="E1678" t="str">
        <f>_xlfn.XLOOKUP(B1678,Tableau13[ID_Antenne],Tableau13[Technologie],"Non répertoriées")</f>
        <v>Non répertoriées</v>
      </c>
      <c r="F1678" t="str">
        <f>_xlfn.XLOOKUP(B1678,Tableau13[ID_Antenne],Tableau13[Latitude],"Non répertoriées")</f>
        <v>Non répertoriées</v>
      </c>
      <c r="G1678" t="str">
        <f>_xlfn.XLOOKUP(B1678,Tableau13[ID_Antenne],Tableau13[Longitude],"Non répertoriées")</f>
        <v>Non répertoriées</v>
      </c>
      <c r="H1678" t="s">
        <v>10</v>
      </c>
    </row>
    <row r="1679" spans="1:8" x14ac:dyDescent="0.25">
      <c r="A1679" s="1">
        <v>45223.897916666669</v>
      </c>
      <c r="B1679" t="s">
        <v>730</v>
      </c>
      <c r="C1679" s="29" t="str">
        <f>_xlfn.XLOOKUP(B1679,Tableau13[ID_Antenne],Tableau13[Province_RDC],"Non répertoriées")</f>
        <v>Kwilu</v>
      </c>
      <c r="D1679">
        <v>94</v>
      </c>
      <c r="E1679" s="31" t="str">
        <f>_xlfn.XLOOKUP(B1679,Tableau13[ID_Antenne],Tableau13[Technologie],"Non répertoriées")</f>
        <v>4G</v>
      </c>
      <c r="F1679" s="3">
        <f>_xlfn.XLOOKUP(B1679,Tableau13[ID_Antenne],Tableau13[Latitude],"Non répertoriées")</f>
        <v>-3.571288</v>
      </c>
      <c r="G1679" s="32">
        <f>_xlfn.XLOOKUP(B1679,Tableau13[ID_Antenne],Tableau13[Longitude],"Non répertoriées")</f>
        <v>12.931596000000001</v>
      </c>
      <c r="H1679" t="s">
        <v>8</v>
      </c>
    </row>
    <row r="1680" spans="1:8" x14ac:dyDescent="0.25">
      <c r="A1680" s="1">
        <v>45209.611805555563</v>
      </c>
      <c r="B1680" t="s">
        <v>276</v>
      </c>
      <c r="C1680" s="29" t="str">
        <f>_xlfn.XLOOKUP(B1680,Tableau13[ID_Antenne],Tableau13[Province_RDC],"Non répertoriées")</f>
        <v>Sankuru</v>
      </c>
      <c r="D1680">
        <v>39</v>
      </c>
      <c r="E1680" s="31" t="str">
        <f>_xlfn.XLOOKUP(B1680,Tableau13[ID_Antenne],Tableau13[Technologie],"Non répertoriées")</f>
        <v>3G</v>
      </c>
      <c r="F1680" s="3">
        <f>_xlfn.XLOOKUP(B1680,Tableau13[ID_Antenne],Tableau13[Latitude],"Non répertoriées")</f>
        <v>-4.7886769999999999</v>
      </c>
      <c r="G1680" s="32">
        <f>_xlfn.XLOOKUP(B1680,Tableau13[ID_Antenne],Tableau13[Longitude],"Non répertoriées")</f>
        <v>23.600221999999999</v>
      </c>
      <c r="H1680" t="s">
        <v>10</v>
      </c>
    </row>
    <row r="1681" spans="1:8" x14ac:dyDescent="0.25">
      <c r="A1681" s="1">
        <v>45230.002083333333</v>
      </c>
      <c r="B1681" t="s">
        <v>93</v>
      </c>
      <c r="C1681" t="str">
        <f>_xlfn.XLOOKUP(B1681,Tableau13[ID_Antenne],Tableau13[Province_RDC],"Non répertoriées")</f>
        <v>Non répertoriées</v>
      </c>
      <c r="D1681">
        <v>22</v>
      </c>
      <c r="E1681" t="str">
        <f>_xlfn.XLOOKUP(B1681,Tableau13[ID_Antenne],Tableau13[Technologie],"Non répertoriées")</f>
        <v>Non répertoriées</v>
      </c>
      <c r="F1681" t="str">
        <f>_xlfn.XLOOKUP(B1681,Tableau13[ID_Antenne],Tableau13[Latitude],"Non répertoriées")</f>
        <v>Non répertoriées</v>
      </c>
      <c r="G1681" t="str">
        <f>_xlfn.XLOOKUP(B1681,Tableau13[ID_Antenne],Tableau13[Longitude],"Non répertoriées")</f>
        <v>Non répertoriées</v>
      </c>
      <c r="H1681" t="s">
        <v>10</v>
      </c>
    </row>
    <row r="1682" spans="1:8" x14ac:dyDescent="0.25">
      <c r="A1682" s="1">
        <v>45215.518750000003</v>
      </c>
      <c r="B1682" t="s">
        <v>30</v>
      </c>
      <c r="C1682" s="29" t="str">
        <f>_xlfn.XLOOKUP(B1682,Tableau13[ID_Antenne],Tableau13[Province_RDC],"Non répertoriées")</f>
        <v>Sud-Ubangi</v>
      </c>
      <c r="D1682">
        <v>18</v>
      </c>
      <c r="E1682" s="31" t="str">
        <f>_xlfn.XLOOKUP(B1682,Tableau13[ID_Antenne],Tableau13[Technologie],"Non répertoriées")</f>
        <v>5G</v>
      </c>
      <c r="F1682" s="3">
        <f>_xlfn.XLOOKUP(B1682,Tableau13[ID_Antenne],Tableau13[Latitude],"Non répertoriées")</f>
        <v>-10.56448</v>
      </c>
      <c r="G1682" s="32">
        <f>_xlfn.XLOOKUP(B1682,Tableau13[ID_Antenne],Tableau13[Longitude],"Non répertoriées")</f>
        <v>19.792876</v>
      </c>
      <c r="H1682" t="s">
        <v>8</v>
      </c>
    </row>
    <row r="1683" spans="1:8" x14ac:dyDescent="0.25">
      <c r="A1683" s="1">
        <v>45222.586111111108</v>
      </c>
      <c r="B1683" t="s">
        <v>673</v>
      </c>
      <c r="C1683" t="str">
        <f>_xlfn.XLOOKUP(B1683,Tableau13[ID_Antenne],Tableau13[Province_RDC],"Non répertoriées")</f>
        <v>Non répertoriées</v>
      </c>
      <c r="D1683">
        <v>99</v>
      </c>
      <c r="E1683" t="str">
        <f>_xlfn.XLOOKUP(B1683,Tableau13[ID_Antenne],Tableau13[Technologie],"Non répertoriées")</f>
        <v>Non répertoriées</v>
      </c>
      <c r="F1683" t="str">
        <f>_xlfn.XLOOKUP(B1683,Tableau13[ID_Antenne],Tableau13[Latitude],"Non répertoriées")</f>
        <v>Non répertoriées</v>
      </c>
      <c r="G1683" t="str">
        <f>_xlfn.XLOOKUP(B1683,Tableau13[ID_Antenne],Tableau13[Longitude],"Non répertoriées")</f>
        <v>Non répertoriées</v>
      </c>
      <c r="H1683" t="s">
        <v>10</v>
      </c>
    </row>
    <row r="1684" spans="1:8" x14ac:dyDescent="0.25">
      <c r="A1684" s="1">
        <v>45228.097222222219</v>
      </c>
      <c r="B1684" t="s">
        <v>353</v>
      </c>
      <c r="C1684" t="str">
        <f>_xlfn.XLOOKUP(B1684,Tableau13[ID_Antenne],Tableau13[Province_RDC],"Non répertoriées")</f>
        <v>Non répertoriées</v>
      </c>
      <c r="D1684">
        <v>80</v>
      </c>
      <c r="E1684" t="str">
        <f>_xlfn.XLOOKUP(B1684,Tableau13[ID_Antenne],Tableau13[Technologie],"Non répertoriées")</f>
        <v>Non répertoriées</v>
      </c>
      <c r="F1684" t="str">
        <f>_xlfn.XLOOKUP(B1684,Tableau13[ID_Antenne],Tableau13[Latitude],"Non répertoriées")</f>
        <v>Non répertoriées</v>
      </c>
      <c r="G1684" t="str">
        <f>_xlfn.XLOOKUP(B1684,Tableau13[ID_Antenne],Tableau13[Longitude],"Non répertoriées")</f>
        <v>Non répertoriées</v>
      </c>
      <c r="H1684" t="s">
        <v>8</v>
      </c>
    </row>
    <row r="1685" spans="1:8" x14ac:dyDescent="0.25">
      <c r="A1685" s="1">
        <v>45219.169444444437</v>
      </c>
      <c r="B1685" t="s">
        <v>30</v>
      </c>
      <c r="C1685" s="29" t="str">
        <f>_xlfn.XLOOKUP(B1685,Tableau13[ID_Antenne],Tableau13[Province_RDC],"Non répertoriées")</f>
        <v>Sud-Ubangi</v>
      </c>
      <c r="D1685">
        <v>35</v>
      </c>
      <c r="E1685" s="31" t="str">
        <f>_xlfn.XLOOKUP(B1685,Tableau13[ID_Antenne],Tableau13[Technologie],"Non répertoriées")</f>
        <v>5G</v>
      </c>
      <c r="F1685" s="3">
        <f>_xlfn.XLOOKUP(B1685,Tableau13[ID_Antenne],Tableau13[Latitude],"Non répertoriées")</f>
        <v>-10.56448</v>
      </c>
      <c r="G1685" s="32">
        <f>_xlfn.XLOOKUP(B1685,Tableau13[ID_Antenne],Tableau13[Longitude],"Non répertoriées")</f>
        <v>19.792876</v>
      </c>
      <c r="H1685" t="s">
        <v>8</v>
      </c>
    </row>
    <row r="1686" spans="1:8" x14ac:dyDescent="0.25">
      <c r="A1686" s="1">
        <v>45204.36041666667</v>
      </c>
      <c r="B1686" t="s">
        <v>706</v>
      </c>
      <c r="C1686" s="29" t="str">
        <f>_xlfn.XLOOKUP(B1686,Tableau13[ID_Antenne],Tableau13[Province_RDC],"Non répertoriées")</f>
        <v>Maniema</v>
      </c>
      <c r="D1686">
        <v>36</v>
      </c>
      <c r="E1686" s="31" t="str">
        <f>_xlfn.XLOOKUP(B1686,Tableau13[ID_Antenne],Tableau13[Technologie],"Non répertoriées")</f>
        <v>4G</v>
      </c>
      <c r="F1686" s="3">
        <f>_xlfn.XLOOKUP(B1686,Tableau13[ID_Antenne],Tableau13[Latitude],"Non répertoriées")</f>
        <v>3.08182</v>
      </c>
      <c r="G1686" s="32">
        <f>_xlfn.XLOOKUP(B1686,Tableau13[ID_Antenne],Tableau13[Longitude],"Non répertoriées")</f>
        <v>29.961940999999999</v>
      </c>
      <c r="H1686" t="s">
        <v>10</v>
      </c>
    </row>
    <row r="1687" spans="1:8" x14ac:dyDescent="0.25">
      <c r="A1687" s="1">
        <v>45220.774305555547</v>
      </c>
      <c r="B1687" t="s">
        <v>30</v>
      </c>
      <c r="C1687" s="29" t="str">
        <f>_xlfn.XLOOKUP(B1687,Tableau13[ID_Antenne],Tableau13[Province_RDC],"Non répertoriées")</f>
        <v>Sud-Ubangi</v>
      </c>
      <c r="D1687">
        <v>11</v>
      </c>
      <c r="E1687" s="31" t="str">
        <f>_xlfn.XLOOKUP(B1687,Tableau13[ID_Antenne],Tableau13[Technologie],"Non répertoriées")</f>
        <v>5G</v>
      </c>
      <c r="F1687" s="3">
        <f>_xlfn.XLOOKUP(B1687,Tableau13[ID_Antenne],Tableau13[Latitude],"Non répertoriées")</f>
        <v>-10.56448</v>
      </c>
      <c r="G1687" s="32">
        <f>_xlfn.XLOOKUP(B1687,Tableau13[ID_Antenne],Tableau13[Longitude],"Non répertoriées")</f>
        <v>19.792876</v>
      </c>
      <c r="H1687" t="s">
        <v>10</v>
      </c>
    </row>
    <row r="1688" spans="1:8" x14ac:dyDescent="0.25">
      <c r="A1688" s="1">
        <v>45222.433333333327</v>
      </c>
      <c r="B1688" t="s">
        <v>385</v>
      </c>
      <c r="C1688" s="29" t="str">
        <f>_xlfn.XLOOKUP(B1688,Tableau13[ID_Antenne],Tableau13[Province_RDC],"Non répertoriées")</f>
        <v>Equateur</v>
      </c>
      <c r="D1688">
        <v>90</v>
      </c>
      <c r="E1688" s="31" t="str">
        <f>_xlfn.XLOOKUP(B1688,Tableau13[ID_Antenne],Tableau13[Technologie],"Non répertoriées")</f>
        <v>5G</v>
      </c>
      <c r="F1688" s="3">
        <f>_xlfn.XLOOKUP(B1688,Tableau13[ID_Antenne],Tableau13[Latitude],"Non répertoriées")</f>
        <v>-0.79459900000000006</v>
      </c>
      <c r="G1688" s="32">
        <f>_xlfn.XLOOKUP(B1688,Tableau13[ID_Antenne],Tableau13[Longitude],"Non répertoriées")</f>
        <v>26.775570999999999</v>
      </c>
      <c r="H1688" t="s">
        <v>10</v>
      </c>
    </row>
    <row r="1689" spans="1:8" x14ac:dyDescent="0.25">
      <c r="A1689" s="1">
        <v>45219.679166666669</v>
      </c>
      <c r="B1689" t="s">
        <v>187</v>
      </c>
      <c r="C1689" t="str">
        <f>_xlfn.XLOOKUP(B1689,Tableau13[ID_Antenne],Tableau13[Province_RDC],"Non répertoriées")</f>
        <v>Non répertoriées</v>
      </c>
      <c r="D1689">
        <v>120</v>
      </c>
      <c r="E1689" t="str">
        <f>_xlfn.XLOOKUP(B1689,Tableau13[ID_Antenne],Tableau13[Technologie],"Non répertoriées")</f>
        <v>Non répertoriées</v>
      </c>
      <c r="F1689" t="str">
        <f>_xlfn.XLOOKUP(B1689,Tableau13[ID_Antenne],Tableau13[Latitude],"Non répertoriées")</f>
        <v>Non répertoriées</v>
      </c>
      <c r="G1689" t="str">
        <f>_xlfn.XLOOKUP(B1689,Tableau13[ID_Antenne],Tableau13[Longitude],"Non répertoriées")</f>
        <v>Non répertoriées</v>
      </c>
      <c r="H1689" t="s">
        <v>5</v>
      </c>
    </row>
    <row r="1690" spans="1:8" x14ac:dyDescent="0.25">
      <c r="A1690" s="1">
        <v>45214.693055555559</v>
      </c>
      <c r="B1690" t="s">
        <v>713</v>
      </c>
      <c r="C1690" t="str">
        <f>_xlfn.XLOOKUP(B1690,Tableau13[ID_Antenne],Tableau13[Province_RDC],"Non répertoriées")</f>
        <v>Non répertoriées</v>
      </c>
      <c r="D1690">
        <v>72</v>
      </c>
      <c r="E1690" t="str">
        <f>_xlfn.XLOOKUP(B1690,Tableau13[ID_Antenne],Tableau13[Technologie],"Non répertoriées")</f>
        <v>Non répertoriées</v>
      </c>
      <c r="F1690" t="str">
        <f>_xlfn.XLOOKUP(B1690,Tableau13[ID_Antenne],Tableau13[Latitude],"Non répertoriées")</f>
        <v>Non répertoriées</v>
      </c>
      <c r="G1690" t="str">
        <f>_xlfn.XLOOKUP(B1690,Tableau13[ID_Antenne],Tableau13[Longitude],"Non répertoriées")</f>
        <v>Non répertoriées</v>
      </c>
      <c r="H1690" t="s">
        <v>5</v>
      </c>
    </row>
    <row r="1691" spans="1:8" x14ac:dyDescent="0.25">
      <c r="A1691" s="1">
        <v>45213.159722222219</v>
      </c>
      <c r="B1691" t="s">
        <v>246</v>
      </c>
      <c r="C1691" t="str">
        <f>_xlfn.XLOOKUP(B1691,Tableau13[ID_Antenne],Tableau13[Province_RDC],"Non répertoriées")</f>
        <v>Non répertoriées</v>
      </c>
      <c r="D1691">
        <v>33</v>
      </c>
      <c r="E1691" t="str">
        <f>_xlfn.XLOOKUP(B1691,Tableau13[ID_Antenne],Tableau13[Technologie],"Non répertoriées")</f>
        <v>Non répertoriées</v>
      </c>
      <c r="F1691" t="str">
        <f>_xlfn.XLOOKUP(B1691,Tableau13[ID_Antenne],Tableau13[Latitude],"Non répertoriées")</f>
        <v>Non répertoriées</v>
      </c>
      <c r="G1691" t="str">
        <f>_xlfn.XLOOKUP(B1691,Tableau13[ID_Antenne],Tableau13[Longitude],"Non répertoriées")</f>
        <v>Non répertoriées</v>
      </c>
      <c r="H1691" t="s">
        <v>10</v>
      </c>
    </row>
    <row r="1692" spans="1:8" x14ac:dyDescent="0.25">
      <c r="A1692" s="1">
        <v>45222.162499999999</v>
      </c>
      <c r="B1692" t="s">
        <v>467</v>
      </c>
      <c r="C1692" t="str">
        <f>_xlfn.XLOOKUP(B1692,Tableau13[ID_Antenne],Tableau13[Province_RDC],"Non répertoriées")</f>
        <v>Non répertoriées</v>
      </c>
      <c r="D1692">
        <v>86</v>
      </c>
      <c r="E1692" t="str">
        <f>_xlfn.XLOOKUP(B1692,Tableau13[ID_Antenne],Tableau13[Technologie],"Non répertoriées")</f>
        <v>Non répertoriées</v>
      </c>
      <c r="F1692" t="str">
        <f>_xlfn.XLOOKUP(B1692,Tableau13[ID_Antenne],Tableau13[Latitude],"Non répertoriées")</f>
        <v>Non répertoriées</v>
      </c>
      <c r="G1692" t="str">
        <f>_xlfn.XLOOKUP(B1692,Tableau13[ID_Antenne],Tableau13[Longitude],"Non répertoriées")</f>
        <v>Non répertoriées</v>
      </c>
      <c r="H1692" t="s">
        <v>8</v>
      </c>
    </row>
    <row r="1693" spans="1:8" x14ac:dyDescent="0.25">
      <c r="A1693" s="1">
        <v>45220.87222222222</v>
      </c>
      <c r="B1693" t="s">
        <v>729</v>
      </c>
      <c r="C1693" t="str">
        <f>_xlfn.XLOOKUP(B1693,Tableau13[ID_Antenne],Tableau13[Province_RDC],"Non répertoriées")</f>
        <v>Non répertoriées</v>
      </c>
      <c r="D1693">
        <v>34</v>
      </c>
      <c r="E1693" t="str">
        <f>_xlfn.XLOOKUP(B1693,Tableau13[ID_Antenne],Tableau13[Technologie],"Non répertoriées")</f>
        <v>Non répertoriées</v>
      </c>
      <c r="F1693" t="str">
        <f>_xlfn.XLOOKUP(B1693,Tableau13[ID_Antenne],Tableau13[Latitude],"Non répertoriées")</f>
        <v>Non répertoriées</v>
      </c>
      <c r="G1693" t="str">
        <f>_xlfn.XLOOKUP(B1693,Tableau13[ID_Antenne],Tableau13[Longitude],"Non répertoriées")</f>
        <v>Non répertoriées</v>
      </c>
      <c r="H1693" t="s">
        <v>5</v>
      </c>
    </row>
    <row r="1694" spans="1:8" x14ac:dyDescent="0.25">
      <c r="A1694" s="1">
        <v>45224.740277777782</v>
      </c>
      <c r="B1694" t="s">
        <v>692</v>
      </c>
      <c r="C1694" t="str">
        <f>_xlfn.XLOOKUP(B1694,Tableau13[ID_Antenne],Tableau13[Province_RDC],"Non répertoriées")</f>
        <v>Non répertoriées</v>
      </c>
      <c r="D1694">
        <v>11</v>
      </c>
      <c r="E1694" t="str">
        <f>_xlfn.XLOOKUP(B1694,Tableau13[ID_Antenne],Tableau13[Technologie],"Non répertoriées")</f>
        <v>Non répertoriées</v>
      </c>
      <c r="F1694" t="str">
        <f>_xlfn.XLOOKUP(B1694,Tableau13[ID_Antenne],Tableau13[Latitude],"Non répertoriées")</f>
        <v>Non répertoriées</v>
      </c>
      <c r="G1694" t="str">
        <f>_xlfn.XLOOKUP(B1694,Tableau13[ID_Antenne],Tableau13[Longitude],"Non répertoriées")</f>
        <v>Non répertoriées</v>
      </c>
      <c r="H1694" t="s">
        <v>5</v>
      </c>
    </row>
    <row r="1695" spans="1:8" x14ac:dyDescent="0.25">
      <c r="A1695" s="1">
        <v>45227.268750000003</v>
      </c>
      <c r="B1695" t="s">
        <v>723</v>
      </c>
      <c r="C1695" t="str">
        <f>_xlfn.XLOOKUP(B1695,Tableau13[ID_Antenne],Tableau13[Province_RDC],"Non répertoriées")</f>
        <v>Non répertoriées</v>
      </c>
      <c r="D1695">
        <v>17</v>
      </c>
      <c r="E1695" t="str">
        <f>_xlfn.XLOOKUP(B1695,Tableau13[ID_Antenne],Tableau13[Technologie],"Non répertoriées")</f>
        <v>Non répertoriées</v>
      </c>
      <c r="F1695" t="str">
        <f>_xlfn.XLOOKUP(B1695,Tableau13[ID_Antenne],Tableau13[Latitude],"Non répertoriées")</f>
        <v>Non répertoriées</v>
      </c>
      <c r="G1695" t="str">
        <f>_xlfn.XLOOKUP(B1695,Tableau13[ID_Antenne],Tableau13[Longitude],"Non répertoriées")</f>
        <v>Non répertoriées</v>
      </c>
      <c r="H1695" t="s">
        <v>10</v>
      </c>
    </row>
    <row r="1696" spans="1:8" x14ac:dyDescent="0.25">
      <c r="A1696" s="1">
        <v>45214.30972222222</v>
      </c>
      <c r="B1696" t="s">
        <v>703</v>
      </c>
      <c r="C1696" t="str">
        <f>_xlfn.XLOOKUP(B1696,Tableau13[ID_Antenne],Tableau13[Province_RDC],"Non répertoriées")</f>
        <v>Non répertoriées</v>
      </c>
      <c r="D1696">
        <v>57</v>
      </c>
      <c r="E1696" t="str">
        <f>_xlfn.XLOOKUP(B1696,Tableau13[ID_Antenne],Tableau13[Technologie],"Non répertoriées")</f>
        <v>Non répertoriées</v>
      </c>
      <c r="F1696" t="str">
        <f>_xlfn.XLOOKUP(B1696,Tableau13[ID_Antenne],Tableau13[Latitude],"Non répertoriées")</f>
        <v>Non répertoriées</v>
      </c>
      <c r="G1696" t="str">
        <f>_xlfn.XLOOKUP(B1696,Tableau13[ID_Antenne],Tableau13[Longitude],"Non répertoriées")</f>
        <v>Non répertoriées</v>
      </c>
      <c r="H1696" t="s">
        <v>5</v>
      </c>
    </row>
    <row r="1697" spans="1:8" x14ac:dyDescent="0.25">
      <c r="A1697" s="1">
        <v>45210.600694444453</v>
      </c>
      <c r="B1697" t="s">
        <v>92</v>
      </c>
      <c r="C1697" s="29" t="str">
        <f>_xlfn.XLOOKUP(B1697,Tableau13[ID_Antenne],Tableau13[Province_RDC],"Non répertoriées")</f>
        <v>Sud-Ubangi</v>
      </c>
      <c r="D1697">
        <v>47</v>
      </c>
      <c r="E1697" s="31" t="str">
        <f>_xlfn.XLOOKUP(B1697,Tableau13[ID_Antenne],Tableau13[Technologie],"Non répertoriées")</f>
        <v>5G</v>
      </c>
      <c r="F1697" s="3">
        <f>_xlfn.XLOOKUP(B1697,Tableau13[ID_Antenne],Tableau13[Latitude],"Non répertoriées")</f>
        <v>-9.3652239999999995</v>
      </c>
      <c r="G1697" s="32">
        <f>_xlfn.XLOOKUP(B1697,Tableau13[ID_Antenne],Tableau13[Longitude],"Non répertoriées")</f>
        <v>22.593423999999999</v>
      </c>
      <c r="H1697" t="s">
        <v>10</v>
      </c>
    </row>
    <row r="1698" spans="1:8" x14ac:dyDescent="0.25">
      <c r="A1698" s="1">
        <v>45213.962500000001</v>
      </c>
      <c r="B1698" t="s">
        <v>719</v>
      </c>
      <c r="C1698" s="29" t="str">
        <f>_xlfn.XLOOKUP(B1698,Tableau13[ID_Antenne],Tableau13[Province_RDC],"Non répertoriées")</f>
        <v>Tshuapa</v>
      </c>
      <c r="D1698">
        <v>96</v>
      </c>
      <c r="E1698" s="31" t="str">
        <f>_xlfn.XLOOKUP(B1698,Tableau13[ID_Antenne],Tableau13[Technologie],"Non répertoriées")</f>
        <v>3G</v>
      </c>
      <c r="F1698" s="3">
        <f>_xlfn.XLOOKUP(B1698,Tableau13[ID_Antenne],Tableau13[Latitude],"Non répertoriées")</f>
        <v>-12.018316</v>
      </c>
      <c r="G1698" s="32">
        <f>_xlfn.XLOOKUP(B1698,Tableau13[ID_Antenne],Tableau13[Longitude],"Non répertoriées")</f>
        <v>16.700451000000001</v>
      </c>
      <c r="H1698" t="s">
        <v>8</v>
      </c>
    </row>
    <row r="1699" spans="1:8" x14ac:dyDescent="0.25">
      <c r="A1699" s="1">
        <v>45210.555555555547</v>
      </c>
      <c r="B1699" t="s">
        <v>756</v>
      </c>
      <c r="C1699" t="str">
        <f>_xlfn.XLOOKUP(B1699,Tableau13[ID_Antenne],Tableau13[Province_RDC],"Non répertoriées")</f>
        <v>Non répertoriées</v>
      </c>
      <c r="D1699">
        <v>65</v>
      </c>
      <c r="E1699" t="str">
        <f>_xlfn.XLOOKUP(B1699,Tableau13[ID_Antenne],Tableau13[Technologie],"Non répertoriées")</f>
        <v>Non répertoriées</v>
      </c>
      <c r="F1699" t="str">
        <f>_xlfn.XLOOKUP(B1699,Tableau13[ID_Antenne],Tableau13[Latitude],"Non répertoriées")</f>
        <v>Non répertoriées</v>
      </c>
      <c r="G1699" t="str">
        <f>_xlfn.XLOOKUP(B1699,Tableau13[ID_Antenne],Tableau13[Longitude],"Non répertoriées")</f>
        <v>Non répertoriées</v>
      </c>
      <c r="H1699" t="s">
        <v>10</v>
      </c>
    </row>
    <row r="1700" spans="1:8" x14ac:dyDescent="0.25">
      <c r="A1700" s="1">
        <v>45221.349305555559</v>
      </c>
      <c r="B1700" t="s">
        <v>479</v>
      </c>
      <c r="C1700" s="29" t="str">
        <f>_xlfn.XLOOKUP(B1700,Tableau13[ID_Antenne],Tableau13[Province_RDC],"Non répertoriées")</f>
        <v>Maniema</v>
      </c>
      <c r="D1700">
        <v>17</v>
      </c>
      <c r="E1700" s="31" t="str">
        <f>_xlfn.XLOOKUP(B1700,Tableau13[ID_Antenne],Tableau13[Technologie],"Non répertoriées")</f>
        <v>4G</v>
      </c>
      <c r="F1700" s="3">
        <f>_xlfn.XLOOKUP(B1700,Tableau13[ID_Antenne],Tableau13[Latitude],"Non répertoriées")</f>
        <v>4.8228650000000002</v>
      </c>
      <c r="G1700" s="32">
        <f>_xlfn.XLOOKUP(B1700,Tableau13[ID_Antenne],Tableau13[Longitude],"Non répertoriées")</f>
        <v>30.555627000000001</v>
      </c>
      <c r="H1700" t="s">
        <v>8</v>
      </c>
    </row>
    <row r="1701" spans="1:8" x14ac:dyDescent="0.25">
      <c r="A1701" s="1">
        <v>45230.196527777778</v>
      </c>
      <c r="B1701" t="s">
        <v>672</v>
      </c>
      <c r="C1701" s="29" t="str">
        <f>_xlfn.XLOOKUP(B1701,Tableau13[ID_Antenne],Tableau13[Province_RDC],"Non répertoriées")</f>
        <v>Kwango</v>
      </c>
      <c r="D1701">
        <v>92</v>
      </c>
      <c r="E1701" s="31" t="str">
        <f>_xlfn.XLOOKUP(B1701,Tableau13[ID_Antenne],Tableau13[Technologie],"Non répertoriées")</f>
        <v>4G</v>
      </c>
      <c r="F1701" s="3">
        <f>_xlfn.XLOOKUP(B1701,Tableau13[ID_Antenne],Tableau13[Latitude],"Non répertoriées")</f>
        <v>-9.8995180000000005</v>
      </c>
      <c r="G1701" s="32">
        <f>_xlfn.XLOOKUP(B1701,Tableau13[ID_Antenne],Tableau13[Longitude],"Non répertoriées")</f>
        <v>24.156687999999999</v>
      </c>
      <c r="H1701" t="s">
        <v>5</v>
      </c>
    </row>
    <row r="1702" spans="1:8" x14ac:dyDescent="0.25">
      <c r="A1702" s="1">
        <v>45229.62777777778</v>
      </c>
      <c r="B1702" t="s">
        <v>744</v>
      </c>
      <c r="C1702" t="str">
        <f>_xlfn.XLOOKUP(B1702,Tableau13[ID_Antenne],Tableau13[Province_RDC],"Non répertoriées")</f>
        <v>Non répertoriées</v>
      </c>
      <c r="D1702">
        <v>103</v>
      </c>
      <c r="E1702" t="str">
        <f>_xlfn.XLOOKUP(B1702,Tableau13[ID_Antenne],Tableau13[Technologie],"Non répertoriées")</f>
        <v>Non répertoriées</v>
      </c>
      <c r="F1702" t="str">
        <f>_xlfn.XLOOKUP(B1702,Tableau13[ID_Antenne],Tableau13[Latitude],"Non répertoriées")</f>
        <v>Non répertoriées</v>
      </c>
      <c r="G1702" t="str">
        <f>_xlfn.XLOOKUP(B1702,Tableau13[ID_Antenne],Tableau13[Longitude],"Non répertoriées")</f>
        <v>Non répertoriées</v>
      </c>
      <c r="H1702" t="s">
        <v>5</v>
      </c>
    </row>
    <row r="1703" spans="1:8" x14ac:dyDescent="0.25">
      <c r="A1703" s="1">
        <v>45202.086805555547</v>
      </c>
      <c r="B1703" t="s">
        <v>700</v>
      </c>
      <c r="C1703" t="str">
        <f>_xlfn.XLOOKUP(B1703,Tableau13[ID_Antenne],Tableau13[Province_RDC],"Non répertoriées")</f>
        <v>Non répertoriées</v>
      </c>
      <c r="D1703">
        <v>22</v>
      </c>
      <c r="E1703" t="str">
        <f>_xlfn.XLOOKUP(B1703,Tableau13[ID_Antenne],Tableau13[Technologie],"Non répertoriées")</f>
        <v>Non répertoriées</v>
      </c>
      <c r="F1703" t="str">
        <f>_xlfn.XLOOKUP(B1703,Tableau13[ID_Antenne],Tableau13[Latitude],"Non répertoriées")</f>
        <v>Non répertoriées</v>
      </c>
      <c r="G1703" t="str">
        <f>_xlfn.XLOOKUP(B1703,Tableau13[ID_Antenne],Tableau13[Longitude],"Non répertoriées")</f>
        <v>Non répertoriées</v>
      </c>
      <c r="H1703" t="s">
        <v>5</v>
      </c>
    </row>
    <row r="1704" spans="1:8" x14ac:dyDescent="0.25">
      <c r="A1704" s="1">
        <v>45213.157638888893</v>
      </c>
      <c r="B1704" t="s">
        <v>703</v>
      </c>
      <c r="C1704" t="str">
        <f>_xlfn.XLOOKUP(B1704,Tableau13[ID_Antenne],Tableau13[Province_RDC],"Non répertoriées")</f>
        <v>Non répertoriées</v>
      </c>
      <c r="D1704">
        <v>5</v>
      </c>
      <c r="E1704" t="str">
        <f>_xlfn.XLOOKUP(B1704,Tableau13[ID_Antenne],Tableau13[Technologie],"Non répertoriées")</f>
        <v>Non répertoriées</v>
      </c>
      <c r="F1704" t="str">
        <f>_xlfn.XLOOKUP(B1704,Tableau13[ID_Antenne],Tableau13[Latitude],"Non répertoriées")</f>
        <v>Non répertoriées</v>
      </c>
      <c r="G1704" t="str">
        <f>_xlfn.XLOOKUP(B1704,Tableau13[ID_Antenne],Tableau13[Longitude],"Non répertoriées")</f>
        <v>Non répertoriées</v>
      </c>
      <c r="H1704" t="s">
        <v>5</v>
      </c>
    </row>
    <row r="1705" spans="1:8" x14ac:dyDescent="0.25">
      <c r="A1705" s="1">
        <v>45223.493750000001</v>
      </c>
      <c r="B1705" t="s">
        <v>41</v>
      </c>
      <c r="C1705" t="str">
        <f>_xlfn.XLOOKUP(B1705,Tableau13[ID_Antenne],Tableau13[Province_RDC],"Non répertoriées")</f>
        <v>Non répertoriées</v>
      </c>
      <c r="D1705">
        <v>75</v>
      </c>
      <c r="E1705" t="str">
        <f>_xlfn.XLOOKUP(B1705,Tableau13[ID_Antenne],Tableau13[Technologie],"Non répertoriées")</f>
        <v>Non répertoriées</v>
      </c>
      <c r="F1705" t="str">
        <f>_xlfn.XLOOKUP(B1705,Tableau13[ID_Antenne],Tableau13[Latitude],"Non répertoriées")</f>
        <v>Non répertoriées</v>
      </c>
      <c r="G1705" t="str">
        <f>_xlfn.XLOOKUP(B1705,Tableau13[ID_Antenne],Tableau13[Longitude],"Non répertoriées")</f>
        <v>Non répertoriées</v>
      </c>
      <c r="H1705" t="s">
        <v>8</v>
      </c>
    </row>
    <row r="1706" spans="1:8" x14ac:dyDescent="0.25">
      <c r="A1706" s="1">
        <v>45204.710416666669</v>
      </c>
      <c r="B1706" t="s">
        <v>155</v>
      </c>
      <c r="C1706" s="29" t="str">
        <f>_xlfn.XLOOKUP(B1706,Tableau13[ID_Antenne],Tableau13[Province_RDC],"Non répertoriées")</f>
        <v>Tshopo</v>
      </c>
      <c r="D1706">
        <v>25</v>
      </c>
      <c r="E1706" s="31" t="str">
        <f>_xlfn.XLOOKUP(B1706,Tableau13[ID_Antenne],Tableau13[Technologie],"Non répertoriées")</f>
        <v>3G</v>
      </c>
      <c r="F1706" s="3">
        <f>_xlfn.XLOOKUP(B1706,Tableau13[ID_Antenne],Tableau13[Latitude],"Non répertoriées")</f>
        <v>3.0603760000000002</v>
      </c>
      <c r="G1706" s="32">
        <f>_xlfn.XLOOKUP(B1706,Tableau13[ID_Antenne],Tableau13[Longitude],"Non répertoriées")</f>
        <v>19.708034000000001</v>
      </c>
      <c r="H1706" t="s">
        <v>5</v>
      </c>
    </row>
    <row r="1707" spans="1:8" x14ac:dyDescent="0.25">
      <c r="A1707" s="1">
        <v>45218.732638888891</v>
      </c>
      <c r="B1707" t="s">
        <v>647</v>
      </c>
      <c r="C1707" s="29" t="str">
        <f>_xlfn.XLOOKUP(B1707,Tableau13[ID_Antenne],Tableau13[Province_RDC],"Non répertoriées")</f>
        <v>Haut-Uele</v>
      </c>
      <c r="D1707">
        <v>57</v>
      </c>
      <c r="E1707" s="31" t="str">
        <f>_xlfn.XLOOKUP(B1707,Tableau13[ID_Antenne],Tableau13[Technologie],"Non répertoriées")</f>
        <v>4G</v>
      </c>
      <c r="F1707" s="3">
        <f>_xlfn.XLOOKUP(B1707,Tableau13[ID_Antenne],Tableau13[Latitude],"Non répertoriées")</f>
        <v>1.0134879999999999</v>
      </c>
      <c r="G1707" s="32">
        <f>_xlfn.XLOOKUP(B1707,Tableau13[ID_Antenne],Tableau13[Longitude],"Non répertoriées")</f>
        <v>20.363515</v>
      </c>
      <c r="H1707" t="s">
        <v>10</v>
      </c>
    </row>
    <row r="1708" spans="1:8" x14ac:dyDescent="0.25">
      <c r="A1708" s="1">
        <v>45213.496527777781</v>
      </c>
      <c r="B1708" t="s">
        <v>702</v>
      </c>
      <c r="C1708" t="str">
        <f>_xlfn.XLOOKUP(B1708,Tableau13[ID_Antenne],Tableau13[Province_RDC],"Non répertoriées")</f>
        <v>Non répertoriées</v>
      </c>
      <c r="D1708">
        <v>117</v>
      </c>
      <c r="E1708" t="str">
        <f>_xlfn.XLOOKUP(B1708,Tableau13[ID_Antenne],Tableau13[Technologie],"Non répertoriées")</f>
        <v>Non répertoriées</v>
      </c>
      <c r="F1708" t="str">
        <f>_xlfn.XLOOKUP(B1708,Tableau13[ID_Antenne],Tableau13[Latitude],"Non répertoriées")</f>
        <v>Non répertoriées</v>
      </c>
      <c r="G1708" t="str">
        <f>_xlfn.XLOOKUP(B1708,Tableau13[ID_Antenne],Tableau13[Longitude],"Non répertoriées")</f>
        <v>Non répertoriées</v>
      </c>
      <c r="H1708" t="s">
        <v>8</v>
      </c>
    </row>
    <row r="1709" spans="1:8" x14ac:dyDescent="0.25">
      <c r="A1709" s="1">
        <v>45221.579861111109</v>
      </c>
      <c r="B1709" t="s">
        <v>706</v>
      </c>
      <c r="C1709" s="29" t="str">
        <f>_xlfn.XLOOKUP(B1709,Tableau13[ID_Antenne],Tableau13[Province_RDC],"Non répertoriées")</f>
        <v>Maniema</v>
      </c>
      <c r="D1709">
        <v>117</v>
      </c>
      <c r="E1709" s="31" t="str">
        <f>_xlfn.XLOOKUP(B1709,Tableau13[ID_Antenne],Tableau13[Technologie],"Non répertoriées")</f>
        <v>4G</v>
      </c>
      <c r="F1709" s="3">
        <f>_xlfn.XLOOKUP(B1709,Tableau13[ID_Antenne],Tableau13[Latitude],"Non répertoriées")</f>
        <v>3.08182</v>
      </c>
      <c r="G1709" s="32">
        <f>_xlfn.XLOOKUP(B1709,Tableau13[ID_Antenne],Tableau13[Longitude],"Non répertoriées")</f>
        <v>29.961940999999999</v>
      </c>
      <c r="H1709" t="s">
        <v>5</v>
      </c>
    </row>
    <row r="1710" spans="1:8" x14ac:dyDescent="0.25">
      <c r="A1710" s="1">
        <v>45229.960416666669</v>
      </c>
      <c r="B1710" t="s">
        <v>716</v>
      </c>
      <c r="C1710" s="29" t="str">
        <f>_xlfn.XLOOKUP(B1710,Tableau13[ID_Antenne],Tableau13[Province_RDC],"Non répertoriées")</f>
        <v>Kongo-Central</v>
      </c>
      <c r="D1710">
        <v>65</v>
      </c>
      <c r="E1710" s="31" t="str">
        <f>_xlfn.XLOOKUP(B1710,Tableau13[ID_Antenne],Tableau13[Technologie],"Non répertoriées")</f>
        <v>5G</v>
      </c>
      <c r="F1710" s="3">
        <f>_xlfn.XLOOKUP(B1710,Tableau13[ID_Antenne],Tableau13[Latitude],"Non répertoriées")</f>
        <v>-4.9108280000000004</v>
      </c>
      <c r="G1710" s="32">
        <f>_xlfn.XLOOKUP(B1710,Tableau13[ID_Antenne],Tableau13[Longitude],"Non répertoriées")</f>
        <v>17.670389</v>
      </c>
      <c r="H1710" t="s">
        <v>5</v>
      </c>
    </row>
    <row r="1711" spans="1:8" x14ac:dyDescent="0.25">
      <c r="A1711" s="1">
        <v>45230.401388888888</v>
      </c>
      <c r="B1711" t="s">
        <v>744</v>
      </c>
      <c r="C1711" t="str">
        <f>_xlfn.XLOOKUP(B1711,Tableau13[ID_Antenne],Tableau13[Province_RDC],"Non répertoriées")</f>
        <v>Non répertoriées</v>
      </c>
      <c r="D1711">
        <v>66</v>
      </c>
      <c r="E1711" t="str">
        <f>_xlfn.XLOOKUP(B1711,Tableau13[ID_Antenne],Tableau13[Technologie],"Non répertoriées")</f>
        <v>Non répertoriées</v>
      </c>
      <c r="F1711" t="str">
        <f>_xlfn.XLOOKUP(B1711,Tableau13[ID_Antenne],Tableau13[Latitude],"Non répertoriées")</f>
        <v>Non répertoriées</v>
      </c>
      <c r="G1711" t="str">
        <f>_xlfn.XLOOKUP(B1711,Tableau13[ID_Antenne],Tableau13[Longitude],"Non répertoriées")</f>
        <v>Non répertoriées</v>
      </c>
      <c r="H1711" t="s">
        <v>8</v>
      </c>
    </row>
    <row r="1712" spans="1:8" x14ac:dyDescent="0.25">
      <c r="A1712" s="1">
        <v>45209.462500000001</v>
      </c>
      <c r="B1712" t="s">
        <v>699</v>
      </c>
      <c r="C1712" t="str">
        <f>_xlfn.XLOOKUP(B1712,Tableau13[ID_Antenne],Tableau13[Province_RDC],"Non répertoriées")</f>
        <v>Non répertoriées</v>
      </c>
      <c r="D1712">
        <v>88</v>
      </c>
      <c r="E1712" t="str">
        <f>_xlfn.XLOOKUP(B1712,Tableau13[ID_Antenne],Tableau13[Technologie],"Non répertoriées")</f>
        <v>Non répertoriées</v>
      </c>
      <c r="F1712" t="str">
        <f>_xlfn.XLOOKUP(B1712,Tableau13[ID_Antenne],Tableau13[Latitude],"Non répertoriées")</f>
        <v>Non répertoriées</v>
      </c>
      <c r="G1712" t="str">
        <f>_xlfn.XLOOKUP(B1712,Tableau13[ID_Antenne],Tableau13[Longitude],"Non répertoriées")</f>
        <v>Non répertoriées</v>
      </c>
      <c r="H1712" t="s">
        <v>10</v>
      </c>
    </row>
    <row r="1713" spans="1:8" x14ac:dyDescent="0.25">
      <c r="A1713" s="1">
        <v>45218.675694444442</v>
      </c>
      <c r="B1713" t="s">
        <v>666</v>
      </c>
      <c r="C1713" s="29" t="str">
        <f>_xlfn.XLOOKUP(B1713,Tableau13[ID_Antenne],Tableau13[Province_RDC],"Non répertoriées")</f>
        <v>Mongala</v>
      </c>
      <c r="D1713">
        <v>30</v>
      </c>
      <c r="E1713" s="31" t="str">
        <f>_xlfn.XLOOKUP(B1713,Tableau13[ID_Antenne],Tableau13[Technologie],"Non répertoriées")</f>
        <v>3G</v>
      </c>
      <c r="F1713" s="3">
        <f>_xlfn.XLOOKUP(B1713,Tableau13[ID_Antenne],Tableau13[Latitude],"Non répertoriées")</f>
        <v>4.0988100000000003</v>
      </c>
      <c r="G1713" s="32">
        <f>_xlfn.XLOOKUP(B1713,Tableau13[ID_Antenne],Tableau13[Longitude],"Non répertoriées")</f>
        <v>29.843810999999999</v>
      </c>
      <c r="H1713" t="s">
        <v>10</v>
      </c>
    </row>
    <row r="1714" spans="1:8" x14ac:dyDescent="0.25">
      <c r="A1714" s="1">
        <v>45204.895833333343</v>
      </c>
      <c r="B1714" t="s">
        <v>674</v>
      </c>
      <c r="C1714" t="str">
        <f>_xlfn.XLOOKUP(B1714,Tableau13[ID_Antenne],Tableau13[Province_RDC],"Non répertoriées")</f>
        <v>Non répertoriées</v>
      </c>
      <c r="D1714">
        <v>101</v>
      </c>
      <c r="E1714" t="str">
        <f>_xlfn.XLOOKUP(B1714,Tableau13[ID_Antenne],Tableau13[Technologie],"Non répertoriées")</f>
        <v>Non répertoriées</v>
      </c>
      <c r="F1714" t="str">
        <f>_xlfn.XLOOKUP(B1714,Tableau13[ID_Antenne],Tableau13[Latitude],"Non répertoriées")</f>
        <v>Non répertoriées</v>
      </c>
      <c r="G1714" t="str">
        <f>_xlfn.XLOOKUP(B1714,Tableau13[ID_Antenne],Tableau13[Longitude],"Non répertoriées")</f>
        <v>Non répertoriées</v>
      </c>
      <c r="H1714" t="s">
        <v>5</v>
      </c>
    </row>
    <row r="1715" spans="1:8" x14ac:dyDescent="0.25">
      <c r="A1715" s="1">
        <v>45207.140277777777</v>
      </c>
      <c r="B1715" t="s">
        <v>429</v>
      </c>
      <c r="C1715" s="29" t="str">
        <f>_xlfn.XLOOKUP(B1715,Tableau13[ID_Antenne],Tableau13[Province_RDC],"Non répertoriées")</f>
        <v>Tshopo</v>
      </c>
      <c r="D1715">
        <v>41</v>
      </c>
      <c r="E1715" s="31" t="str">
        <f>_xlfn.XLOOKUP(B1715,Tableau13[ID_Antenne],Tableau13[Technologie],"Non répertoriées")</f>
        <v>5G</v>
      </c>
      <c r="F1715" s="3">
        <f>_xlfn.XLOOKUP(B1715,Tableau13[ID_Antenne],Tableau13[Latitude],"Non répertoriées")</f>
        <v>4.7777349999999998</v>
      </c>
      <c r="G1715" s="32">
        <f>_xlfn.XLOOKUP(B1715,Tableau13[ID_Antenne],Tableau13[Longitude],"Non répertoriées")</f>
        <v>16.392204</v>
      </c>
      <c r="H1715" t="s">
        <v>5</v>
      </c>
    </row>
    <row r="1716" spans="1:8" x14ac:dyDescent="0.25">
      <c r="A1716" s="1">
        <v>45227.724305555559</v>
      </c>
      <c r="B1716" t="s">
        <v>731</v>
      </c>
      <c r="C1716" t="str">
        <f>_xlfn.XLOOKUP(B1716,Tableau13[ID_Antenne],Tableau13[Province_RDC],"Non répertoriées")</f>
        <v>Non répertoriées</v>
      </c>
      <c r="D1716">
        <v>46</v>
      </c>
      <c r="E1716" t="str">
        <f>_xlfn.XLOOKUP(B1716,Tableau13[ID_Antenne],Tableau13[Technologie],"Non répertoriées")</f>
        <v>Non répertoriées</v>
      </c>
      <c r="F1716" t="str">
        <f>_xlfn.XLOOKUP(B1716,Tableau13[ID_Antenne],Tableau13[Latitude],"Non répertoriées")</f>
        <v>Non répertoriées</v>
      </c>
      <c r="G1716" t="str">
        <f>_xlfn.XLOOKUP(B1716,Tableau13[ID_Antenne],Tableau13[Longitude],"Non répertoriées")</f>
        <v>Non répertoriées</v>
      </c>
      <c r="H1716" t="s">
        <v>5</v>
      </c>
    </row>
    <row r="1717" spans="1:8" x14ac:dyDescent="0.25">
      <c r="A1717" s="1">
        <v>45203.35833333333</v>
      </c>
      <c r="B1717" t="s">
        <v>749</v>
      </c>
      <c r="C1717" t="str">
        <f>_xlfn.XLOOKUP(B1717,Tableau13[ID_Antenne],Tableau13[Province_RDC],"Non répertoriées")</f>
        <v>Non répertoriées</v>
      </c>
      <c r="D1717">
        <v>41</v>
      </c>
      <c r="E1717" t="str">
        <f>_xlfn.XLOOKUP(B1717,Tableau13[ID_Antenne],Tableau13[Technologie],"Non répertoriées")</f>
        <v>Non répertoriées</v>
      </c>
      <c r="F1717" t="str">
        <f>_xlfn.XLOOKUP(B1717,Tableau13[ID_Antenne],Tableau13[Latitude],"Non répertoriées")</f>
        <v>Non répertoriées</v>
      </c>
      <c r="G1717" t="str">
        <f>_xlfn.XLOOKUP(B1717,Tableau13[ID_Antenne],Tableau13[Longitude],"Non répertoriées")</f>
        <v>Non répertoriées</v>
      </c>
      <c r="H1717" t="s">
        <v>8</v>
      </c>
    </row>
    <row r="1718" spans="1:8" x14ac:dyDescent="0.25">
      <c r="A1718" s="1">
        <v>45207.57916666667</v>
      </c>
      <c r="B1718" t="s">
        <v>249</v>
      </c>
      <c r="C1718" t="str">
        <f>_xlfn.XLOOKUP(B1718,Tableau13[ID_Antenne],Tableau13[Province_RDC],"Non répertoriées")</f>
        <v>Non répertoriées</v>
      </c>
      <c r="D1718">
        <v>87</v>
      </c>
      <c r="E1718" t="str">
        <f>_xlfn.XLOOKUP(B1718,Tableau13[ID_Antenne],Tableau13[Technologie],"Non répertoriées")</f>
        <v>Non répertoriées</v>
      </c>
      <c r="F1718" t="str">
        <f>_xlfn.XLOOKUP(B1718,Tableau13[ID_Antenne],Tableau13[Latitude],"Non répertoriées")</f>
        <v>Non répertoriées</v>
      </c>
      <c r="G1718" t="str">
        <f>_xlfn.XLOOKUP(B1718,Tableau13[ID_Antenne],Tableau13[Longitude],"Non répertoriées")</f>
        <v>Non répertoriées</v>
      </c>
      <c r="H1718" t="s">
        <v>10</v>
      </c>
    </row>
    <row r="1719" spans="1:8" x14ac:dyDescent="0.25">
      <c r="A1719" s="1">
        <v>45217.818749999999</v>
      </c>
      <c r="B1719" t="s">
        <v>709</v>
      </c>
      <c r="C1719" t="str">
        <f>_xlfn.XLOOKUP(B1719,Tableau13[ID_Antenne],Tableau13[Province_RDC],"Non répertoriées")</f>
        <v>Non répertoriées</v>
      </c>
      <c r="D1719">
        <v>12</v>
      </c>
      <c r="E1719" t="str">
        <f>_xlfn.XLOOKUP(B1719,Tableau13[ID_Antenne],Tableau13[Technologie],"Non répertoriées")</f>
        <v>Non répertoriées</v>
      </c>
      <c r="F1719" t="str">
        <f>_xlfn.XLOOKUP(B1719,Tableau13[ID_Antenne],Tableau13[Latitude],"Non répertoriées")</f>
        <v>Non répertoriées</v>
      </c>
      <c r="G1719" t="str">
        <f>_xlfn.XLOOKUP(B1719,Tableau13[ID_Antenne],Tableau13[Longitude],"Non répertoriées")</f>
        <v>Non répertoriées</v>
      </c>
      <c r="H1719" t="s">
        <v>8</v>
      </c>
    </row>
    <row r="1720" spans="1:8" x14ac:dyDescent="0.25">
      <c r="A1720" s="1">
        <v>45221.857638888891</v>
      </c>
      <c r="B1720" t="s">
        <v>757</v>
      </c>
      <c r="C1720" t="str">
        <f>_xlfn.XLOOKUP(B1720,Tableau13[ID_Antenne],Tableau13[Province_RDC],"Non répertoriées")</f>
        <v>Non répertoriées</v>
      </c>
      <c r="D1720">
        <v>103</v>
      </c>
      <c r="E1720" t="str">
        <f>_xlfn.XLOOKUP(B1720,Tableau13[ID_Antenne],Tableau13[Technologie],"Non répertoriées")</f>
        <v>Non répertoriées</v>
      </c>
      <c r="F1720" t="str">
        <f>_xlfn.XLOOKUP(B1720,Tableau13[ID_Antenne],Tableau13[Latitude],"Non répertoriées")</f>
        <v>Non répertoriées</v>
      </c>
      <c r="G1720" t="str">
        <f>_xlfn.XLOOKUP(B1720,Tableau13[ID_Antenne],Tableau13[Longitude],"Non répertoriées")</f>
        <v>Non répertoriées</v>
      </c>
      <c r="H1720" t="s">
        <v>8</v>
      </c>
    </row>
    <row r="1721" spans="1:8" x14ac:dyDescent="0.25">
      <c r="A1721" s="1">
        <v>45200.832638888889</v>
      </c>
      <c r="B1721" t="s">
        <v>203</v>
      </c>
      <c r="C1721" t="str">
        <f>_xlfn.XLOOKUP(B1721,Tableau13[ID_Antenne],Tableau13[Province_RDC],"Non répertoriées")</f>
        <v>Non répertoriées</v>
      </c>
      <c r="D1721">
        <v>16</v>
      </c>
      <c r="E1721" t="str">
        <f>_xlfn.XLOOKUP(B1721,Tableau13[ID_Antenne],Tableau13[Technologie],"Non répertoriées")</f>
        <v>Non répertoriées</v>
      </c>
      <c r="F1721" t="str">
        <f>_xlfn.XLOOKUP(B1721,Tableau13[ID_Antenne],Tableau13[Latitude],"Non répertoriées")</f>
        <v>Non répertoriées</v>
      </c>
      <c r="G1721" t="str">
        <f>_xlfn.XLOOKUP(B1721,Tableau13[ID_Antenne],Tableau13[Longitude],"Non répertoriées")</f>
        <v>Non répertoriées</v>
      </c>
      <c r="H1721" t="s">
        <v>10</v>
      </c>
    </row>
    <row r="1722" spans="1:8" x14ac:dyDescent="0.25">
      <c r="A1722" s="1">
        <v>45221.928472222222</v>
      </c>
      <c r="B1722" t="s">
        <v>681</v>
      </c>
      <c r="C1722" s="29" t="str">
        <f>_xlfn.XLOOKUP(B1722,Tableau13[ID_Antenne],Tableau13[Province_RDC],"Non répertoriées")</f>
        <v>Nord-Kivu</v>
      </c>
      <c r="D1722">
        <v>88</v>
      </c>
      <c r="E1722" s="31" t="str">
        <f>_xlfn.XLOOKUP(B1722,Tableau13[ID_Antenne],Tableau13[Technologie],"Non répertoriées")</f>
        <v>5G</v>
      </c>
      <c r="F1722" s="3">
        <f>_xlfn.XLOOKUP(B1722,Tableau13[ID_Antenne],Tableau13[Latitude],"Non répertoriées")</f>
        <v>-6.0234120000000004</v>
      </c>
      <c r="G1722" s="32">
        <f>_xlfn.XLOOKUP(B1722,Tableau13[ID_Antenne],Tableau13[Longitude],"Non répertoriées")</f>
        <v>18.314309999999999</v>
      </c>
      <c r="H1722" t="s">
        <v>8</v>
      </c>
    </row>
    <row r="1723" spans="1:8" x14ac:dyDescent="0.25">
      <c r="A1723" s="1">
        <v>45200.220138888893</v>
      </c>
      <c r="B1723" t="s">
        <v>85</v>
      </c>
      <c r="C1723" s="29" t="str">
        <f>_xlfn.XLOOKUP(B1723,Tableau13[ID_Antenne],Tableau13[Province_RDC],"Non répertoriées")</f>
        <v>Ituri</v>
      </c>
      <c r="D1723">
        <v>78</v>
      </c>
      <c r="E1723" s="31" t="str">
        <f>_xlfn.XLOOKUP(B1723,Tableau13[ID_Antenne],Tableau13[Technologie],"Non répertoriées")</f>
        <v>3G</v>
      </c>
      <c r="F1723" s="3">
        <f>_xlfn.XLOOKUP(B1723,Tableau13[ID_Antenne],Tableau13[Latitude],"Non répertoriées")</f>
        <v>-7.0076900000000002</v>
      </c>
      <c r="G1723" s="32">
        <f>_xlfn.XLOOKUP(B1723,Tableau13[ID_Antenne],Tableau13[Longitude],"Non répertoriées")</f>
        <v>27.367121999999998</v>
      </c>
      <c r="H1723" t="s">
        <v>5</v>
      </c>
    </row>
    <row r="1724" spans="1:8" x14ac:dyDescent="0.25">
      <c r="A1724" s="1">
        <v>45222.415277777778</v>
      </c>
      <c r="B1724" t="s">
        <v>758</v>
      </c>
      <c r="C1724" s="29" t="str">
        <f>_xlfn.XLOOKUP(B1724,Tableau13[ID_Antenne],Tableau13[Province_RDC],"Non répertoriées")</f>
        <v>Kasai-Central</v>
      </c>
      <c r="D1724">
        <v>34</v>
      </c>
      <c r="E1724" s="31" t="str">
        <f>_xlfn.XLOOKUP(B1724,Tableau13[ID_Antenne],Tableau13[Technologie],"Non répertoriées")</f>
        <v>3G</v>
      </c>
      <c r="F1724" s="3">
        <f>_xlfn.XLOOKUP(B1724,Tableau13[ID_Antenne],Tableau13[Latitude],"Non répertoriées")</f>
        <v>-7.3379339999999997</v>
      </c>
      <c r="G1724" s="32">
        <f>_xlfn.XLOOKUP(B1724,Tableau13[ID_Antenne],Tableau13[Longitude],"Non répertoriées")</f>
        <v>28.404001999999998</v>
      </c>
      <c r="H1724" t="s">
        <v>8</v>
      </c>
    </row>
    <row r="1725" spans="1:8" x14ac:dyDescent="0.25">
      <c r="A1725" s="1">
        <v>45210.458333333343</v>
      </c>
      <c r="B1725" t="s">
        <v>129</v>
      </c>
      <c r="C1725" s="29" t="str">
        <f>_xlfn.XLOOKUP(B1725,Tableau13[ID_Antenne],Tableau13[Province_RDC],"Non répertoriées")</f>
        <v>Ituri</v>
      </c>
      <c r="D1725">
        <v>73</v>
      </c>
      <c r="E1725" s="31" t="str">
        <f>_xlfn.XLOOKUP(B1725,Tableau13[ID_Antenne],Tableau13[Technologie],"Non répertoriées")</f>
        <v>4G</v>
      </c>
      <c r="F1725" s="3">
        <f>_xlfn.XLOOKUP(B1725,Tableau13[ID_Antenne],Tableau13[Latitude],"Non répertoriées")</f>
        <v>0.24202000000000001</v>
      </c>
      <c r="G1725" s="32">
        <f>_xlfn.XLOOKUP(B1725,Tableau13[ID_Antenne],Tableau13[Longitude],"Non répertoriées")</f>
        <v>17.396256999999999</v>
      </c>
      <c r="H1725" t="s">
        <v>8</v>
      </c>
    </row>
    <row r="1726" spans="1:8" x14ac:dyDescent="0.25">
      <c r="A1726" s="1">
        <v>45205.191666666673</v>
      </c>
      <c r="B1726" t="s">
        <v>142</v>
      </c>
      <c r="C1726" s="29" t="str">
        <f>_xlfn.XLOOKUP(B1726,Tableau13[ID_Antenne],Tableau13[Province_RDC],"Non répertoriées")</f>
        <v>Lualaba</v>
      </c>
      <c r="D1726">
        <v>99</v>
      </c>
      <c r="E1726" s="31" t="str">
        <f>_xlfn.XLOOKUP(B1726,Tableau13[ID_Antenne],Tableau13[Technologie],"Non répertoriées")</f>
        <v>4G</v>
      </c>
      <c r="F1726" s="3">
        <f>_xlfn.XLOOKUP(B1726,Tableau13[ID_Antenne],Tableau13[Latitude],"Non répertoriées")</f>
        <v>-9.7803979999999999</v>
      </c>
      <c r="G1726" s="32">
        <f>_xlfn.XLOOKUP(B1726,Tableau13[ID_Antenne],Tableau13[Longitude],"Non répertoriées")</f>
        <v>17.686595000000001</v>
      </c>
      <c r="H1726" t="s">
        <v>10</v>
      </c>
    </row>
    <row r="1727" spans="1:8" x14ac:dyDescent="0.25">
      <c r="A1727" s="1">
        <v>45221.50277777778</v>
      </c>
      <c r="B1727" t="s">
        <v>460</v>
      </c>
      <c r="C1727" s="29" t="str">
        <f>_xlfn.XLOOKUP(B1727,Tableau13[ID_Antenne],Tableau13[Province_RDC],"Non répertoriées")</f>
        <v>Maniema</v>
      </c>
      <c r="D1727">
        <v>97</v>
      </c>
      <c r="E1727" s="31" t="str">
        <f>_xlfn.XLOOKUP(B1727,Tableau13[ID_Antenne],Tableau13[Technologie],"Non répertoriées")</f>
        <v>4G</v>
      </c>
      <c r="F1727" s="3">
        <f>_xlfn.XLOOKUP(B1727,Tableau13[ID_Antenne],Tableau13[Latitude],"Non répertoriées")</f>
        <v>1.938083</v>
      </c>
      <c r="G1727" s="32">
        <f>_xlfn.XLOOKUP(B1727,Tableau13[ID_Antenne],Tableau13[Longitude],"Non répertoriées")</f>
        <v>28.25281</v>
      </c>
      <c r="H1727" t="s">
        <v>8</v>
      </c>
    </row>
    <row r="1728" spans="1:8" x14ac:dyDescent="0.25">
      <c r="A1728" s="1">
        <v>45204.986111111109</v>
      </c>
      <c r="B1728" t="s">
        <v>60</v>
      </c>
      <c r="C1728" t="str">
        <f>_xlfn.XLOOKUP(B1728,Tableau13[ID_Antenne],Tableau13[Province_RDC],"Non répertoriées")</f>
        <v>Non répertoriées</v>
      </c>
      <c r="D1728">
        <v>113</v>
      </c>
      <c r="E1728" t="str">
        <f>_xlfn.XLOOKUP(B1728,Tableau13[ID_Antenne],Tableau13[Technologie],"Non répertoriées")</f>
        <v>Non répertoriées</v>
      </c>
      <c r="F1728" t="str">
        <f>_xlfn.XLOOKUP(B1728,Tableau13[ID_Antenne],Tableau13[Latitude],"Non répertoriées")</f>
        <v>Non répertoriées</v>
      </c>
      <c r="G1728" t="str">
        <f>_xlfn.XLOOKUP(B1728,Tableau13[ID_Antenne],Tableau13[Longitude],"Non répertoriées")</f>
        <v>Non répertoriées</v>
      </c>
      <c r="H1728" t="s">
        <v>8</v>
      </c>
    </row>
    <row r="1729" spans="1:8" x14ac:dyDescent="0.25">
      <c r="A1729" s="1">
        <v>45200.115972222222</v>
      </c>
      <c r="B1729" t="s">
        <v>68</v>
      </c>
      <c r="C1729" s="29" t="str">
        <f>_xlfn.XLOOKUP(B1729,Tableau13[ID_Antenne],Tableau13[Province_RDC],"Non répertoriées")</f>
        <v>Kwango</v>
      </c>
      <c r="D1729">
        <v>9</v>
      </c>
      <c r="E1729" s="31" t="str">
        <f>_xlfn.XLOOKUP(B1729,Tableau13[ID_Antenne],Tableau13[Technologie],"Non répertoriées")</f>
        <v>4G</v>
      </c>
      <c r="F1729" s="3">
        <f>_xlfn.XLOOKUP(B1729,Tableau13[ID_Antenne],Tableau13[Latitude],"Non répertoriées")</f>
        <v>-10.963041</v>
      </c>
      <c r="G1729" s="32">
        <f>_xlfn.XLOOKUP(B1729,Tableau13[ID_Antenne],Tableau13[Longitude],"Non répertoriées")</f>
        <v>12.269857</v>
      </c>
      <c r="H1729" t="s">
        <v>5</v>
      </c>
    </row>
    <row r="1730" spans="1:8" x14ac:dyDescent="0.25">
      <c r="A1730" s="1">
        <v>45216.26666666667</v>
      </c>
      <c r="B1730" t="s">
        <v>731</v>
      </c>
      <c r="C1730" t="str">
        <f>_xlfn.XLOOKUP(B1730,Tableau13[ID_Antenne],Tableau13[Province_RDC],"Non répertoriées")</f>
        <v>Non répertoriées</v>
      </c>
      <c r="D1730">
        <v>27</v>
      </c>
      <c r="E1730" t="str">
        <f>_xlfn.XLOOKUP(B1730,Tableau13[ID_Antenne],Tableau13[Technologie],"Non répertoriées")</f>
        <v>Non répertoriées</v>
      </c>
      <c r="F1730" t="str">
        <f>_xlfn.XLOOKUP(B1730,Tableau13[ID_Antenne],Tableau13[Latitude],"Non répertoriées")</f>
        <v>Non répertoriées</v>
      </c>
      <c r="G1730" t="str">
        <f>_xlfn.XLOOKUP(B1730,Tableau13[ID_Antenne],Tableau13[Longitude],"Non répertoriées")</f>
        <v>Non répertoriées</v>
      </c>
      <c r="H1730" t="s">
        <v>8</v>
      </c>
    </row>
    <row r="1731" spans="1:8" x14ac:dyDescent="0.25">
      <c r="A1731" s="1">
        <v>45213.597916666673</v>
      </c>
      <c r="B1731" t="s">
        <v>500</v>
      </c>
      <c r="C1731" s="29" t="str">
        <f>_xlfn.XLOOKUP(B1731,Tableau13[ID_Antenne],Tableau13[Province_RDC],"Non répertoriées")</f>
        <v>Kasai-Central</v>
      </c>
      <c r="D1731">
        <v>58</v>
      </c>
      <c r="E1731" s="31" t="str">
        <f>_xlfn.XLOOKUP(B1731,Tableau13[ID_Antenne],Tableau13[Technologie],"Non répertoriées")</f>
        <v>3G</v>
      </c>
      <c r="F1731" s="3">
        <f>_xlfn.XLOOKUP(B1731,Tableau13[ID_Antenne],Tableau13[Latitude],"Non répertoriées")</f>
        <v>-7.3379339999999997</v>
      </c>
      <c r="G1731" s="32">
        <f>_xlfn.XLOOKUP(B1731,Tableau13[ID_Antenne],Tableau13[Longitude],"Non répertoriées")</f>
        <v>28.404001999999998</v>
      </c>
      <c r="H1731" t="s">
        <v>5</v>
      </c>
    </row>
    <row r="1732" spans="1:8" x14ac:dyDescent="0.25">
      <c r="A1732" s="1">
        <v>45205.47152777778</v>
      </c>
      <c r="B1732" t="s">
        <v>406</v>
      </c>
      <c r="C1732" s="29" t="str">
        <f>_xlfn.XLOOKUP(B1732,Tableau13[ID_Antenne],Tableau13[Province_RDC],"Non répertoriées")</f>
        <v>Kasai-Central</v>
      </c>
      <c r="D1732">
        <v>117</v>
      </c>
      <c r="E1732" s="31" t="str">
        <f>_xlfn.XLOOKUP(B1732,Tableau13[ID_Antenne],Tableau13[Technologie],"Non répertoriées")</f>
        <v>3G</v>
      </c>
      <c r="F1732" s="3">
        <f>_xlfn.XLOOKUP(B1732,Tableau13[ID_Antenne],Tableau13[Latitude],"Non répertoriées")</f>
        <v>1.897178</v>
      </c>
      <c r="G1732" s="32">
        <f>_xlfn.XLOOKUP(B1732,Tableau13[ID_Antenne],Tableau13[Longitude],"Non répertoriées")</f>
        <v>23.902604</v>
      </c>
      <c r="H1732" t="s">
        <v>10</v>
      </c>
    </row>
    <row r="1733" spans="1:8" x14ac:dyDescent="0.25">
      <c r="A1733" s="1">
        <v>45223.450694444437</v>
      </c>
      <c r="B1733" t="s">
        <v>734</v>
      </c>
      <c r="C1733" t="str">
        <f>_xlfn.XLOOKUP(B1733,Tableau13[ID_Antenne],Tableau13[Province_RDC],"Non répertoriées")</f>
        <v>Non répertoriées</v>
      </c>
      <c r="D1733">
        <v>112</v>
      </c>
      <c r="E1733" t="str">
        <f>_xlfn.XLOOKUP(B1733,Tableau13[ID_Antenne],Tableau13[Technologie],"Non répertoriées")</f>
        <v>Non répertoriées</v>
      </c>
      <c r="F1733" t="str">
        <f>_xlfn.XLOOKUP(B1733,Tableau13[ID_Antenne],Tableau13[Latitude],"Non répertoriées")</f>
        <v>Non répertoriées</v>
      </c>
      <c r="G1733" t="str">
        <f>_xlfn.XLOOKUP(B1733,Tableau13[ID_Antenne],Tableau13[Longitude],"Non répertoriées")</f>
        <v>Non répertoriées</v>
      </c>
      <c r="H1733" t="s">
        <v>8</v>
      </c>
    </row>
    <row r="1734" spans="1:8" x14ac:dyDescent="0.25">
      <c r="A1734" s="1">
        <v>45230.776388888888</v>
      </c>
      <c r="B1734" t="s">
        <v>696</v>
      </c>
      <c r="C1734" t="str">
        <f>_xlfn.XLOOKUP(B1734,Tableau13[ID_Antenne],Tableau13[Province_RDC],"Non répertoriées")</f>
        <v>Non répertoriées</v>
      </c>
      <c r="D1734">
        <v>27</v>
      </c>
      <c r="E1734" t="str">
        <f>_xlfn.XLOOKUP(B1734,Tableau13[ID_Antenne],Tableau13[Technologie],"Non répertoriées")</f>
        <v>Non répertoriées</v>
      </c>
      <c r="F1734" t="str">
        <f>_xlfn.XLOOKUP(B1734,Tableau13[ID_Antenne],Tableau13[Latitude],"Non répertoriées")</f>
        <v>Non répertoriées</v>
      </c>
      <c r="G1734" t="str">
        <f>_xlfn.XLOOKUP(B1734,Tableau13[ID_Antenne],Tableau13[Longitude],"Non répertoriées")</f>
        <v>Non répertoriées</v>
      </c>
      <c r="H1734" t="s">
        <v>10</v>
      </c>
    </row>
    <row r="1735" spans="1:8" x14ac:dyDescent="0.25">
      <c r="A1735" s="1">
        <v>45202.04791666667</v>
      </c>
      <c r="B1735" t="s">
        <v>464</v>
      </c>
      <c r="C1735" s="29" t="str">
        <f>_xlfn.XLOOKUP(B1735,Tableau13[ID_Antenne],Tableau13[Province_RDC],"Non répertoriées")</f>
        <v>Haut-Uele</v>
      </c>
      <c r="D1735">
        <v>9</v>
      </c>
      <c r="E1735" s="31" t="str">
        <f>_xlfn.XLOOKUP(B1735,Tableau13[ID_Antenne],Tableau13[Technologie],"Non répertoriées")</f>
        <v>5G</v>
      </c>
      <c r="F1735" s="3">
        <f>_xlfn.XLOOKUP(B1735,Tableau13[ID_Antenne],Tableau13[Latitude],"Non répertoriées")</f>
        <v>1.2391989999999999</v>
      </c>
      <c r="G1735" s="32">
        <f>_xlfn.XLOOKUP(B1735,Tableau13[ID_Antenne],Tableau13[Longitude],"Non répertoriées")</f>
        <v>15.386718999999999</v>
      </c>
      <c r="H1735" t="s">
        <v>5</v>
      </c>
    </row>
    <row r="1736" spans="1:8" x14ac:dyDescent="0.25">
      <c r="A1736" s="1">
        <v>45205.793749999997</v>
      </c>
      <c r="B1736" t="s">
        <v>708</v>
      </c>
      <c r="C1736" s="29" t="str">
        <f>_xlfn.XLOOKUP(B1736,Tableau13[ID_Antenne],Tableau13[Province_RDC],"Non répertoriées")</f>
        <v>Nord-Kivu</v>
      </c>
      <c r="D1736">
        <v>112</v>
      </c>
      <c r="E1736" s="31" t="str">
        <f>_xlfn.XLOOKUP(B1736,Tableau13[ID_Antenne],Tableau13[Technologie],"Non répertoriées")</f>
        <v>5G</v>
      </c>
      <c r="F1736" s="3">
        <f>_xlfn.XLOOKUP(B1736,Tableau13[ID_Antenne],Tableau13[Latitude],"Non répertoriées")</f>
        <v>0.92885200000000001</v>
      </c>
      <c r="G1736" s="32">
        <f>_xlfn.XLOOKUP(B1736,Tableau13[ID_Antenne],Tableau13[Longitude],"Non répertoriées")</f>
        <v>25.868548000000001</v>
      </c>
      <c r="H1736" t="s">
        <v>10</v>
      </c>
    </row>
    <row r="1737" spans="1:8" x14ac:dyDescent="0.25">
      <c r="A1737" s="1">
        <v>45221.095138888893</v>
      </c>
      <c r="B1737" t="s">
        <v>425</v>
      </c>
      <c r="C1737" t="str">
        <f>_xlfn.XLOOKUP(B1737,Tableau13[ID_Antenne],Tableau13[Province_RDC],"Non répertoriées")</f>
        <v>Non répertoriées</v>
      </c>
      <c r="D1737">
        <v>55</v>
      </c>
      <c r="E1737" t="str">
        <f>_xlfn.XLOOKUP(B1737,Tableau13[ID_Antenne],Tableau13[Technologie],"Non répertoriées")</f>
        <v>Non répertoriées</v>
      </c>
      <c r="F1737" t="str">
        <f>_xlfn.XLOOKUP(B1737,Tableau13[ID_Antenne],Tableau13[Latitude],"Non répertoriées")</f>
        <v>Non répertoriées</v>
      </c>
      <c r="G1737" t="str">
        <f>_xlfn.XLOOKUP(B1737,Tableau13[ID_Antenne],Tableau13[Longitude],"Non répertoriées")</f>
        <v>Non répertoriées</v>
      </c>
      <c r="H1737" t="s">
        <v>5</v>
      </c>
    </row>
    <row r="1738" spans="1:8" x14ac:dyDescent="0.25">
      <c r="A1738" s="1">
        <v>45214.893750000003</v>
      </c>
      <c r="B1738" t="s">
        <v>701</v>
      </c>
      <c r="C1738" s="29" t="str">
        <f>_xlfn.XLOOKUP(B1738,Tableau13[ID_Antenne],Tableau13[Province_RDC],"Non répertoriées")</f>
        <v>Haut-Katanga</v>
      </c>
      <c r="D1738">
        <v>105</v>
      </c>
      <c r="E1738" s="31" t="str">
        <f>_xlfn.XLOOKUP(B1738,Tableau13[ID_Antenne],Tableau13[Technologie],"Non répertoriées")</f>
        <v>3G</v>
      </c>
      <c r="F1738" s="3">
        <f>_xlfn.XLOOKUP(B1738,Tableau13[ID_Antenne],Tableau13[Latitude],"Non répertoriées")</f>
        <v>-12.776386</v>
      </c>
      <c r="G1738" s="32">
        <f>_xlfn.XLOOKUP(B1738,Tableau13[ID_Antenne],Tableau13[Longitude],"Non répertoriées")</f>
        <v>14.157596</v>
      </c>
      <c r="H1738" t="s">
        <v>5</v>
      </c>
    </row>
    <row r="1739" spans="1:8" x14ac:dyDescent="0.25">
      <c r="A1739" s="1">
        <v>45215.811111111107</v>
      </c>
      <c r="B1739" t="s">
        <v>154</v>
      </c>
      <c r="C1739" t="str">
        <f>_xlfn.XLOOKUP(B1739,Tableau13[ID_Antenne],Tableau13[Province_RDC],"Non répertoriées")</f>
        <v>Non répertoriées</v>
      </c>
      <c r="D1739">
        <v>68</v>
      </c>
      <c r="E1739" t="str">
        <f>_xlfn.XLOOKUP(B1739,Tableau13[ID_Antenne],Tableau13[Technologie],"Non répertoriées")</f>
        <v>Non répertoriées</v>
      </c>
      <c r="F1739" t="str">
        <f>_xlfn.XLOOKUP(B1739,Tableau13[ID_Antenne],Tableau13[Latitude],"Non répertoriées")</f>
        <v>Non répertoriées</v>
      </c>
      <c r="G1739" t="str">
        <f>_xlfn.XLOOKUP(B1739,Tableau13[ID_Antenne],Tableau13[Longitude],"Non répertoriées")</f>
        <v>Non répertoriées</v>
      </c>
      <c r="H1739" t="s">
        <v>5</v>
      </c>
    </row>
    <row r="1740" spans="1:8" x14ac:dyDescent="0.25">
      <c r="A1740" s="1">
        <v>45213.342361111107</v>
      </c>
      <c r="B1740" t="s">
        <v>335</v>
      </c>
      <c r="C1740" t="str">
        <f>_xlfn.XLOOKUP(B1740,Tableau13[ID_Antenne],Tableau13[Province_RDC],"Non répertoriées")</f>
        <v>Non répertoriées</v>
      </c>
      <c r="D1740">
        <v>28</v>
      </c>
      <c r="E1740" t="str">
        <f>_xlfn.XLOOKUP(B1740,Tableau13[ID_Antenne],Tableau13[Technologie],"Non répertoriées")</f>
        <v>Non répertoriées</v>
      </c>
      <c r="F1740" t="str">
        <f>_xlfn.XLOOKUP(B1740,Tableau13[ID_Antenne],Tableau13[Latitude],"Non répertoriées")</f>
        <v>Non répertoriées</v>
      </c>
      <c r="G1740" t="str">
        <f>_xlfn.XLOOKUP(B1740,Tableau13[ID_Antenne],Tableau13[Longitude],"Non répertoriées")</f>
        <v>Non répertoriées</v>
      </c>
      <c r="H1740" t="s">
        <v>5</v>
      </c>
    </row>
    <row r="1741" spans="1:8" x14ac:dyDescent="0.25">
      <c r="A1741" s="1">
        <v>45224.671527777777</v>
      </c>
      <c r="B1741" t="s">
        <v>673</v>
      </c>
      <c r="C1741" t="str">
        <f>_xlfn.XLOOKUP(B1741,Tableau13[ID_Antenne],Tableau13[Province_RDC],"Non répertoriées")</f>
        <v>Non répertoriées</v>
      </c>
      <c r="D1741">
        <v>100</v>
      </c>
      <c r="E1741" t="str">
        <f>_xlfn.XLOOKUP(B1741,Tableau13[ID_Antenne],Tableau13[Technologie],"Non répertoriées")</f>
        <v>Non répertoriées</v>
      </c>
      <c r="F1741" t="str">
        <f>_xlfn.XLOOKUP(B1741,Tableau13[ID_Antenne],Tableau13[Latitude],"Non répertoriées")</f>
        <v>Non répertoriées</v>
      </c>
      <c r="G1741" t="str">
        <f>_xlfn.XLOOKUP(B1741,Tableau13[ID_Antenne],Tableau13[Longitude],"Non répertoriées")</f>
        <v>Non répertoriées</v>
      </c>
      <c r="H1741" t="s">
        <v>8</v>
      </c>
    </row>
    <row r="1742" spans="1:8" x14ac:dyDescent="0.25">
      <c r="A1742" s="1">
        <v>45211.546527777777</v>
      </c>
      <c r="B1742" t="s">
        <v>711</v>
      </c>
      <c r="C1742" s="29" t="str">
        <f>_xlfn.XLOOKUP(B1742,Tableau13[ID_Antenne],Tableau13[Province_RDC],"Non répertoriées")</f>
        <v>Lualaba</v>
      </c>
      <c r="D1742">
        <v>116</v>
      </c>
      <c r="E1742" s="31" t="str">
        <f>_xlfn.XLOOKUP(B1742,Tableau13[ID_Antenne],Tableau13[Technologie],"Non répertoriées")</f>
        <v>4G</v>
      </c>
      <c r="F1742" s="3">
        <f>_xlfn.XLOOKUP(B1742,Tableau13[ID_Antenne],Tableau13[Latitude],"Non répertoriées")</f>
        <v>-3.234483</v>
      </c>
      <c r="G1742" s="32">
        <f>_xlfn.XLOOKUP(B1742,Tableau13[ID_Antenne],Tableau13[Longitude],"Non répertoriées")</f>
        <v>13.241939</v>
      </c>
      <c r="H1742" t="s">
        <v>5</v>
      </c>
    </row>
    <row r="1743" spans="1:8" x14ac:dyDescent="0.25">
      <c r="A1743" s="1">
        <v>45209.904861111107</v>
      </c>
      <c r="B1743" t="s">
        <v>755</v>
      </c>
      <c r="C1743" t="str">
        <f>_xlfn.XLOOKUP(B1743,Tableau13[ID_Antenne],Tableau13[Province_RDC],"Non répertoriées")</f>
        <v>Non répertoriées</v>
      </c>
      <c r="D1743">
        <v>42</v>
      </c>
      <c r="E1743" t="str">
        <f>_xlfn.XLOOKUP(B1743,Tableau13[ID_Antenne],Tableau13[Technologie],"Non répertoriées")</f>
        <v>Non répertoriées</v>
      </c>
      <c r="F1743" t="str">
        <f>_xlfn.XLOOKUP(B1743,Tableau13[ID_Antenne],Tableau13[Latitude],"Non répertoriées")</f>
        <v>Non répertoriées</v>
      </c>
      <c r="G1743" t="str">
        <f>_xlfn.XLOOKUP(B1743,Tableau13[ID_Antenne],Tableau13[Longitude],"Non répertoriées")</f>
        <v>Non répertoriées</v>
      </c>
      <c r="H1743" t="s">
        <v>5</v>
      </c>
    </row>
    <row r="1744" spans="1:8" x14ac:dyDescent="0.25">
      <c r="A1744" s="1">
        <v>45221.376388888893</v>
      </c>
      <c r="B1744" t="s">
        <v>142</v>
      </c>
      <c r="C1744" s="29" t="str">
        <f>_xlfn.XLOOKUP(B1744,Tableau13[ID_Antenne],Tableau13[Province_RDC],"Non répertoriées")</f>
        <v>Lualaba</v>
      </c>
      <c r="D1744">
        <v>9</v>
      </c>
      <c r="E1744" s="31" t="str">
        <f>_xlfn.XLOOKUP(B1744,Tableau13[ID_Antenne],Tableau13[Technologie],"Non répertoriées")</f>
        <v>4G</v>
      </c>
      <c r="F1744" s="3">
        <f>_xlfn.XLOOKUP(B1744,Tableau13[ID_Antenne],Tableau13[Latitude],"Non répertoriées")</f>
        <v>-9.7803979999999999</v>
      </c>
      <c r="G1744" s="32">
        <f>_xlfn.XLOOKUP(B1744,Tableau13[ID_Antenne],Tableau13[Longitude],"Non répertoriées")</f>
        <v>17.686595000000001</v>
      </c>
      <c r="H1744" t="s">
        <v>10</v>
      </c>
    </row>
    <row r="1745" spans="1:8" x14ac:dyDescent="0.25">
      <c r="A1745" s="1">
        <v>45207.526388888888</v>
      </c>
      <c r="B1745" t="s">
        <v>30</v>
      </c>
      <c r="C1745" s="29" t="str">
        <f>_xlfn.XLOOKUP(B1745,Tableau13[ID_Antenne],Tableau13[Province_RDC],"Non répertoriées")</f>
        <v>Sud-Ubangi</v>
      </c>
      <c r="D1745">
        <v>6</v>
      </c>
      <c r="E1745" s="31" t="str">
        <f>_xlfn.XLOOKUP(B1745,Tableau13[ID_Antenne],Tableau13[Technologie],"Non répertoriées")</f>
        <v>5G</v>
      </c>
      <c r="F1745" s="3">
        <f>_xlfn.XLOOKUP(B1745,Tableau13[ID_Antenne],Tableau13[Latitude],"Non répertoriées")</f>
        <v>-10.56448</v>
      </c>
      <c r="G1745" s="32">
        <f>_xlfn.XLOOKUP(B1745,Tableau13[ID_Antenne],Tableau13[Longitude],"Non répertoriées")</f>
        <v>19.792876</v>
      </c>
      <c r="H1745" t="s">
        <v>5</v>
      </c>
    </row>
    <row r="1746" spans="1:8" x14ac:dyDescent="0.25">
      <c r="A1746" s="1">
        <v>45201.009027777778</v>
      </c>
      <c r="B1746" t="s">
        <v>467</v>
      </c>
      <c r="C1746" t="str">
        <f>_xlfn.XLOOKUP(B1746,Tableau13[ID_Antenne],Tableau13[Province_RDC],"Non répertoriées")</f>
        <v>Non répertoriées</v>
      </c>
      <c r="D1746">
        <v>43</v>
      </c>
      <c r="E1746" t="str">
        <f>_xlfn.XLOOKUP(B1746,Tableau13[ID_Antenne],Tableau13[Technologie],"Non répertoriées")</f>
        <v>Non répertoriées</v>
      </c>
      <c r="F1746" t="str">
        <f>_xlfn.XLOOKUP(B1746,Tableau13[ID_Antenne],Tableau13[Latitude],"Non répertoriées")</f>
        <v>Non répertoriées</v>
      </c>
      <c r="G1746" t="str">
        <f>_xlfn.XLOOKUP(B1746,Tableau13[ID_Antenne],Tableau13[Longitude],"Non répertoriées")</f>
        <v>Non répertoriées</v>
      </c>
      <c r="H1746" t="s">
        <v>10</v>
      </c>
    </row>
    <row r="1747" spans="1:8" x14ac:dyDescent="0.25">
      <c r="A1747" s="1">
        <v>45209.28402777778</v>
      </c>
      <c r="B1747" t="s">
        <v>706</v>
      </c>
      <c r="C1747" s="29" t="str">
        <f>_xlfn.XLOOKUP(B1747,Tableau13[ID_Antenne],Tableau13[Province_RDC],"Non répertoriées")</f>
        <v>Maniema</v>
      </c>
      <c r="D1747">
        <v>77</v>
      </c>
      <c r="E1747" s="31" t="str">
        <f>_xlfn.XLOOKUP(B1747,Tableau13[ID_Antenne],Tableau13[Technologie],"Non répertoriées")</f>
        <v>4G</v>
      </c>
      <c r="F1747" s="3">
        <f>_xlfn.XLOOKUP(B1747,Tableau13[ID_Antenne],Tableau13[Latitude],"Non répertoriées")</f>
        <v>3.08182</v>
      </c>
      <c r="G1747" s="32">
        <f>_xlfn.XLOOKUP(B1747,Tableau13[ID_Antenne],Tableau13[Longitude],"Non répertoriées")</f>
        <v>29.961940999999999</v>
      </c>
      <c r="H1747" t="s">
        <v>8</v>
      </c>
    </row>
    <row r="1748" spans="1:8" x14ac:dyDescent="0.25">
      <c r="A1748" s="1">
        <v>45204.345833333333</v>
      </c>
      <c r="B1748" t="s">
        <v>93</v>
      </c>
      <c r="C1748" t="str">
        <f>_xlfn.XLOOKUP(B1748,Tableau13[ID_Antenne],Tableau13[Province_RDC],"Non répertoriées")</f>
        <v>Non répertoriées</v>
      </c>
      <c r="D1748">
        <v>82</v>
      </c>
      <c r="E1748" t="str">
        <f>_xlfn.XLOOKUP(B1748,Tableau13[ID_Antenne],Tableau13[Technologie],"Non répertoriées")</f>
        <v>Non répertoriées</v>
      </c>
      <c r="F1748" t="str">
        <f>_xlfn.XLOOKUP(B1748,Tableau13[ID_Antenne],Tableau13[Latitude],"Non répertoriées")</f>
        <v>Non répertoriées</v>
      </c>
      <c r="G1748" t="str">
        <f>_xlfn.XLOOKUP(B1748,Tableau13[ID_Antenne],Tableau13[Longitude],"Non répertoriées")</f>
        <v>Non répertoriées</v>
      </c>
      <c r="H1748" t="s">
        <v>5</v>
      </c>
    </row>
    <row r="1749" spans="1:8" x14ac:dyDescent="0.25">
      <c r="A1749" s="1">
        <v>45210.125</v>
      </c>
      <c r="B1749" t="s">
        <v>695</v>
      </c>
      <c r="C1749" t="str">
        <f>_xlfn.XLOOKUP(B1749,Tableau13[ID_Antenne],Tableau13[Province_RDC],"Non répertoriées")</f>
        <v>Non répertoriées</v>
      </c>
      <c r="D1749">
        <v>18</v>
      </c>
      <c r="E1749" t="str">
        <f>_xlfn.XLOOKUP(B1749,Tableau13[ID_Antenne],Tableau13[Technologie],"Non répertoriées")</f>
        <v>Non répertoriées</v>
      </c>
      <c r="F1749" t="str">
        <f>_xlfn.XLOOKUP(B1749,Tableau13[ID_Antenne],Tableau13[Latitude],"Non répertoriées")</f>
        <v>Non répertoriées</v>
      </c>
      <c r="G1749" t="str">
        <f>_xlfn.XLOOKUP(B1749,Tableau13[ID_Antenne],Tableau13[Longitude],"Non répertoriées")</f>
        <v>Non répertoriées</v>
      </c>
      <c r="H1749" t="s">
        <v>5</v>
      </c>
    </row>
    <row r="1750" spans="1:8" x14ac:dyDescent="0.25">
      <c r="A1750" s="1">
        <v>45215.977083333331</v>
      </c>
      <c r="B1750" t="s">
        <v>558</v>
      </c>
      <c r="C1750" t="str">
        <f>_xlfn.XLOOKUP(B1750,Tableau13[ID_Antenne],Tableau13[Province_RDC],"Non répertoriées")</f>
        <v>Non répertoriées</v>
      </c>
      <c r="D1750">
        <v>47</v>
      </c>
      <c r="E1750" t="str">
        <f>_xlfn.XLOOKUP(B1750,Tableau13[ID_Antenne],Tableau13[Technologie],"Non répertoriées")</f>
        <v>Non répertoriées</v>
      </c>
      <c r="F1750" t="str">
        <f>_xlfn.XLOOKUP(B1750,Tableau13[ID_Antenne],Tableau13[Latitude],"Non répertoriées")</f>
        <v>Non répertoriées</v>
      </c>
      <c r="G1750" t="str">
        <f>_xlfn.XLOOKUP(B1750,Tableau13[ID_Antenne],Tableau13[Longitude],"Non répertoriées")</f>
        <v>Non répertoriées</v>
      </c>
      <c r="H1750" t="s">
        <v>10</v>
      </c>
    </row>
    <row r="1751" spans="1:8" x14ac:dyDescent="0.25">
      <c r="A1751" s="1">
        <v>45205.183333333327</v>
      </c>
      <c r="B1751" t="s">
        <v>756</v>
      </c>
      <c r="C1751" t="str">
        <f>_xlfn.XLOOKUP(B1751,Tableau13[ID_Antenne],Tableau13[Province_RDC],"Non répertoriées")</f>
        <v>Non répertoriées</v>
      </c>
      <c r="D1751">
        <v>41</v>
      </c>
      <c r="E1751" t="str">
        <f>_xlfn.XLOOKUP(B1751,Tableau13[ID_Antenne],Tableau13[Technologie],"Non répertoriées")</f>
        <v>Non répertoriées</v>
      </c>
      <c r="F1751" t="str">
        <f>_xlfn.XLOOKUP(B1751,Tableau13[ID_Antenne],Tableau13[Latitude],"Non répertoriées")</f>
        <v>Non répertoriées</v>
      </c>
      <c r="G1751" t="str">
        <f>_xlfn.XLOOKUP(B1751,Tableau13[ID_Antenne],Tableau13[Longitude],"Non répertoriées")</f>
        <v>Non répertoriées</v>
      </c>
      <c r="H1751" t="s">
        <v>8</v>
      </c>
    </row>
    <row r="1752" spans="1:8" x14ac:dyDescent="0.25">
      <c r="A1752" s="1">
        <v>45217.926388888889</v>
      </c>
      <c r="B1752" t="s">
        <v>526</v>
      </c>
      <c r="C1752" s="29" t="str">
        <f>_xlfn.XLOOKUP(B1752,Tableau13[ID_Antenne],Tableau13[Province_RDC],"Non répertoriées")</f>
        <v>Nord-Kivu</v>
      </c>
      <c r="D1752">
        <v>63</v>
      </c>
      <c r="E1752" s="31" t="str">
        <f>_xlfn.XLOOKUP(B1752,Tableau13[ID_Antenne],Tableau13[Technologie],"Non répertoriées")</f>
        <v>5G</v>
      </c>
      <c r="F1752" s="3">
        <f>_xlfn.XLOOKUP(B1752,Tableau13[ID_Antenne],Tableau13[Latitude],"Non répertoriées")</f>
        <v>-0.17258100000000001</v>
      </c>
      <c r="G1752" s="32">
        <f>_xlfn.XLOOKUP(B1752,Tableau13[ID_Antenne],Tableau13[Longitude],"Non répertoriées")</f>
        <v>23.775555000000001</v>
      </c>
      <c r="H1752" t="s">
        <v>5</v>
      </c>
    </row>
    <row r="1753" spans="1:8" x14ac:dyDescent="0.25">
      <c r="A1753" s="1">
        <v>45216.745138888888</v>
      </c>
      <c r="B1753" t="s">
        <v>309</v>
      </c>
      <c r="C1753" s="29" t="str">
        <f>_xlfn.XLOOKUP(B1753,Tableau13[ID_Antenne],Tableau13[Province_RDC],"Non répertoriées")</f>
        <v>Tanganyika</v>
      </c>
      <c r="D1753">
        <v>87</v>
      </c>
      <c r="E1753" s="31" t="str">
        <f>_xlfn.XLOOKUP(B1753,Tableau13[ID_Antenne],Tableau13[Technologie],"Non répertoriées")</f>
        <v>4G</v>
      </c>
      <c r="F1753" s="3">
        <f>_xlfn.XLOOKUP(B1753,Tableau13[ID_Antenne],Tableau13[Latitude],"Non répertoriées")</f>
        <v>-12.229338</v>
      </c>
      <c r="G1753" s="32">
        <f>_xlfn.XLOOKUP(B1753,Tableau13[ID_Antenne],Tableau13[Longitude],"Non répertoriées")</f>
        <v>29.587834999999998</v>
      </c>
      <c r="H1753" t="s">
        <v>10</v>
      </c>
    </row>
    <row r="1754" spans="1:8" x14ac:dyDescent="0.25">
      <c r="A1754" s="1">
        <v>45221.461111111108</v>
      </c>
      <c r="B1754" t="s">
        <v>216</v>
      </c>
      <c r="C1754" s="29" t="str">
        <f>_xlfn.XLOOKUP(B1754,Tableau13[ID_Antenne],Tableau13[Province_RDC],"Non répertoriées")</f>
        <v>Haut-Katanga</v>
      </c>
      <c r="D1754">
        <v>74</v>
      </c>
      <c r="E1754" s="31" t="str">
        <f>_xlfn.XLOOKUP(B1754,Tableau13[ID_Antenne],Tableau13[Technologie],"Non répertoriées")</f>
        <v>5G</v>
      </c>
      <c r="F1754" s="3">
        <f>_xlfn.XLOOKUP(B1754,Tableau13[ID_Antenne],Tableau13[Latitude],"Non répertoriées")</f>
        <v>0.16841400000000001</v>
      </c>
      <c r="G1754" s="32">
        <f>_xlfn.XLOOKUP(B1754,Tableau13[ID_Antenne],Tableau13[Longitude],"Non répertoriées")</f>
        <v>30.029876999999999</v>
      </c>
      <c r="H1754" t="s">
        <v>5</v>
      </c>
    </row>
    <row r="1755" spans="1:8" x14ac:dyDescent="0.25">
      <c r="A1755" s="1">
        <v>45212.959722222222</v>
      </c>
      <c r="B1755" t="s">
        <v>713</v>
      </c>
      <c r="C1755" t="str">
        <f>_xlfn.XLOOKUP(B1755,Tableau13[ID_Antenne],Tableau13[Province_RDC],"Non répertoriées")</f>
        <v>Non répertoriées</v>
      </c>
      <c r="D1755">
        <v>72</v>
      </c>
      <c r="E1755" t="str">
        <f>_xlfn.XLOOKUP(B1755,Tableau13[ID_Antenne],Tableau13[Technologie],"Non répertoriées")</f>
        <v>Non répertoriées</v>
      </c>
      <c r="F1755" t="str">
        <f>_xlfn.XLOOKUP(B1755,Tableau13[ID_Antenne],Tableau13[Latitude],"Non répertoriées")</f>
        <v>Non répertoriées</v>
      </c>
      <c r="G1755" t="str">
        <f>_xlfn.XLOOKUP(B1755,Tableau13[ID_Antenne],Tableau13[Longitude],"Non répertoriées")</f>
        <v>Non répertoriées</v>
      </c>
      <c r="H1755" t="s">
        <v>5</v>
      </c>
    </row>
    <row r="1756" spans="1:8" x14ac:dyDescent="0.25">
      <c r="A1756" s="1">
        <v>45213.020138888889</v>
      </c>
      <c r="B1756" t="s">
        <v>712</v>
      </c>
      <c r="C1756" s="29" t="str">
        <f>_xlfn.XLOOKUP(B1756,Tableau13[ID_Antenne],Tableau13[Province_RDC],"Non répertoriées")</f>
        <v>Tanganyika</v>
      </c>
      <c r="D1756">
        <v>68</v>
      </c>
      <c r="E1756" s="31" t="str">
        <f>_xlfn.XLOOKUP(B1756,Tableau13[ID_Antenne],Tableau13[Technologie],"Non répertoriées")</f>
        <v>5G</v>
      </c>
      <c r="F1756" s="3">
        <f>_xlfn.XLOOKUP(B1756,Tableau13[ID_Antenne],Tableau13[Latitude],"Non répertoriées")</f>
        <v>-12.824638999999999</v>
      </c>
      <c r="G1756" s="32">
        <f>_xlfn.XLOOKUP(B1756,Tableau13[ID_Antenne],Tableau13[Longitude],"Non répertoriées")</f>
        <v>24.407249</v>
      </c>
      <c r="H1756" t="s">
        <v>5</v>
      </c>
    </row>
    <row r="1757" spans="1:8" x14ac:dyDescent="0.25">
      <c r="A1757" s="1">
        <v>45229.121527777781</v>
      </c>
      <c r="B1757" t="s">
        <v>440</v>
      </c>
      <c r="C1757" s="29" t="str">
        <f>_xlfn.XLOOKUP(B1757,Tableau13[ID_Antenne],Tableau13[Province_RDC],"Non répertoriées")</f>
        <v>Tanganyika</v>
      </c>
      <c r="D1757">
        <v>118</v>
      </c>
      <c r="E1757" s="31" t="str">
        <f>_xlfn.XLOOKUP(B1757,Tableau13[ID_Antenne],Tableau13[Technologie],"Non répertoriées")</f>
        <v>3G</v>
      </c>
      <c r="F1757" s="3">
        <f>_xlfn.XLOOKUP(B1757,Tableau13[ID_Antenne],Tableau13[Latitude],"Non répertoriées")</f>
        <v>-7.9425049999999997</v>
      </c>
      <c r="G1757" s="32">
        <f>_xlfn.XLOOKUP(B1757,Tableau13[ID_Antenne],Tableau13[Longitude],"Non répertoriées")</f>
        <v>24.111059000000001</v>
      </c>
      <c r="H1757" t="s">
        <v>8</v>
      </c>
    </row>
    <row r="1758" spans="1:8" x14ac:dyDescent="0.25">
      <c r="A1758" s="1">
        <v>45210.768750000003</v>
      </c>
      <c r="B1758" t="s">
        <v>173</v>
      </c>
      <c r="C1758" t="str">
        <f>_xlfn.XLOOKUP(B1758,Tableau13[ID_Antenne],Tableau13[Province_RDC],"Non répertoriées")</f>
        <v>Non répertoriées</v>
      </c>
      <c r="D1758">
        <v>22</v>
      </c>
      <c r="E1758" t="str">
        <f>_xlfn.XLOOKUP(B1758,Tableau13[ID_Antenne],Tableau13[Technologie],"Non répertoriées")</f>
        <v>Non répertoriées</v>
      </c>
      <c r="F1758" t="str">
        <f>_xlfn.XLOOKUP(B1758,Tableau13[ID_Antenne],Tableau13[Latitude],"Non répertoriées")</f>
        <v>Non répertoriées</v>
      </c>
      <c r="G1758" t="str">
        <f>_xlfn.XLOOKUP(B1758,Tableau13[ID_Antenne],Tableau13[Longitude],"Non répertoriées")</f>
        <v>Non répertoriées</v>
      </c>
      <c r="H1758" t="s">
        <v>8</v>
      </c>
    </row>
    <row r="1759" spans="1:8" x14ac:dyDescent="0.25">
      <c r="A1759" s="1">
        <v>45218.53125</v>
      </c>
      <c r="B1759" t="s">
        <v>48</v>
      </c>
      <c r="C1759" t="str">
        <f>_xlfn.XLOOKUP(B1759,Tableau13[ID_Antenne],Tableau13[Province_RDC],"Non répertoriées")</f>
        <v>Non répertoriées</v>
      </c>
      <c r="D1759">
        <v>113</v>
      </c>
      <c r="E1759" t="str">
        <f>_xlfn.XLOOKUP(B1759,Tableau13[ID_Antenne],Tableau13[Technologie],"Non répertoriées")</f>
        <v>Non répertoriées</v>
      </c>
      <c r="F1759" t="str">
        <f>_xlfn.XLOOKUP(B1759,Tableau13[ID_Antenne],Tableau13[Latitude],"Non répertoriées")</f>
        <v>Non répertoriées</v>
      </c>
      <c r="G1759" t="str">
        <f>_xlfn.XLOOKUP(B1759,Tableau13[ID_Antenne],Tableau13[Longitude],"Non répertoriées")</f>
        <v>Non répertoriées</v>
      </c>
      <c r="H1759" t="s">
        <v>5</v>
      </c>
    </row>
    <row r="1760" spans="1:8" x14ac:dyDescent="0.25">
      <c r="A1760" s="1">
        <v>45220.554166666669</v>
      </c>
      <c r="B1760" t="s">
        <v>596</v>
      </c>
      <c r="C1760" t="str">
        <f>_xlfn.XLOOKUP(B1760,Tableau13[ID_Antenne],Tableau13[Province_RDC],"Non répertoriées")</f>
        <v>Non répertoriées</v>
      </c>
      <c r="D1760">
        <v>69</v>
      </c>
      <c r="E1760" t="str">
        <f>_xlfn.XLOOKUP(B1760,Tableau13[ID_Antenne],Tableau13[Technologie],"Non répertoriées")</f>
        <v>Non répertoriées</v>
      </c>
      <c r="F1760" t="str">
        <f>_xlfn.XLOOKUP(B1760,Tableau13[ID_Antenne],Tableau13[Latitude],"Non répertoriées")</f>
        <v>Non répertoriées</v>
      </c>
      <c r="G1760" t="str">
        <f>_xlfn.XLOOKUP(B1760,Tableau13[ID_Antenne],Tableau13[Longitude],"Non répertoriées")</f>
        <v>Non répertoriées</v>
      </c>
      <c r="H1760" t="s">
        <v>5</v>
      </c>
    </row>
    <row r="1761" spans="1:8" x14ac:dyDescent="0.25">
      <c r="A1761" s="1">
        <v>45203.500694444447</v>
      </c>
      <c r="B1761" t="s">
        <v>390</v>
      </c>
      <c r="C1761" s="29" t="str">
        <f>_xlfn.XLOOKUP(B1761,Tableau13[ID_Antenne],Tableau13[Province_RDC],"Non répertoriées")</f>
        <v>Kasai-Oriental</v>
      </c>
      <c r="D1761">
        <v>64</v>
      </c>
      <c r="E1761" s="31" t="str">
        <f>_xlfn.XLOOKUP(B1761,Tableau13[ID_Antenne],Tableau13[Technologie],"Non répertoriées")</f>
        <v>4G</v>
      </c>
      <c r="F1761" s="3">
        <f>_xlfn.XLOOKUP(B1761,Tableau13[ID_Antenne],Tableau13[Latitude],"Non répertoriées")</f>
        <v>-1.648326</v>
      </c>
      <c r="G1761" s="32">
        <f>_xlfn.XLOOKUP(B1761,Tableau13[ID_Antenne],Tableau13[Longitude],"Non répertoriées")</f>
        <v>25.528901999999999</v>
      </c>
      <c r="H1761" t="s">
        <v>8</v>
      </c>
    </row>
    <row r="1762" spans="1:8" x14ac:dyDescent="0.25">
      <c r="A1762" s="1">
        <v>45230.423611111109</v>
      </c>
      <c r="B1762" t="s">
        <v>710</v>
      </c>
      <c r="C1762" s="29" t="str">
        <f>_xlfn.XLOOKUP(B1762,Tableau13[ID_Antenne],Tableau13[Province_RDC],"Non répertoriées")</f>
        <v>Equateur</v>
      </c>
      <c r="D1762">
        <v>39</v>
      </c>
      <c r="E1762" s="31" t="str">
        <f>_xlfn.XLOOKUP(B1762,Tableau13[ID_Antenne],Tableau13[Technologie],"Non répertoriées")</f>
        <v>3G</v>
      </c>
      <c r="F1762" s="3">
        <f>_xlfn.XLOOKUP(B1762,Tableau13[ID_Antenne],Tableau13[Latitude],"Non répertoriées")</f>
        <v>-6.7420359999999997</v>
      </c>
      <c r="G1762" s="32">
        <f>_xlfn.XLOOKUP(B1762,Tableau13[ID_Antenne],Tableau13[Longitude],"Non répertoriées")</f>
        <v>28.905578999999999</v>
      </c>
      <c r="H1762" t="s">
        <v>10</v>
      </c>
    </row>
    <row r="1763" spans="1:8" x14ac:dyDescent="0.25">
      <c r="A1763" s="1">
        <v>45225.811805555553</v>
      </c>
      <c r="B1763" t="s">
        <v>710</v>
      </c>
      <c r="C1763" s="29" t="str">
        <f>_xlfn.XLOOKUP(B1763,Tableau13[ID_Antenne],Tableau13[Province_RDC],"Non répertoriées")</f>
        <v>Equateur</v>
      </c>
      <c r="D1763">
        <v>29</v>
      </c>
      <c r="E1763" s="31" t="str">
        <f>_xlfn.XLOOKUP(B1763,Tableau13[ID_Antenne],Tableau13[Technologie],"Non répertoriées")</f>
        <v>3G</v>
      </c>
      <c r="F1763" s="3">
        <f>_xlfn.XLOOKUP(B1763,Tableau13[ID_Antenne],Tableau13[Latitude],"Non répertoriées")</f>
        <v>-6.7420359999999997</v>
      </c>
      <c r="G1763" s="32">
        <f>_xlfn.XLOOKUP(B1763,Tableau13[ID_Antenne],Tableau13[Longitude],"Non répertoriées")</f>
        <v>28.905578999999999</v>
      </c>
      <c r="H1763" t="s">
        <v>5</v>
      </c>
    </row>
    <row r="1764" spans="1:8" x14ac:dyDescent="0.25">
      <c r="A1764" s="1">
        <v>45226.956944444442</v>
      </c>
      <c r="B1764" t="s">
        <v>342</v>
      </c>
      <c r="C1764" s="29" t="str">
        <f>_xlfn.XLOOKUP(B1764,Tableau13[ID_Antenne],Tableau13[Province_RDC],"Non répertoriées")</f>
        <v>Kinshasa</v>
      </c>
      <c r="D1764">
        <v>108</v>
      </c>
      <c r="E1764" s="31" t="str">
        <f>_xlfn.XLOOKUP(B1764,Tableau13[ID_Antenne],Tableau13[Technologie],"Non répertoriées")</f>
        <v>5G</v>
      </c>
      <c r="F1764" s="3">
        <f>_xlfn.XLOOKUP(B1764,Tableau13[ID_Antenne],Tableau13[Latitude],"Non répertoriées")</f>
        <v>-11.389362</v>
      </c>
      <c r="G1764" s="32">
        <f>_xlfn.XLOOKUP(B1764,Tableau13[ID_Antenne],Tableau13[Longitude],"Non répertoriées")</f>
        <v>22.240174</v>
      </c>
      <c r="H1764" t="s">
        <v>10</v>
      </c>
    </row>
    <row r="1765" spans="1:8" x14ac:dyDescent="0.25">
      <c r="A1765" s="1">
        <v>45211.102083333331</v>
      </c>
      <c r="B1765" t="s">
        <v>240</v>
      </c>
      <c r="C1765" t="str">
        <f>_xlfn.XLOOKUP(B1765,Tableau13[ID_Antenne],Tableau13[Province_RDC],"Non répertoriées")</f>
        <v>Non répertoriées</v>
      </c>
      <c r="D1765">
        <v>19</v>
      </c>
      <c r="E1765" t="str">
        <f>_xlfn.XLOOKUP(B1765,Tableau13[ID_Antenne],Tableau13[Technologie],"Non répertoriées")</f>
        <v>Non répertoriées</v>
      </c>
      <c r="F1765" t="str">
        <f>_xlfn.XLOOKUP(B1765,Tableau13[ID_Antenne],Tableau13[Latitude],"Non répertoriées")</f>
        <v>Non répertoriées</v>
      </c>
      <c r="G1765" t="str">
        <f>_xlfn.XLOOKUP(B1765,Tableau13[ID_Antenne],Tableau13[Longitude],"Non répertoriées")</f>
        <v>Non répertoriées</v>
      </c>
      <c r="H1765" t="s">
        <v>8</v>
      </c>
    </row>
    <row r="1766" spans="1:8" x14ac:dyDescent="0.25">
      <c r="A1766" s="1">
        <v>45227.135416666657</v>
      </c>
      <c r="B1766" t="s">
        <v>246</v>
      </c>
      <c r="C1766" t="str">
        <f>_xlfn.XLOOKUP(B1766,Tableau13[ID_Antenne],Tableau13[Province_RDC],"Non répertoriées")</f>
        <v>Non répertoriées</v>
      </c>
      <c r="D1766">
        <v>47</v>
      </c>
      <c r="E1766" t="str">
        <f>_xlfn.XLOOKUP(B1766,Tableau13[ID_Antenne],Tableau13[Technologie],"Non répertoriées")</f>
        <v>Non répertoriées</v>
      </c>
      <c r="F1766" t="str">
        <f>_xlfn.XLOOKUP(B1766,Tableau13[ID_Antenne],Tableau13[Latitude],"Non répertoriées")</f>
        <v>Non répertoriées</v>
      </c>
      <c r="G1766" t="str">
        <f>_xlfn.XLOOKUP(B1766,Tableau13[ID_Antenne],Tableau13[Longitude],"Non répertoriées")</f>
        <v>Non répertoriées</v>
      </c>
      <c r="H1766" t="s">
        <v>8</v>
      </c>
    </row>
    <row r="1767" spans="1:8" x14ac:dyDescent="0.25">
      <c r="A1767" s="1">
        <v>45213.767361111109</v>
      </c>
      <c r="B1767" t="s">
        <v>263</v>
      </c>
      <c r="C1767" t="str">
        <f>_xlfn.XLOOKUP(B1767,Tableau13[ID_Antenne],Tableau13[Province_RDC],"Non répertoriées")</f>
        <v>Non répertoriées</v>
      </c>
      <c r="D1767">
        <v>25</v>
      </c>
      <c r="E1767" t="str">
        <f>_xlfn.XLOOKUP(B1767,Tableau13[ID_Antenne],Tableau13[Technologie],"Non répertoriées")</f>
        <v>Non répertoriées</v>
      </c>
      <c r="F1767" t="str">
        <f>_xlfn.XLOOKUP(B1767,Tableau13[ID_Antenne],Tableau13[Latitude],"Non répertoriées")</f>
        <v>Non répertoriées</v>
      </c>
      <c r="G1767" t="str">
        <f>_xlfn.XLOOKUP(B1767,Tableau13[ID_Antenne],Tableau13[Longitude],"Non répertoriées")</f>
        <v>Non répertoriées</v>
      </c>
      <c r="H1767" t="s">
        <v>10</v>
      </c>
    </row>
    <row r="1768" spans="1:8" x14ac:dyDescent="0.25">
      <c r="A1768" s="1">
        <v>45216.100694444453</v>
      </c>
      <c r="B1768" t="s">
        <v>573</v>
      </c>
      <c r="C1768" s="29" t="str">
        <f>_xlfn.XLOOKUP(B1768,Tableau13[ID_Antenne],Tableau13[Province_RDC],"Non répertoriées")</f>
        <v>Haut-Lomami</v>
      </c>
      <c r="D1768">
        <v>98</v>
      </c>
      <c r="E1768" s="31" t="str">
        <f>_xlfn.XLOOKUP(B1768,Tableau13[ID_Antenne],Tableau13[Technologie],"Non répertoriées")</f>
        <v>3G</v>
      </c>
      <c r="F1768" s="3">
        <f>_xlfn.XLOOKUP(B1768,Tableau13[ID_Antenne],Tableau13[Latitude],"Non répertoriées")</f>
        <v>-11.89448</v>
      </c>
      <c r="G1768" s="32">
        <f>_xlfn.XLOOKUP(B1768,Tableau13[ID_Antenne],Tableau13[Longitude],"Non répertoriées")</f>
        <v>19.216214999999998</v>
      </c>
      <c r="H1768" t="s">
        <v>8</v>
      </c>
    </row>
    <row r="1769" spans="1:8" x14ac:dyDescent="0.25">
      <c r="A1769" s="1">
        <v>45227.407638888893</v>
      </c>
      <c r="B1769" t="s">
        <v>643</v>
      </c>
      <c r="C1769" t="str">
        <f>_xlfn.XLOOKUP(B1769,Tableau13[ID_Antenne],Tableau13[Province_RDC],"Non répertoriées")</f>
        <v>Non répertoriées</v>
      </c>
      <c r="D1769">
        <v>63</v>
      </c>
      <c r="E1769" t="str">
        <f>_xlfn.XLOOKUP(B1769,Tableau13[ID_Antenne],Tableau13[Technologie],"Non répertoriées")</f>
        <v>Non répertoriées</v>
      </c>
      <c r="F1769" t="str">
        <f>_xlfn.XLOOKUP(B1769,Tableau13[ID_Antenne],Tableau13[Latitude],"Non répertoriées")</f>
        <v>Non répertoriées</v>
      </c>
      <c r="G1769" t="str">
        <f>_xlfn.XLOOKUP(B1769,Tableau13[ID_Antenne],Tableau13[Longitude],"Non répertoriées")</f>
        <v>Non répertoriées</v>
      </c>
      <c r="H1769" t="s">
        <v>5</v>
      </c>
    </row>
    <row r="1770" spans="1:8" x14ac:dyDescent="0.25">
      <c r="A1770" s="1">
        <v>45210.306250000001</v>
      </c>
      <c r="B1770" t="s">
        <v>631</v>
      </c>
      <c r="C1770" t="str">
        <f>_xlfn.XLOOKUP(B1770,Tableau13[ID_Antenne],Tableau13[Province_RDC],"Non répertoriées")</f>
        <v>Non répertoriées</v>
      </c>
      <c r="D1770">
        <v>87</v>
      </c>
      <c r="E1770" t="str">
        <f>_xlfn.XLOOKUP(B1770,Tableau13[ID_Antenne],Tableau13[Technologie],"Non répertoriées")</f>
        <v>Non répertoriées</v>
      </c>
      <c r="F1770" t="str">
        <f>_xlfn.XLOOKUP(B1770,Tableau13[ID_Antenne],Tableau13[Latitude],"Non répertoriées")</f>
        <v>Non répertoriées</v>
      </c>
      <c r="G1770" t="str">
        <f>_xlfn.XLOOKUP(B1770,Tableau13[ID_Antenne],Tableau13[Longitude],"Non répertoriées")</f>
        <v>Non répertoriées</v>
      </c>
      <c r="H1770" t="s">
        <v>10</v>
      </c>
    </row>
    <row r="1771" spans="1:8" x14ac:dyDescent="0.25">
      <c r="A1771" s="1">
        <v>45224.211111111108</v>
      </c>
      <c r="B1771" t="s">
        <v>726</v>
      </c>
      <c r="C1771" t="str">
        <f>_xlfn.XLOOKUP(B1771,Tableau13[ID_Antenne],Tableau13[Province_RDC],"Non répertoriées")</f>
        <v>Non répertoriées</v>
      </c>
      <c r="D1771">
        <v>37</v>
      </c>
      <c r="E1771" t="str">
        <f>_xlfn.XLOOKUP(B1771,Tableau13[ID_Antenne],Tableau13[Technologie],"Non répertoriées")</f>
        <v>Non répertoriées</v>
      </c>
      <c r="F1771" t="str">
        <f>_xlfn.XLOOKUP(B1771,Tableau13[ID_Antenne],Tableau13[Latitude],"Non répertoriées")</f>
        <v>Non répertoriées</v>
      </c>
      <c r="G1771" t="str">
        <f>_xlfn.XLOOKUP(B1771,Tableau13[ID_Antenne],Tableau13[Longitude],"Non répertoriées")</f>
        <v>Non répertoriées</v>
      </c>
      <c r="H1771" t="s">
        <v>10</v>
      </c>
    </row>
    <row r="1772" spans="1:8" x14ac:dyDescent="0.25">
      <c r="A1772" s="1">
        <v>45216.838194444441</v>
      </c>
      <c r="B1772" t="s">
        <v>425</v>
      </c>
      <c r="C1772" t="str">
        <f>_xlfn.XLOOKUP(B1772,Tableau13[ID_Antenne],Tableau13[Province_RDC],"Non répertoriées")</f>
        <v>Non répertoriées</v>
      </c>
      <c r="D1772">
        <v>96</v>
      </c>
      <c r="E1772" t="str">
        <f>_xlfn.XLOOKUP(B1772,Tableau13[ID_Antenne],Tableau13[Technologie],"Non répertoriées")</f>
        <v>Non répertoriées</v>
      </c>
      <c r="F1772" t="str">
        <f>_xlfn.XLOOKUP(B1772,Tableau13[ID_Antenne],Tableau13[Latitude],"Non répertoriées")</f>
        <v>Non répertoriées</v>
      </c>
      <c r="G1772" t="str">
        <f>_xlfn.XLOOKUP(B1772,Tableau13[ID_Antenne],Tableau13[Longitude],"Non répertoriées")</f>
        <v>Non répertoriées</v>
      </c>
      <c r="H1772" t="s">
        <v>10</v>
      </c>
    </row>
    <row r="1773" spans="1:8" x14ac:dyDescent="0.25">
      <c r="A1773" s="1">
        <v>45216.675000000003</v>
      </c>
      <c r="B1773" t="s">
        <v>90</v>
      </c>
      <c r="C1773" t="str">
        <f>_xlfn.XLOOKUP(B1773,Tableau13[ID_Antenne],Tableau13[Province_RDC],"Non répertoriées")</f>
        <v>Non répertoriées</v>
      </c>
      <c r="D1773">
        <v>28</v>
      </c>
      <c r="E1773" t="str">
        <f>_xlfn.XLOOKUP(B1773,Tableau13[ID_Antenne],Tableau13[Technologie],"Non répertoriées")</f>
        <v>Non répertoriées</v>
      </c>
      <c r="F1773" t="str">
        <f>_xlfn.XLOOKUP(B1773,Tableau13[ID_Antenne],Tableau13[Latitude],"Non répertoriées")</f>
        <v>Non répertoriées</v>
      </c>
      <c r="G1773" t="str">
        <f>_xlfn.XLOOKUP(B1773,Tableau13[ID_Antenne],Tableau13[Longitude],"Non répertoriées")</f>
        <v>Non répertoriées</v>
      </c>
      <c r="H1773" t="s">
        <v>5</v>
      </c>
    </row>
    <row r="1774" spans="1:8" x14ac:dyDescent="0.25">
      <c r="A1774" s="1">
        <v>45228.473611111112</v>
      </c>
      <c r="B1774" t="s">
        <v>440</v>
      </c>
      <c r="C1774" s="29" t="str">
        <f>_xlfn.XLOOKUP(B1774,Tableau13[ID_Antenne],Tableau13[Province_RDC],"Non répertoriées")</f>
        <v>Tanganyika</v>
      </c>
      <c r="D1774">
        <v>6</v>
      </c>
      <c r="E1774" s="31" t="str">
        <f>_xlfn.XLOOKUP(B1774,Tableau13[ID_Antenne],Tableau13[Technologie],"Non répertoriées")</f>
        <v>3G</v>
      </c>
      <c r="F1774" s="3">
        <f>_xlfn.XLOOKUP(B1774,Tableau13[ID_Antenne],Tableau13[Latitude],"Non répertoriées")</f>
        <v>-7.9425049999999997</v>
      </c>
      <c r="G1774" s="32">
        <f>_xlfn.XLOOKUP(B1774,Tableau13[ID_Antenne],Tableau13[Longitude],"Non répertoriées")</f>
        <v>24.111059000000001</v>
      </c>
      <c r="H1774" t="s">
        <v>5</v>
      </c>
    </row>
    <row r="1775" spans="1:8" x14ac:dyDescent="0.25">
      <c r="A1775" s="1">
        <v>45223.869444444441</v>
      </c>
      <c r="B1775" t="s">
        <v>214</v>
      </c>
      <c r="C1775" t="str">
        <f>_xlfn.XLOOKUP(B1775,Tableau13[ID_Antenne],Tableau13[Province_RDC],"Non répertoriées")</f>
        <v>Non répertoriées</v>
      </c>
      <c r="D1775">
        <v>99</v>
      </c>
      <c r="E1775" t="str">
        <f>_xlfn.XLOOKUP(B1775,Tableau13[ID_Antenne],Tableau13[Technologie],"Non répertoriées")</f>
        <v>Non répertoriées</v>
      </c>
      <c r="F1775" t="str">
        <f>_xlfn.XLOOKUP(B1775,Tableau13[ID_Antenne],Tableau13[Latitude],"Non répertoriées")</f>
        <v>Non répertoriées</v>
      </c>
      <c r="G1775" t="str">
        <f>_xlfn.XLOOKUP(B1775,Tableau13[ID_Antenne],Tableau13[Longitude],"Non répertoriées")</f>
        <v>Non répertoriées</v>
      </c>
      <c r="H1775" t="s">
        <v>8</v>
      </c>
    </row>
    <row r="1776" spans="1:8" x14ac:dyDescent="0.25">
      <c r="A1776" s="1">
        <v>45204.29583333333</v>
      </c>
      <c r="B1776" t="s">
        <v>180</v>
      </c>
      <c r="C1776" s="29" t="str">
        <f>_xlfn.XLOOKUP(B1776,Tableau13[ID_Antenne],Tableau13[Province_RDC],"Non répertoriées")</f>
        <v>Mai-Ndombe</v>
      </c>
      <c r="D1776">
        <v>48</v>
      </c>
      <c r="E1776" s="31" t="str">
        <f>_xlfn.XLOOKUP(B1776,Tableau13[ID_Antenne],Tableau13[Technologie],"Non répertoriées")</f>
        <v>4G</v>
      </c>
      <c r="F1776" s="3">
        <f>_xlfn.XLOOKUP(B1776,Tableau13[ID_Antenne],Tableau13[Latitude],"Non répertoriées")</f>
        <v>-10.442425</v>
      </c>
      <c r="G1776" s="32">
        <f>_xlfn.XLOOKUP(B1776,Tableau13[ID_Antenne],Tableau13[Longitude],"Non répertoriées")</f>
        <v>23.243632000000002</v>
      </c>
      <c r="H1776" t="s">
        <v>10</v>
      </c>
    </row>
    <row r="1777" spans="1:8" x14ac:dyDescent="0.25">
      <c r="A1777" s="1">
        <v>45204.341666666667</v>
      </c>
      <c r="B1777" t="s">
        <v>693</v>
      </c>
      <c r="C1777" t="str">
        <f>_xlfn.XLOOKUP(B1777,Tableau13[ID_Antenne],Tableau13[Province_RDC],"Non répertoriées")</f>
        <v>Non répertoriées</v>
      </c>
      <c r="D1777">
        <v>106</v>
      </c>
      <c r="E1777" t="str">
        <f>_xlfn.XLOOKUP(B1777,Tableau13[ID_Antenne],Tableau13[Technologie],"Non répertoriées")</f>
        <v>Non répertoriées</v>
      </c>
      <c r="F1777" t="str">
        <f>_xlfn.XLOOKUP(B1777,Tableau13[ID_Antenne],Tableau13[Latitude],"Non répertoriées")</f>
        <v>Non répertoriées</v>
      </c>
      <c r="G1777" t="str">
        <f>_xlfn.XLOOKUP(B1777,Tableau13[ID_Antenne],Tableau13[Longitude],"Non répertoriées")</f>
        <v>Non répertoriées</v>
      </c>
      <c r="H1777" t="s">
        <v>8</v>
      </c>
    </row>
    <row r="1778" spans="1:8" x14ac:dyDescent="0.25">
      <c r="A1778" s="1">
        <v>45205.79791666667</v>
      </c>
      <c r="B1778" t="s">
        <v>737</v>
      </c>
      <c r="C1778" t="str">
        <f>_xlfn.XLOOKUP(B1778,Tableau13[ID_Antenne],Tableau13[Province_RDC],"Non répertoriées")</f>
        <v>Non répertoriées</v>
      </c>
      <c r="D1778">
        <v>42</v>
      </c>
      <c r="E1778" t="str">
        <f>_xlfn.XLOOKUP(B1778,Tableau13[ID_Antenne],Tableau13[Technologie],"Non répertoriées")</f>
        <v>Non répertoriées</v>
      </c>
      <c r="F1778" t="str">
        <f>_xlfn.XLOOKUP(B1778,Tableau13[ID_Antenne],Tableau13[Latitude],"Non répertoriées")</f>
        <v>Non répertoriées</v>
      </c>
      <c r="G1778" t="str">
        <f>_xlfn.XLOOKUP(B1778,Tableau13[ID_Antenne],Tableau13[Longitude],"Non répertoriées")</f>
        <v>Non répertoriées</v>
      </c>
      <c r="H1778" t="s">
        <v>10</v>
      </c>
    </row>
    <row r="1779" spans="1:8" x14ac:dyDescent="0.25">
      <c r="A1779" s="1">
        <v>45224.836111111108</v>
      </c>
      <c r="B1779" t="s">
        <v>60</v>
      </c>
      <c r="C1779" t="str">
        <f>_xlfn.XLOOKUP(B1779,Tableau13[ID_Antenne],Tableau13[Province_RDC],"Non répertoriées")</f>
        <v>Non répertoriées</v>
      </c>
      <c r="D1779">
        <v>77</v>
      </c>
      <c r="E1779" t="str">
        <f>_xlfn.XLOOKUP(B1779,Tableau13[ID_Antenne],Tableau13[Technologie],"Non répertoriées")</f>
        <v>Non répertoriées</v>
      </c>
      <c r="F1779" t="str">
        <f>_xlfn.XLOOKUP(B1779,Tableau13[ID_Antenne],Tableau13[Latitude],"Non répertoriées")</f>
        <v>Non répertoriées</v>
      </c>
      <c r="G1779" t="str">
        <f>_xlfn.XLOOKUP(B1779,Tableau13[ID_Antenne],Tableau13[Longitude],"Non répertoriées")</f>
        <v>Non répertoriées</v>
      </c>
      <c r="H1779" t="s">
        <v>8</v>
      </c>
    </row>
    <row r="1780" spans="1:8" x14ac:dyDescent="0.25">
      <c r="A1780" s="1">
        <v>45205.854861111111</v>
      </c>
      <c r="B1780" t="s">
        <v>739</v>
      </c>
      <c r="C1780" t="str">
        <f>_xlfn.XLOOKUP(B1780,Tableau13[ID_Antenne],Tableau13[Province_RDC],"Non répertoriées")</f>
        <v>Non répertoriées</v>
      </c>
      <c r="D1780">
        <v>91</v>
      </c>
      <c r="E1780" t="str">
        <f>_xlfn.XLOOKUP(B1780,Tableau13[ID_Antenne],Tableau13[Technologie],"Non répertoriées")</f>
        <v>Non répertoriées</v>
      </c>
      <c r="F1780" t="str">
        <f>_xlfn.XLOOKUP(B1780,Tableau13[ID_Antenne],Tableau13[Latitude],"Non répertoriées")</f>
        <v>Non répertoriées</v>
      </c>
      <c r="G1780" t="str">
        <f>_xlfn.XLOOKUP(B1780,Tableau13[ID_Antenne],Tableau13[Longitude],"Non répertoriées")</f>
        <v>Non répertoriées</v>
      </c>
      <c r="H1780" t="s">
        <v>10</v>
      </c>
    </row>
    <row r="1781" spans="1:8" x14ac:dyDescent="0.25">
      <c r="A1781" s="1">
        <v>45214.783333333333</v>
      </c>
      <c r="B1781" t="s">
        <v>187</v>
      </c>
      <c r="C1781" t="str">
        <f>_xlfn.XLOOKUP(B1781,Tableau13[ID_Antenne],Tableau13[Province_RDC],"Non répertoriées")</f>
        <v>Non répertoriées</v>
      </c>
      <c r="D1781">
        <v>101</v>
      </c>
      <c r="E1781" t="str">
        <f>_xlfn.XLOOKUP(B1781,Tableau13[ID_Antenne],Tableau13[Technologie],"Non répertoriées")</f>
        <v>Non répertoriées</v>
      </c>
      <c r="F1781" t="str">
        <f>_xlfn.XLOOKUP(B1781,Tableau13[ID_Antenne],Tableau13[Latitude],"Non répertoriées")</f>
        <v>Non répertoriées</v>
      </c>
      <c r="G1781" t="str">
        <f>_xlfn.XLOOKUP(B1781,Tableau13[ID_Antenne],Tableau13[Longitude],"Non répertoriées")</f>
        <v>Non répertoriées</v>
      </c>
      <c r="H1781" t="s">
        <v>5</v>
      </c>
    </row>
    <row r="1782" spans="1:8" x14ac:dyDescent="0.25">
      <c r="A1782" s="1">
        <v>45218.613194444442</v>
      </c>
      <c r="B1782" t="s">
        <v>693</v>
      </c>
      <c r="C1782" t="str">
        <f>_xlfn.XLOOKUP(B1782,Tableau13[ID_Antenne],Tableau13[Province_RDC],"Non répertoriées")</f>
        <v>Non répertoriées</v>
      </c>
      <c r="D1782">
        <v>29</v>
      </c>
      <c r="E1782" t="str">
        <f>_xlfn.XLOOKUP(B1782,Tableau13[ID_Antenne],Tableau13[Technologie],"Non répertoriées")</f>
        <v>Non répertoriées</v>
      </c>
      <c r="F1782" t="str">
        <f>_xlfn.XLOOKUP(B1782,Tableau13[ID_Antenne],Tableau13[Latitude],"Non répertoriées")</f>
        <v>Non répertoriées</v>
      </c>
      <c r="G1782" t="str">
        <f>_xlfn.XLOOKUP(B1782,Tableau13[ID_Antenne],Tableau13[Longitude],"Non répertoriées")</f>
        <v>Non répertoriées</v>
      </c>
      <c r="H1782" t="s">
        <v>8</v>
      </c>
    </row>
    <row r="1783" spans="1:8" x14ac:dyDescent="0.25">
      <c r="A1783" s="1">
        <v>45229.77847222222</v>
      </c>
      <c r="B1783" t="s">
        <v>675</v>
      </c>
      <c r="C1783" s="29" t="str">
        <f>_xlfn.XLOOKUP(B1783,Tableau13[ID_Antenne],Tableau13[Province_RDC],"Non répertoriées")</f>
        <v>Sankuru</v>
      </c>
      <c r="D1783">
        <v>27</v>
      </c>
      <c r="E1783" s="31" t="str">
        <f>_xlfn.XLOOKUP(B1783,Tableau13[ID_Antenne],Tableau13[Technologie],"Non répertoriées")</f>
        <v>5G</v>
      </c>
      <c r="F1783" s="3">
        <f>_xlfn.XLOOKUP(B1783,Tableau13[ID_Antenne],Tableau13[Latitude],"Non répertoriées")</f>
        <v>-3.419035</v>
      </c>
      <c r="G1783" s="32">
        <f>_xlfn.XLOOKUP(B1783,Tableau13[ID_Antenne],Tableau13[Longitude],"Non répertoriées")</f>
        <v>29.018315999999999</v>
      </c>
      <c r="H1783" t="s">
        <v>8</v>
      </c>
    </row>
    <row r="1784" spans="1:8" x14ac:dyDescent="0.25">
      <c r="A1784" s="1">
        <v>45220.805555555547</v>
      </c>
      <c r="B1784" t="s">
        <v>700</v>
      </c>
      <c r="C1784" t="str">
        <f>_xlfn.XLOOKUP(B1784,Tableau13[ID_Antenne],Tableau13[Province_RDC],"Non répertoriées")</f>
        <v>Non répertoriées</v>
      </c>
      <c r="D1784">
        <v>83</v>
      </c>
      <c r="E1784" t="str">
        <f>_xlfn.XLOOKUP(B1784,Tableau13[ID_Antenne],Tableau13[Technologie],"Non répertoriées")</f>
        <v>Non répertoriées</v>
      </c>
      <c r="F1784" t="str">
        <f>_xlfn.XLOOKUP(B1784,Tableau13[ID_Antenne],Tableau13[Latitude],"Non répertoriées")</f>
        <v>Non répertoriées</v>
      </c>
      <c r="G1784" t="str">
        <f>_xlfn.XLOOKUP(B1784,Tableau13[ID_Antenne],Tableau13[Longitude],"Non répertoriées")</f>
        <v>Non répertoriées</v>
      </c>
      <c r="H1784" t="s">
        <v>8</v>
      </c>
    </row>
    <row r="1785" spans="1:8" x14ac:dyDescent="0.25">
      <c r="A1785" s="1">
        <v>45227.847222222219</v>
      </c>
      <c r="B1785" t="s">
        <v>749</v>
      </c>
      <c r="C1785" t="str">
        <f>_xlfn.XLOOKUP(B1785,Tableau13[ID_Antenne],Tableau13[Province_RDC],"Non répertoriées")</f>
        <v>Non répertoriées</v>
      </c>
      <c r="D1785">
        <v>114</v>
      </c>
      <c r="E1785" t="str">
        <f>_xlfn.XLOOKUP(B1785,Tableau13[ID_Antenne],Tableau13[Technologie],"Non répertoriées")</f>
        <v>Non répertoriées</v>
      </c>
      <c r="F1785" t="str">
        <f>_xlfn.XLOOKUP(B1785,Tableau13[ID_Antenne],Tableau13[Latitude],"Non répertoriées")</f>
        <v>Non répertoriées</v>
      </c>
      <c r="G1785" t="str">
        <f>_xlfn.XLOOKUP(B1785,Tableau13[ID_Antenne],Tableau13[Longitude],"Non répertoriées")</f>
        <v>Non répertoriées</v>
      </c>
      <c r="H1785" t="s">
        <v>8</v>
      </c>
    </row>
    <row r="1786" spans="1:8" x14ac:dyDescent="0.25">
      <c r="A1786" s="1">
        <v>45204.586111111108</v>
      </c>
      <c r="B1786" t="s">
        <v>687</v>
      </c>
      <c r="C1786" s="29" t="str">
        <f>_xlfn.XLOOKUP(B1786,Tableau13[ID_Antenne],Tableau13[Province_RDC],"Non répertoriées")</f>
        <v>Sud-Kivu</v>
      </c>
      <c r="D1786">
        <v>86</v>
      </c>
      <c r="E1786" s="31" t="str">
        <f>_xlfn.XLOOKUP(B1786,Tableau13[ID_Antenne],Tableau13[Technologie],"Non répertoriées")</f>
        <v>3G</v>
      </c>
      <c r="F1786" s="3">
        <f>_xlfn.XLOOKUP(B1786,Tableau13[ID_Antenne],Tableau13[Latitude],"Non répertoriées")</f>
        <v>-3.6233270000000002</v>
      </c>
      <c r="G1786" s="32">
        <f>_xlfn.XLOOKUP(B1786,Tableau13[ID_Antenne],Tableau13[Longitude],"Non répertoriées")</f>
        <v>25.915645999999999</v>
      </c>
      <c r="H1786" t="s">
        <v>10</v>
      </c>
    </row>
    <row r="1787" spans="1:8" x14ac:dyDescent="0.25">
      <c r="A1787" s="1">
        <v>45215.611111111109</v>
      </c>
      <c r="B1787" t="s">
        <v>710</v>
      </c>
      <c r="C1787" s="29" t="str">
        <f>_xlfn.XLOOKUP(B1787,Tableau13[ID_Antenne],Tableau13[Province_RDC],"Non répertoriées")</f>
        <v>Equateur</v>
      </c>
      <c r="D1787">
        <v>119</v>
      </c>
      <c r="E1787" s="31" t="str">
        <f>_xlfn.XLOOKUP(B1787,Tableau13[ID_Antenne],Tableau13[Technologie],"Non répertoriées")</f>
        <v>3G</v>
      </c>
      <c r="F1787" s="3">
        <f>_xlfn.XLOOKUP(B1787,Tableau13[ID_Antenne],Tableau13[Latitude],"Non répertoriées")</f>
        <v>-6.7420359999999997</v>
      </c>
      <c r="G1787" s="32">
        <f>_xlfn.XLOOKUP(B1787,Tableau13[ID_Antenne],Tableau13[Longitude],"Non répertoriées")</f>
        <v>28.905578999999999</v>
      </c>
      <c r="H1787" t="s">
        <v>5</v>
      </c>
    </row>
    <row r="1788" spans="1:8" x14ac:dyDescent="0.25">
      <c r="A1788" s="1">
        <v>45209.359027777777</v>
      </c>
      <c r="B1788" t="s">
        <v>604</v>
      </c>
      <c r="C1788" s="29" t="str">
        <f>_xlfn.XLOOKUP(B1788,Tableau13[ID_Antenne],Tableau13[Province_RDC],"Non répertoriées")</f>
        <v>Maniema</v>
      </c>
      <c r="D1788">
        <v>56</v>
      </c>
      <c r="E1788" s="31" t="str">
        <f>_xlfn.XLOOKUP(B1788,Tableau13[ID_Antenne],Tableau13[Technologie],"Non répertoriées")</f>
        <v>4G</v>
      </c>
      <c r="F1788" s="3">
        <f>_xlfn.XLOOKUP(B1788,Tableau13[ID_Antenne],Tableau13[Latitude],"Non répertoriées")</f>
        <v>-10.650321</v>
      </c>
      <c r="G1788" s="32">
        <f>_xlfn.XLOOKUP(B1788,Tableau13[ID_Antenne],Tableau13[Longitude],"Non répertoriées")</f>
        <v>15.917044000000001</v>
      </c>
      <c r="H1788" t="s">
        <v>8</v>
      </c>
    </row>
    <row r="1789" spans="1:8" x14ac:dyDescent="0.25">
      <c r="A1789" s="1">
        <v>45201.480555555558</v>
      </c>
      <c r="B1789" t="s">
        <v>746</v>
      </c>
      <c r="C1789" s="29" t="str">
        <f>_xlfn.XLOOKUP(B1789,Tableau13[ID_Antenne],Tableau13[Province_RDC],"Non répertoriées")</f>
        <v>Kwilu</v>
      </c>
      <c r="D1789">
        <v>110</v>
      </c>
      <c r="E1789" s="31" t="str">
        <f>_xlfn.XLOOKUP(B1789,Tableau13[ID_Antenne],Tableau13[Technologie],"Non répertoriées")</f>
        <v>4G</v>
      </c>
      <c r="F1789" s="3">
        <f>_xlfn.XLOOKUP(B1789,Tableau13[ID_Antenne],Tableau13[Latitude],"Non répertoriées")</f>
        <v>2.413557</v>
      </c>
      <c r="G1789" s="32">
        <f>_xlfn.XLOOKUP(B1789,Tableau13[ID_Antenne],Tableau13[Longitude],"Non répertoriées")</f>
        <v>19.690681999999999</v>
      </c>
      <c r="H1789" t="s">
        <v>8</v>
      </c>
    </row>
    <row r="1790" spans="1:8" x14ac:dyDescent="0.25">
      <c r="A1790" s="1">
        <v>45202.395138888889</v>
      </c>
      <c r="B1790" t="s">
        <v>726</v>
      </c>
      <c r="C1790" t="str">
        <f>_xlfn.XLOOKUP(B1790,Tableau13[ID_Antenne],Tableau13[Province_RDC],"Non répertoriées")</f>
        <v>Non répertoriées</v>
      </c>
      <c r="D1790">
        <v>59</v>
      </c>
      <c r="E1790" t="str">
        <f>_xlfn.XLOOKUP(B1790,Tableau13[ID_Antenne],Tableau13[Technologie],"Non répertoriées")</f>
        <v>Non répertoriées</v>
      </c>
      <c r="F1790" t="str">
        <f>_xlfn.XLOOKUP(B1790,Tableau13[ID_Antenne],Tableau13[Latitude],"Non répertoriées")</f>
        <v>Non répertoriées</v>
      </c>
      <c r="G1790" t="str">
        <f>_xlfn.XLOOKUP(B1790,Tableau13[ID_Antenne],Tableau13[Longitude],"Non répertoriées")</f>
        <v>Non répertoriées</v>
      </c>
      <c r="H1790" t="s">
        <v>5</v>
      </c>
    </row>
    <row r="1791" spans="1:8" x14ac:dyDescent="0.25">
      <c r="A1791" s="1">
        <v>45214.043749999997</v>
      </c>
      <c r="B1791" t="s">
        <v>265</v>
      </c>
      <c r="C1791" t="str">
        <f>_xlfn.XLOOKUP(B1791,Tableau13[ID_Antenne],Tableau13[Province_RDC],"Non répertoriées")</f>
        <v>Non répertoriées</v>
      </c>
      <c r="D1791">
        <v>70</v>
      </c>
      <c r="E1791" t="str">
        <f>_xlfn.XLOOKUP(B1791,Tableau13[ID_Antenne],Tableau13[Technologie],"Non répertoriées")</f>
        <v>Non répertoriées</v>
      </c>
      <c r="F1791" t="str">
        <f>_xlfn.XLOOKUP(B1791,Tableau13[ID_Antenne],Tableau13[Latitude],"Non répertoriées")</f>
        <v>Non répertoriées</v>
      </c>
      <c r="G1791" t="str">
        <f>_xlfn.XLOOKUP(B1791,Tableau13[ID_Antenne],Tableau13[Longitude],"Non répertoriées")</f>
        <v>Non répertoriées</v>
      </c>
      <c r="H1791" t="s">
        <v>10</v>
      </c>
    </row>
    <row r="1792" spans="1:8" x14ac:dyDescent="0.25">
      <c r="A1792" s="1">
        <v>45211.37777777778</v>
      </c>
      <c r="B1792" t="s">
        <v>203</v>
      </c>
      <c r="C1792" t="str">
        <f>_xlfn.XLOOKUP(B1792,Tableau13[ID_Antenne],Tableau13[Province_RDC],"Non répertoriées")</f>
        <v>Non répertoriées</v>
      </c>
      <c r="D1792">
        <v>46</v>
      </c>
      <c r="E1792" t="str">
        <f>_xlfn.XLOOKUP(B1792,Tableau13[ID_Antenne],Tableau13[Technologie],"Non répertoriées")</f>
        <v>Non répertoriées</v>
      </c>
      <c r="F1792" t="str">
        <f>_xlfn.XLOOKUP(B1792,Tableau13[ID_Antenne],Tableau13[Latitude],"Non répertoriées")</f>
        <v>Non répertoriées</v>
      </c>
      <c r="G1792" t="str">
        <f>_xlfn.XLOOKUP(B1792,Tableau13[ID_Antenne],Tableau13[Longitude],"Non répertoriées")</f>
        <v>Non répertoriées</v>
      </c>
      <c r="H1792" t="s">
        <v>10</v>
      </c>
    </row>
    <row r="1793" spans="1:8" x14ac:dyDescent="0.25">
      <c r="A1793" s="1">
        <v>45220.11041666667</v>
      </c>
      <c r="B1793" t="s">
        <v>254</v>
      </c>
      <c r="C1793" t="str">
        <f>_xlfn.XLOOKUP(B1793,Tableau13[ID_Antenne],Tableau13[Province_RDC],"Non répertoriées")</f>
        <v>Non répertoriées</v>
      </c>
      <c r="D1793">
        <v>16</v>
      </c>
      <c r="E1793" t="str">
        <f>_xlfn.XLOOKUP(B1793,Tableau13[ID_Antenne],Tableau13[Technologie],"Non répertoriées")</f>
        <v>Non répertoriées</v>
      </c>
      <c r="F1793" t="str">
        <f>_xlfn.XLOOKUP(B1793,Tableau13[ID_Antenne],Tableau13[Latitude],"Non répertoriées")</f>
        <v>Non répertoriées</v>
      </c>
      <c r="G1793" t="str">
        <f>_xlfn.XLOOKUP(B1793,Tableau13[ID_Antenne],Tableau13[Longitude],"Non répertoriées")</f>
        <v>Non répertoriées</v>
      </c>
      <c r="H1793" t="s">
        <v>8</v>
      </c>
    </row>
    <row r="1794" spans="1:8" x14ac:dyDescent="0.25">
      <c r="A1794" s="1">
        <v>45219.683333333327</v>
      </c>
      <c r="B1794" t="s">
        <v>707</v>
      </c>
      <c r="C1794" s="29" t="str">
        <f>_xlfn.XLOOKUP(B1794,Tableau13[ID_Antenne],Tableau13[Province_RDC],"Non répertoriées")</f>
        <v>Lualaba</v>
      </c>
      <c r="D1794">
        <v>56</v>
      </c>
      <c r="E1794" s="31" t="str">
        <f>_xlfn.XLOOKUP(B1794,Tableau13[ID_Antenne],Tableau13[Technologie],"Non répertoriées")</f>
        <v>4G</v>
      </c>
      <c r="F1794" s="3">
        <f>_xlfn.XLOOKUP(B1794,Tableau13[ID_Antenne],Tableau13[Latitude],"Non répertoriées")</f>
        <v>2.266232</v>
      </c>
      <c r="G1794" s="32">
        <f>_xlfn.XLOOKUP(B1794,Tableau13[ID_Antenne],Tableau13[Longitude],"Non répertoriées")</f>
        <v>29.532896000000001</v>
      </c>
      <c r="H1794" t="s">
        <v>8</v>
      </c>
    </row>
    <row r="1795" spans="1:8" x14ac:dyDescent="0.25">
      <c r="A1795" s="1">
        <v>45214.774305555547</v>
      </c>
      <c r="B1795" t="s">
        <v>352</v>
      </c>
      <c r="C1795" t="str">
        <f>_xlfn.XLOOKUP(B1795,Tableau13[ID_Antenne],Tableau13[Province_RDC],"Non répertoriées")</f>
        <v>Non répertoriées</v>
      </c>
      <c r="D1795">
        <v>90</v>
      </c>
      <c r="E1795" t="str">
        <f>_xlfn.XLOOKUP(B1795,Tableau13[ID_Antenne],Tableau13[Technologie],"Non répertoriées")</f>
        <v>Non répertoriées</v>
      </c>
      <c r="F1795" t="str">
        <f>_xlfn.XLOOKUP(B1795,Tableau13[ID_Antenne],Tableau13[Latitude],"Non répertoriées")</f>
        <v>Non répertoriées</v>
      </c>
      <c r="G1795" t="str">
        <f>_xlfn.XLOOKUP(B1795,Tableau13[ID_Antenne],Tableau13[Longitude],"Non répertoriées")</f>
        <v>Non répertoriées</v>
      </c>
      <c r="H1795" t="s">
        <v>10</v>
      </c>
    </row>
    <row r="1796" spans="1:8" x14ac:dyDescent="0.25">
      <c r="A1796" s="1">
        <v>45230.997916666667</v>
      </c>
      <c r="B1796" t="s">
        <v>232</v>
      </c>
      <c r="C1796" s="29" t="str">
        <f>_xlfn.XLOOKUP(B1796,Tableau13[ID_Antenne],Tableau13[Province_RDC],"Non répertoriées")</f>
        <v>Sud-Kivu</v>
      </c>
      <c r="D1796">
        <v>17</v>
      </c>
      <c r="E1796" s="31" t="str">
        <f>_xlfn.XLOOKUP(B1796,Tableau13[ID_Antenne],Tableau13[Technologie],"Non répertoriées")</f>
        <v>3G</v>
      </c>
      <c r="F1796" s="3">
        <f>_xlfn.XLOOKUP(B1796,Tableau13[ID_Antenne],Tableau13[Latitude],"Non répertoriées")</f>
        <v>-9.3900009999999998</v>
      </c>
      <c r="G1796" s="32">
        <f>_xlfn.XLOOKUP(B1796,Tableau13[ID_Antenne],Tableau13[Longitude],"Non répertoriées")</f>
        <v>30.001517</v>
      </c>
      <c r="H1796" t="s">
        <v>5</v>
      </c>
    </row>
    <row r="1797" spans="1:8" x14ac:dyDescent="0.25">
      <c r="A1797" s="1">
        <v>45201.623611111107</v>
      </c>
      <c r="B1797" t="s">
        <v>342</v>
      </c>
      <c r="C1797" s="29" t="str">
        <f>_xlfn.XLOOKUP(B1797,Tableau13[ID_Antenne],Tableau13[Province_RDC],"Non répertoriées")</f>
        <v>Kinshasa</v>
      </c>
      <c r="D1797">
        <v>28</v>
      </c>
      <c r="E1797" s="31" t="str">
        <f>_xlfn.XLOOKUP(B1797,Tableau13[ID_Antenne],Tableau13[Technologie],"Non répertoriées")</f>
        <v>5G</v>
      </c>
      <c r="F1797" s="3">
        <f>_xlfn.XLOOKUP(B1797,Tableau13[ID_Antenne],Tableau13[Latitude],"Non répertoriées")</f>
        <v>-11.389362</v>
      </c>
      <c r="G1797" s="32">
        <f>_xlfn.XLOOKUP(B1797,Tableau13[ID_Antenne],Tableau13[Longitude],"Non répertoriées")</f>
        <v>22.240174</v>
      </c>
      <c r="H1797" t="s">
        <v>5</v>
      </c>
    </row>
    <row r="1798" spans="1:8" x14ac:dyDescent="0.25">
      <c r="A1798" s="1">
        <v>45225.77847222222</v>
      </c>
      <c r="B1798" t="s">
        <v>283</v>
      </c>
      <c r="C1798" s="29" t="str">
        <f>_xlfn.XLOOKUP(B1798,Tableau13[ID_Antenne],Tableau13[Province_RDC],"Non répertoriées")</f>
        <v>Tshuapa</v>
      </c>
      <c r="D1798">
        <v>22</v>
      </c>
      <c r="E1798" s="31" t="str">
        <f>_xlfn.XLOOKUP(B1798,Tableau13[ID_Antenne],Tableau13[Technologie],"Non répertoriées")</f>
        <v>4G</v>
      </c>
      <c r="F1798" s="3">
        <f>_xlfn.XLOOKUP(B1798,Tableau13[ID_Antenne],Tableau13[Latitude],"Non répertoriées")</f>
        <v>-10.577049000000001</v>
      </c>
      <c r="G1798" s="32">
        <f>_xlfn.XLOOKUP(B1798,Tableau13[ID_Antenne],Tableau13[Longitude],"Non répertoriées")</f>
        <v>23.721854</v>
      </c>
      <c r="H1798" t="s">
        <v>8</v>
      </c>
    </row>
    <row r="1799" spans="1:8" x14ac:dyDescent="0.25">
      <c r="A1799" s="1">
        <v>45206.443055555559</v>
      </c>
      <c r="B1799" t="s">
        <v>83</v>
      </c>
      <c r="C1799" s="29" t="str">
        <f>_xlfn.XLOOKUP(B1799,Tableau13[ID_Antenne],Tableau13[Province_RDC],"Non répertoriées")</f>
        <v>Nord-Ubangi</v>
      </c>
      <c r="D1799">
        <v>66</v>
      </c>
      <c r="E1799" s="31" t="str">
        <f>_xlfn.XLOOKUP(B1799,Tableau13[ID_Antenne],Tableau13[Technologie],"Non répertoriées")</f>
        <v>5G</v>
      </c>
      <c r="F1799" s="3">
        <f>_xlfn.XLOOKUP(B1799,Tableau13[ID_Antenne],Tableau13[Latitude],"Non répertoriées")</f>
        <v>0.94539899999999999</v>
      </c>
      <c r="G1799" s="32">
        <f>_xlfn.XLOOKUP(B1799,Tableau13[ID_Antenne],Tableau13[Longitude],"Non répertoriées")</f>
        <v>14.401821999999999</v>
      </c>
      <c r="H1799" t="s">
        <v>5</v>
      </c>
    </row>
    <row r="1800" spans="1:8" x14ac:dyDescent="0.25">
      <c r="A1800" s="1">
        <v>45215.67291666667</v>
      </c>
      <c r="B1800" t="s">
        <v>214</v>
      </c>
      <c r="C1800" t="str">
        <f>_xlfn.XLOOKUP(B1800,Tableau13[ID_Antenne],Tableau13[Province_RDC],"Non répertoriées")</f>
        <v>Non répertoriées</v>
      </c>
      <c r="D1800">
        <v>46</v>
      </c>
      <c r="E1800" t="str">
        <f>_xlfn.XLOOKUP(B1800,Tableau13[ID_Antenne],Tableau13[Technologie],"Non répertoriées")</f>
        <v>Non répertoriées</v>
      </c>
      <c r="F1800" t="str">
        <f>_xlfn.XLOOKUP(B1800,Tableau13[ID_Antenne],Tableau13[Latitude],"Non répertoriées")</f>
        <v>Non répertoriées</v>
      </c>
      <c r="G1800" t="str">
        <f>_xlfn.XLOOKUP(B1800,Tableau13[ID_Antenne],Tableau13[Longitude],"Non répertoriées")</f>
        <v>Non répertoriées</v>
      </c>
      <c r="H1800" t="s">
        <v>8</v>
      </c>
    </row>
    <row r="1801" spans="1:8" x14ac:dyDescent="0.25">
      <c r="A1801" s="1">
        <v>45230.061111111107</v>
      </c>
      <c r="B1801" t="s">
        <v>28</v>
      </c>
      <c r="C1801" t="str">
        <f>_xlfn.XLOOKUP(B1801,Tableau13[ID_Antenne],Tableau13[Province_RDC],"Non répertoriées")</f>
        <v>Non répertoriées</v>
      </c>
      <c r="D1801">
        <v>36</v>
      </c>
      <c r="E1801" t="str">
        <f>_xlfn.XLOOKUP(B1801,Tableau13[ID_Antenne],Tableau13[Technologie],"Non répertoriées")</f>
        <v>Non répertoriées</v>
      </c>
      <c r="F1801" t="str">
        <f>_xlfn.XLOOKUP(B1801,Tableau13[ID_Antenne],Tableau13[Latitude],"Non répertoriées")</f>
        <v>Non répertoriées</v>
      </c>
      <c r="G1801" t="str">
        <f>_xlfn.XLOOKUP(B1801,Tableau13[ID_Antenne],Tableau13[Longitude],"Non répertoriées")</f>
        <v>Non répertoriées</v>
      </c>
      <c r="H1801" t="s">
        <v>8</v>
      </c>
    </row>
    <row r="1802" spans="1:8" x14ac:dyDescent="0.25">
      <c r="A1802" s="1">
        <v>45203.447916666657</v>
      </c>
      <c r="B1802" t="s">
        <v>647</v>
      </c>
      <c r="C1802" s="29" t="str">
        <f>_xlfn.XLOOKUP(B1802,Tableau13[ID_Antenne],Tableau13[Province_RDC],"Non répertoriées")</f>
        <v>Haut-Uele</v>
      </c>
      <c r="D1802">
        <v>5</v>
      </c>
      <c r="E1802" s="31" t="str">
        <f>_xlfn.XLOOKUP(B1802,Tableau13[ID_Antenne],Tableau13[Technologie],"Non répertoriées")</f>
        <v>4G</v>
      </c>
      <c r="F1802" s="3">
        <f>_xlfn.XLOOKUP(B1802,Tableau13[ID_Antenne],Tableau13[Latitude],"Non répertoriées")</f>
        <v>1.0134879999999999</v>
      </c>
      <c r="G1802" s="32">
        <f>_xlfn.XLOOKUP(B1802,Tableau13[ID_Antenne],Tableau13[Longitude],"Non répertoriées")</f>
        <v>20.363515</v>
      </c>
      <c r="H1802" t="s">
        <v>10</v>
      </c>
    </row>
    <row r="1803" spans="1:8" x14ac:dyDescent="0.25">
      <c r="A1803" s="1">
        <v>45202.695138888892</v>
      </c>
      <c r="B1803" t="s">
        <v>716</v>
      </c>
      <c r="C1803" s="29" t="str">
        <f>_xlfn.XLOOKUP(B1803,Tableau13[ID_Antenne],Tableau13[Province_RDC],"Non répertoriées")</f>
        <v>Kongo-Central</v>
      </c>
      <c r="D1803">
        <v>38</v>
      </c>
      <c r="E1803" s="31" t="str">
        <f>_xlfn.XLOOKUP(B1803,Tableau13[ID_Antenne],Tableau13[Technologie],"Non répertoriées")</f>
        <v>5G</v>
      </c>
      <c r="F1803" s="3">
        <f>_xlfn.XLOOKUP(B1803,Tableau13[ID_Antenne],Tableau13[Latitude],"Non répertoriées")</f>
        <v>-4.9108280000000004</v>
      </c>
      <c r="G1803" s="32">
        <f>_xlfn.XLOOKUP(B1803,Tableau13[ID_Antenne],Tableau13[Longitude],"Non répertoriées")</f>
        <v>17.670389</v>
      </c>
      <c r="H1803" t="s">
        <v>8</v>
      </c>
    </row>
    <row r="1804" spans="1:8" x14ac:dyDescent="0.25">
      <c r="A1804" s="1">
        <v>45205.052083333343</v>
      </c>
      <c r="B1804" t="s">
        <v>203</v>
      </c>
      <c r="C1804" t="str">
        <f>_xlfn.XLOOKUP(B1804,Tableau13[ID_Antenne],Tableau13[Province_RDC],"Non répertoriées")</f>
        <v>Non répertoriées</v>
      </c>
      <c r="D1804">
        <v>54</v>
      </c>
      <c r="E1804" t="str">
        <f>_xlfn.XLOOKUP(B1804,Tableau13[ID_Antenne],Tableau13[Technologie],"Non répertoriées")</f>
        <v>Non répertoriées</v>
      </c>
      <c r="F1804" t="str">
        <f>_xlfn.XLOOKUP(B1804,Tableau13[ID_Antenne],Tableau13[Latitude],"Non répertoriées")</f>
        <v>Non répertoriées</v>
      </c>
      <c r="G1804" t="str">
        <f>_xlfn.XLOOKUP(B1804,Tableau13[ID_Antenne],Tableau13[Longitude],"Non répertoriées")</f>
        <v>Non répertoriées</v>
      </c>
      <c r="H1804" t="s">
        <v>5</v>
      </c>
    </row>
    <row r="1805" spans="1:8" x14ac:dyDescent="0.25">
      <c r="A1805" s="1">
        <v>45222.602777777778</v>
      </c>
      <c r="B1805" t="s">
        <v>500</v>
      </c>
      <c r="C1805" s="29" t="str">
        <f>_xlfn.XLOOKUP(B1805,Tableau13[ID_Antenne],Tableau13[Province_RDC],"Non répertoriées")</f>
        <v>Kasai-Central</v>
      </c>
      <c r="D1805">
        <v>35</v>
      </c>
      <c r="E1805" s="31" t="str">
        <f>_xlfn.XLOOKUP(B1805,Tableau13[ID_Antenne],Tableau13[Technologie],"Non répertoriées")</f>
        <v>3G</v>
      </c>
      <c r="F1805" s="3">
        <f>_xlfn.XLOOKUP(B1805,Tableau13[ID_Antenne],Tableau13[Latitude],"Non répertoriées")</f>
        <v>-7.3379339999999997</v>
      </c>
      <c r="G1805" s="32">
        <f>_xlfn.XLOOKUP(B1805,Tableau13[ID_Antenne],Tableau13[Longitude],"Non répertoriées")</f>
        <v>28.404001999999998</v>
      </c>
      <c r="H1805" t="s">
        <v>5</v>
      </c>
    </row>
    <row r="1806" spans="1:8" x14ac:dyDescent="0.25">
      <c r="A1806" s="1">
        <v>45216.693749999999</v>
      </c>
      <c r="B1806" t="s">
        <v>276</v>
      </c>
      <c r="C1806" s="29" t="str">
        <f>_xlfn.XLOOKUP(B1806,Tableau13[ID_Antenne],Tableau13[Province_RDC],"Non répertoriées")</f>
        <v>Sankuru</v>
      </c>
      <c r="D1806">
        <v>62</v>
      </c>
      <c r="E1806" s="31" t="str">
        <f>_xlfn.XLOOKUP(B1806,Tableau13[ID_Antenne],Tableau13[Technologie],"Non répertoriées")</f>
        <v>3G</v>
      </c>
      <c r="F1806" s="3">
        <f>_xlfn.XLOOKUP(B1806,Tableau13[ID_Antenne],Tableau13[Latitude],"Non répertoriées")</f>
        <v>-4.7886769999999999</v>
      </c>
      <c r="G1806" s="32">
        <f>_xlfn.XLOOKUP(B1806,Tableau13[ID_Antenne],Tableau13[Longitude],"Non répertoriées")</f>
        <v>23.600221999999999</v>
      </c>
      <c r="H1806" t="s">
        <v>8</v>
      </c>
    </row>
    <row r="1807" spans="1:8" x14ac:dyDescent="0.25">
      <c r="A1807" s="1">
        <v>45205.474305555559</v>
      </c>
      <c r="B1807" t="s">
        <v>265</v>
      </c>
      <c r="C1807" t="str">
        <f>_xlfn.XLOOKUP(B1807,Tableau13[ID_Antenne],Tableau13[Province_RDC],"Non répertoriées")</f>
        <v>Non répertoriées</v>
      </c>
      <c r="D1807">
        <v>101</v>
      </c>
      <c r="E1807" t="str">
        <f>_xlfn.XLOOKUP(B1807,Tableau13[ID_Antenne],Tableau13[Technologie],"Non répertoriées")</f>
        <v>Non répertoriées</v>
      </c>
      <c r="F1807" t="str">
        <f>_xlfn.XLOOKUP(B1807,Tableau13[ID_Antenne],Tableau13[Latitude],"Non répertoriées")</f>
        <v>Non répertoriées</v>
      </c>
      <c r="G1807" t="str">
        <f>_xlfn.XLOOKUP(B1807,Tableau13[ID_Antenne],Tableau13[Longitude],"Non répertoriées")</f>
        <v>Non répertoriées</v>
      </c>
      <c r="H1807" t="s">
        <v>10</v>
      </c>
    </row>
    <row r="1808" spans="1:8" x14ac:dyDescent="0.25">
      <c r="A1808" s="1">
        <v>45229.39166666667</v>
      </c>
      <c r="B1808" t="s">
        <v>420</v>
      </c>
      <c r="C1808" s="29" t="str">
        <f>_xlfn.XLOOKUP(B1808,Tableau13[ID_Antenne],Tableau13[Province_RDC],"Non répertoriées")</f>
        <v>Sud-Kivu</v>
      </c>
      <c r="D1808">
        <v>39</v>
      </c>
      <c r="E1808" s="31" t="str">
        <f>_xlfn.XLOOKUP(B1808,Tableau13[ID_Antenne],Tableau13[Technologie],"Non répertoriées")</f>
        <v>5G</v>
      </c>
      <c r="F1808" s="3">
        <f>_xlfn.XLOOKUP(B1808,Tableau13[ID_Antenne],Tableau13[Latitude],"Non répertoriées")</f>
        <v>2.4414509999999998</v>
      </c>
      <c r="G1808" s="32">
        <f>_xlfn.XLOOKUP(B1808,Tableau13[ID_Antenne],Tableau13[Longitude],"Non répertoriées")</f>
        <v>30.167489</v>
      </c>
      <c r="H1808" t="s">
        <v>8</v>
      </c>
    </row>
    <row r="1809" spans="1:8" x14ac:dyDescent="0.25">
      <c r="A1809" s="1">
        <v>45213.446527777778</v>
      </c>
      <c r="B1809" t="s">
        <v>526</v>
      </c>
      <c r="C1809" s="29" t="str">
        <f>_xlfn.XLOOKUP(B1809,Tableau13[ID_Antenne],Tableau13[Province_RDC],"Non répertoriées")</f>
        <v>Nord-Kivu</v>
      </c>
      <c r="D1809">
        <v>47</v>
      </c>
      <c r="E1809" s="31" t="str">
        <f>_xlfn.XLOOKUP(B1809,Tableau13[ID_Antenne],Tableau13[Technologie],"Non répertoriées")</f>
        <v>5G</v>
      </c>
      <c r="F1809" s="3">
        <f>_xlfn.XLOOKUP(B1809,Tableau13[ID_Antenne],Tableau13[Latitude],"Non répertoriées")</f>
        <v>-0.17258100000000001</v>
      </c>
      <c r="G1809" s="32">
        <f>_xlfn.XLOOKUP(B1809,Tableau13[ID_Antenne],Tableau13[Longitude],"Non répertoriées")</f>
        <v>23.775555000000001</v>
      </c>
      <c r="H1809" t="s">
        <v>5</v>
      </c>
    </row>
    <row r="1810" spans="1:8" x14ac:dyDescent="0.25">
      <c r="A1810" s="1">
        <v>45219.076388888891</v>
      </c>
      <c r="B1810" t="s">
        <v>288</v>
      </c>
      <c r="C1810" t="str">
        <f>_xlfn.XLOOKUP(B1810,Tableau13[ID_Antenne],Tableau13[Province_RDC],"Non répertoriées")</f>
        <v>Non répertoriées</v>
      </c>
      <c r="D1810">
        <v>43</v>
      </c>
      <c r="E1810" t="str">
        <f>_xlfn.XLOOKUP(B1810,Tableau13[ID_Antenne],Tableau13[Technologie],"Non répertoriées")</f>
        <v>Non répertoriées</v>
      </c>
      <c r="F1810" t="str">
        <f>_xlfn.XLOOKUP(B1810,Tableau13[ID_Antenne],Tableau13[Latitude],"Non répertoriées")</f>
        <v>Non répertoriées</v>
      </c>
      <c r="G1810" t="str">
        <f>_xlfn.XLOOKUP(B1810,Tableau13[ID_Antenne],Tableau13[Longitude],"Non répertoriées")</f>
        <v>Non répertoriées</v>
      </c>
      <c r="H1810" t="s">
        <v>8</v>
      </c>
    </row>
    <row r="1811" spans="1:8" x14ac:dyDescent="0.25">
      <c r="A1811" s="1">
        <v>45220.847916666673</v>
      </c>
      <c r="B1811" t="s">
        <v>693</v>
      </c>
      <c r="C1811" t="str">
        <f>_xlfn.XLOOKUP(B1811,Tableau13[ID_Antenne],Tableau13[Province_RDC],"Non répertoriées")</f>
        <v>Non répertoriées</v>
      </c>
      <c r="D1811">
        <v>79</v>
      </c>
      <c r="E1811" t="str">
        <f>_xlfn.XLOOKUP(B1811,Tableau13[ID_Antenne],Tableau13[Technologie],"Non répertoriées")</f>
        <v>Non répertoriées</v>
      </c>
      <c r="F1811" t="str">
        <f>_xlfn.XLOOKUP(B1811,Tableau13[ID_Antenne],Tableau13[Latitude],"Non répertoriées")</f>
        <v>Non répertoriées</v>
      </c>
      <c r="G1811" t="str">
        <f>_xlfn.XLOOKUP(B1811,Tableau13[ID_Antenne],Tableau13[Longitude],"Non répertoriées")</f>
        <v>Non répertoriées</v>
      </c>
      <c r="H1811" t="s">
        <v>8</v>
      </c>
    </row>
    <row r="1812" spans="1:8" x14ac:dyDescent="0.25">
      <c r="A1812" s="1">
        <v>45202.42083333333</v>
      </c>
      <c r="B1812" t="s">
        <v>335</v>
      </c>
      <c r="C1812" t="str">
        <f>_xlfn.XLOOKUP(B1812,Tableau13[ID_Antenne],Tableau13[Province_RDC],"Non répertoriées")</f>
        <v>Non répertoriées</v>
      </c>
      <c r="D1812">
        <v>97</v>
      </c>
      <c r="E1812" t="str">
        <f>_xlfn.XLOOKUP(B1812,Tableau13[ID_Antenne],Tableau13[Technologie],"Non répertoriées")</f>
        <v>Non répertoriées</v>
      </c>
      <c r="F1812" t="str">
        <f>_xlfn.XLOOKUP(B1812,Tableau13[ID_Antenne],Tableau13[Latitude],"Non répertoriées")</f>
        <v>Non répertoriées</v>
      </c>
      <c r="G1812" t="str">
        <f>_xlfn.XLOOKUP(B1812,Tableau13[ID_Antenne],Tableau13[Longitude],"Non répertoriées")</f>
        <v>Non répertoriées</v>
      </c>
      <c r="H1812" t="s">
        <v>5</v>
      </c>
    </row>
    <row r="1813" spans="1:8" x14ac:dyDescent="0.25">
      <c r="A1813" s="1">
        <v>45217.89166666667</v>
      </c>
      <c r="B1813" t="s">
        <v>631</v>
      </c>
      <c r="C1813" t="str">
        <f>_xlfn.XLOOKUP(B1813,Tableau13[ID_Antenne],Tableau13[Province_RDC],"Non répertoriées")</f>
        <v>Non répertoriées</v>
      </c>
      <c r="D1813">
        <v>78</v>
      </c>
      <c r="E1813" t="str">
        <f>_xlfn.XLOOKUP(B1813,Tableau13[ID_Antenne],Tableau13[Technologie],"Non répertoriées")</f>
        <v>Non répertoriées</v>
      </c>
      <c r="F1813" t="str">
        <f>_xlfn.XLOOKUP(B1813,Tableau13[ID_Antenne],Tableau13[Latitude],"Non répertoriées")</f>
        <v>Non répertoriées</v>
      </c>
      <c r="G1813" t="str">
        <f>_xlfn.XLOOKUP(B1813,Tableau13[ID_Antenne],Tableau13[Longitude],"Non répertoriées")</f>
        <v>Non répertoriées</v>
      </c>
      <c r="H1813" t="s">
        <v>10</v>
      </c>
    </row>
    <row r="1814" spans="1:8" x14ac:dyDescent="0.25">
      <c r="A1814" s="1">
        <v>45209.365277777782</v>
      </c>
      <c r="B1814" t="s">
        <v>90</v>
      </c>
      <c r="C1814" t="str">
        <f>_xlfn.XLOOKUP(B1814,Tableau13[ID_Antenne],Tableau13[Province_RDC],"Non répertoriées")</f>
        <v>Non répertoriées</v>
      </c>
      <c r="D1814">
        <v>6</v>
      </c>
      <c r="E1814" t="str">
        <f>_xlfn.XLOOKUP(B1814,Tableau13[ID_Antenne],Tableau13[Technologie],"Non répertoriées")</f>
        <v>Non répertoriées</v>
      </c>
      <c r="F1814" t="str">
        <f>_xlfn.XLOOKUP(B1814,Tableau13[ID_Antenne],Tableau13[Latitude],"Non répertoriées")</f>
        <v>Non répertoriées</v>
      </c>
      <c r="G1814" t="str">
        <f>_xlfn.XLOOKUP(B1814,Tableau13[ID_Antenne],Tableau13[Longitude],"Non répertoriées")</f>
        <v>Non répertoriées</v>
      </c>
      <c r="H1814" t="s">
        <v>5</v>
      </c>
    </row>
    <row r="1815" spans="1:8" x14ac:dyDescent="0.25">
      <c r="A1815" s="1">
        <v>45227.915277777778</v>
      </c>
      <c r="B1815" t="s">
        <v>268</v>
      </c>
      <c r="C1815" t="str">
        <f>_xlfn.XLOOKUP(B1815,Tableau13[ID_Antenne],Tableau13[Province_RDC],"Non répertoriées")</f>
        <v>Non répertoriées</v>
      </c>
      <c r="D1815">
        <v>38</v>
      </c>
      <c r="E1815" t="str">
        <f>_xlfn.XLOOKUP(B1815,Tableau13[ID_Antenne],Tableau13[Technologie],"Non répertoriées")</f>
        <v>Non répertoriées</v>
      </c>
      <c r="F1815" t="str">
        <f>_xlfn.XLOOKUP(B1815,Tableau13[ID_Antenne],Tableau13[Latitude],"Non répertoriées")</f>
        <v>Non répertoriées</v>
      </c>
      <c r="G1815" t="str">
        <f>_xlfn.XLOOKUP(B1815,Tableau13[ID_Antenne],Tableau13[Longitude],"Non répertoriées")</f>
        <v>Non répertoriées</v>
      </c>
      <c r="H1815" t="s">
        <v>10</v>
      </c>
    </row>
    <row r="1816" spans="1:8" x14ac:dyDescent="0.25">
      <c r="A1816" s="1">
        <v>45219.181250000001</v>
      </c>
      <c r="B1816" t="s">
        <v>288</v>
      </c>
      <c r="C1816" t="str">
        <f>_xlfn.XLOOKUP(B1816,Tableau13[ID_Antenne],Tableau13[Province_RDC],"Non répertoriées")</f>
        <v>Non répertoriées</v>
      </c>
      <c r="D1816">
        <v>88</v>
      </c>
      <c r="E1816" t="str">
        <f>_xlfn.XLOOKUP(B1816,Tableau13[ID_Antenne],Tableau13[Technologie],"Non répertoriées")</f>
        <v>Non répertoriées</v>
      </c>
      <c r="F1816" t="str">
        <f>_xlfn.XLOOKUP(B1816,Tableau13[ID_Antenne],Tableau13[Latitude],"Non répertoriées")</f>
        <v>Non répertoriées</v>
      </c>
      <c r="G1816" t="str">
        <f>_xlfn.XLOOKUP(B1816,Tableau13[ID_Antenne],Tableau13[Longitude],"Non répertoriées")</f>
        <v>Non répertoriées</v>
      </c>
      <c r="H1816" t="s">
        <v>8</v>
      </c>
    </row>
    <row r="1817" spans="1:8" x14ac:dyDescent="0.25">
      <c r="A1817" s="1">
        <v>45202.779166666667</v>
      </c>
      <c r="B1817" t="s">
        <v>220</v>
      </c>
      <c r="C1817" s="29" t="str">
        <f>_xlfn.XLOOKUP(B1817,Tableau13[ID_Antenne],Tableau13[Province_RDC],"Non répertoriées")</f>
        <v>Haut-Lomami</v>
      </c>
      <c r="D1817">
        <v>51</v>
      </c>
      <c r="E1817" s="31" t="str">
        <f>_xlfn.XLOOKUP(B1817,Tableau13[ID_Antenne],Tableau13[Technologie],"Non répertoriées")</f>
        <v>4G</v>
      </c>
      <c r="F1817" s="3">
        <f>_xlfn.XLOOKUP(B1817,Tableau13[ID_Antenne],Tableau13[Latitude],"Non répertoriées")</f>
        <v>-6.3324319999999998</v>
      </c>
      <c r="G1817" s="32">
        <f>_xlfn.XLOOKUP(B1817,Tableau13[ID_Antenne],Tableau13[Longitude],"Non répertoriées")</f>
        <v>24.887858000000001</v>
      </c>
      <c r="H1817" t="s">
        <v>5</v>
      </c>
    </row>
    <row r="1818" spans="1:8" x14ac:dyDescent="0.25">
      <c r="A1818" s="1">
        <v>45204.47152777778</v>
      </c>
      <c r="B1818" t="s">
        <v>283</v>
      </c>
      <c r="C1818" s="29" t="str">
        <f>_xlfn.XLOOKUP(B1818,Tableau13[ID_Antenne],Tableau13[Province_RDC],"Non répertoriées")</f>
        <v>Tshuapa</v>
      </c>
      <c r="D1818">
        <v>93</v>
      </c>
      <c r="E1818" s="31" t="str">
        <f>_xlfn.XLOOKUP(B1818,Tableau13[ID_Antenne],Tableau13[Technologie],"Non répertoriées")</f>
        <v>4G</v>
      </c>
      <c r="F1818" s="3">
        <f>_xlfn.XLOOKUP(B1818,Tableau13[ID_Antenne],Tableau13[Latitude],"Non répertoriées")</f>
        <v>-10.577049000000001</v>
      </c>
      <c r="G1818" s="32">
        <f>_xlfn.XLOOKUP(B1818,Tableau13[ID_Antenne],Tableau13[Longitude],"Non répertoriées")</f>
        <v>23.721854</v>
      </c>
      <c r="H1818" t="s">
        <v>5</v>
      </c>
    </row>
    <row r="1819" spans="1:8" x14ac:dyDescent="0.25">
      <c r="A1819" s="1">
        <v>45230.863888888889</v>
      </c>
      <c r="B1819" t="s">
        <v>686</v>
      </c>
      <c r="C1819" t="str">
        <f>_xlfn.XLOOKUP(B1819,Tableau13[ID_Antenne],Tableau13[Province_RDC],"Non répertoriées")</f>
        <v>Non répertoriées</v>
      </c>
      <c r="D1819">
        <v>35</v>
      </c>
      <c r="E1819" t="str">
        <f>_xlfn.XLOOKUP(B1819,Tableau13[ID_Antenne],Tableau13[Technologie],"Non répertoriées")</f>
        <v>Non répertoriées</v>
      </c>
      <c r="F1819" t="str">
        <f>_xlfn.XLOOKUP(B1819,Tableau13[ID_Antenne],Tableau13[Latitude],"Non répertoriées")</f>
        <v>Non répertoriées</v>
      </c>
      <c r="G1819" t="str">
        <f>_xlfn.XLOOKUP(B1819,Tableau13[ID_Antenne],Tableau13[Longitude],"Non répertoriées")</f>
        <v>Non répertoriées</v>
      </c>
      <c r="H1819" t="s">
        <v>10</v>
      </c>
    </row>
    <row r="1820" spans="1:8" x14ac:dyDescent="0.25">
      <c r="A1820" s="1">
        <v>45221.505555555559</v>
      </c>
      <c r="B1820" t="s">
        <v>524</v>
      </c>
      <c r="C1820" t="str">
        <f>_xlfn.XLOOKUP(B1820,Tableau13[ID_Antenne],Tableau13[Province_RDC],"Non répertoriées")</f>
        <v>Non répertoriées</v>
      </c>
      <c r="D1820">
        <v>12</v>
      </c>
      <c r="E1820" t="str">
        <f>_xlfn.XLOOKUP(B1820,Tableau13[ID_Antenne],Tableau13[Technologie],"Non répertoriées")</f>
        <v>Non répertoriées</v>
      </c>
      <c r="F1820" t="str">
        <f>_xlfn.XLOOKUP(B1820,Tableau13[ID_Antenne],Tableau13[Latitude],"Non répertoriées")</f>
        <v>Non répertoriées</v>
      </c>
      <c r="G1820" t="str">
        <f>_xlfn.XLOOKUP(B1820,Tableau13[ID_Antenne],Tableau13[Longitude],"Non répertoriées")</f>
        <v>Non répertoriées</v>
      </c>
      <c r="H1820" t="s">
        <v>10</v>
      </c>
    </row>
    <row r="1821" spans="1:8" x14ac:dyDescent="0.25">
      <c r="A1821" s="1">
        <v>45219.920138888891</v>
      </c>
      <c r="B1821" t="s">
        <v>289</v>
      </c>
      <c r="C1821" s="29" t="str">
        <f>_xlfn.XLOOKUP(B1821,Tableau13[ID_Antenne],Tableau13[Province_RDC],"Non répertoriées")</f>
        <v>Maniema</v>
      </c>
      <c r="D1821">
        <v>90</v>
      </c>
      <c r="E1821" s="31" t="str">
        <f>_xlfn.XLOOKUP(B1821,Tableau13[ID_Antenne],Tableau13[Technologie],"Non répertoriées")</f>
        <v>5G</v>
      </c>
      <c r="F1821" s="3">
        <f>_xlfn.XLOOKUP(B1821,Tableau13[ID_Antenne],Tableau13[Latitude],"Non répertoriées")</f>
        <v>-8.4824669999999998</v>
      </c>
      <c r="G1821" s="32">
        <f>_xlfn.XLOOKUP(B1821,Tableau13[ID_Antenne],Tableau13[Longitude],"Non répertoriées")</f>
        <v>21.897777999999999</v>
      </c>
      <c r="H1821" t="s">
        <v>5</v>
      </c>
    </row>
    <row r="1822" spans="1:8" x14ac:dyDescent="0.25">
      <c r="A1822" s="1">
        <v>45209.724999999999</v>
      </c>
      <c r="B1822" t="s">
        <v>203</v>
      </c>
      <c r="C1822" t="str">
        <f>_xlfn.XLOOKUP(B1822,Tableau13[ID_Antenne],Tableau13[Province_RDC],"Non répertoriées")</f>
        <v>Non répertoriées</v>
      </c>
      <c r="D1822">
        <v>20</v>
      </c>
      <c r="E1822" t="str">
        <f>_xlfn.XLOOKUP(B1822,Tableau13[ID_Antenne],Tableau13[Technologie],"Non répertoriées")</f>
        <v>Non répertoriées</v>
      </c>
      <c r="F1822" t="str">
        <f>_xlfn.XLOOKUP(B1822,Tableau13[ID_Antenne],Tableau13[Latitude],"Non répertoriées")</f>
        <v>Non répertoriées</v>
      </c>
      <c r="G1822" t="str">
        <f>_xlfn.XLOOKUP(B1822,Tableau13[ID_Antenne],Tableau13[Longitude],"Non répertoriées")</f>
        <v>Non répertoriées</v>
      </c>
      <c r="H1822" t="s">
        <v>8</v>
      </c>
    </row>
    <row r="1823" spans="1:8" x14ac:dyDescent="0.25">
      <c r="A1823" s="1">
        <v>45220.452777777777</v>
      </c>
      <c r="B1823" t="s">
        <v>680</v>
      </c>
      <c r="C1823" t="str">
        <f>_xlfn.XLOOKUP(B1823,Tableau13[ID_Antenne],Tableau13[Province_RDC],"Non répertoriées")</f>
        <v>Non répertoriées</v>
      </c>
      <c r="D1823">
        <v>64</v>
      </c>
      <c r="E1823" t="str">
        <f>_xlfn.XLOOKUP(B1823,Tableau13[ID_Antenne],Tableau13[Technologie],"Non répertoriées")</f>
        <v>Non répertoriées</v>
      </c>
      <c r="F1823" t="str">
        <f>_xlfn.XLOOKUP(B1823,Tableau13[ID_Antenne],Tableau13[Latitude],"Non répertoriées")</f>
        <v>Non répertoriées</v>
      </c>
      <c r="G1823" t="str">
        <f>_xlfn.XLOOKUP(B1823,Tableau13[ID_Antenne],Tableau13[Longitude],"Non répertoriées")</f>
        <v>Non répertoriées</v>
      </c>
      <c r="H1823" t="s">
        <v>5</v>
      </c>
    </row>
    <row r="1824" spans="1:8" x14ac:dyDescent="0.25">
      <c r="A1824" s="1">
        <v>45204.905555555553</v>
      </c>
      <c r="B1824" t="s">
        <v>155</v>
      </c>
      <c r="C1824" s="29" t="str">
        <f>_xlfn.XLOOKUP(B1824,Tableau13[ID_Antenne],Tableau13[Province_RDC],"Non répertoriées")</f>
        <v>Tshopo</v>
      </c>
      <c r="D1824">
        <v>44</v>
      </c>
      <c r="E1824" s="31" t="str">
        <f>_xlfn.XLOOKUP(B1824,Tableau13[ID_Antenne],Tableau13[Technologie],"Non répertoriées")</f>
        <v>3G</v>
      </c>
      <c r="F1824" s="3">
        <f>_xlfn.XLOOKUP(B1824,Tableau13[ID_Antenne],Tableau13[Latitude],"Non répertoriées")</f>
        <v>3.0603760000000002</v>
      </c>
      <c r="G1824" s="32">
        <f>_xlfn.XLOOKUP(B1824,Tableau13[ID_Antenne],Tableau13[Longitude],"Non répertoriées")</f>
        <v>19.708034000000001</v>
      </c>
      <c r="H1824" t="s">
        <v>8</v>
      </c>
    </row>
    <row r="1825" spans="1:8" x14ac:dyDescent="0.25">
      <c r="A1825" s="1">
        <v>45226.988194444442</v>
      </c>
      <c r="B1825" t="s">
        <v>738</v>
      </c>
      <c r="C1825" s="29" t="str">
        <f>_xlfn.XLOOKUP(B1825,Tableau13[ID_Antenne],Tableau13[Province_RDC],"Non répertoriées")</f>
        <v>Kasai</v>
      </c>
      <c r="D1825">
        <v>25</v>
      </c>
      <c r="E1825" s="31" t="str">
        <f>_xlfn.XLOOKUP(B1825,Tableau13[ID_Antenne],Tableau13[Technologie],"Non répertoriées")</f>
        <v>5G</v>
      </c>
      <c r="F1825" s="3">
        <f>_xlfn.XLOOKUP(B1825,Tableau13[ID_Antenne],Tableau13[Latitude],"Non répertoriées")</f>
        <v>4.1464489999999996</v>
      </c>
      <c r="G1825" s="32">
        <f>_xlfn.XLOOKUP(B1825,Tableau13[ID_Antenne],Tableau13[Longitude],"Non répertoriées")</f>
        <v>17.793337000000001</v>
      </c>
      <c r="H1825" t="s">
        <v>8</v>
      </c>
    </row>
    <row r="1826" spans="1:8" x14ac:dyDescent="0.25">
      <c r="A1826" s="1">
        <v>45229.670138888891</v>
      </c>
      <c r="B1826" t="s">
        <v>85</v>
      </c>
      <c r="C1826" s="29" t="str">
        <f>_xlfn.XLOOKUP(B1826,Tableau13[ID_Antenne],Tableau13[Province_RDC],"Non répertoriées")</f>
        <v>Ituri</v>
      </c>
      <c r="D1826">
        <v>56</v>
      </c>
      <c r="E1826" s="31" t="str">
        <f>_xlfn.XLOOKUP(B1826,Tableau13[ID_Antenne],Tableau13[Technologie],"Non répertoriées")</f>
        <v>3G</v>
      </c>
      <c r="F1826" s="3">
        <f>_xlfn.XLOOKUP(B1826,Tableau13[ID_Antenne],Tableau13[Latitude],"Non répertoriées")</f>
        <v>-7.0076900000000002</v>
      </c>
      <c r="G1826" s="32">
        <f>_xlfn.XLOOKUP(B1826,Tableau13[ID_Antenne],Tableau13[Longitude],"Non répertoriées")</f>
        <v>27.367121999999998</v>
      </c>
      <c r="H1826" t="s">
        <v>8</v>
      </c>
    </row>
    <row r="1827" spans="1:8" x14ac:dyDescent="0.25">
      <c r="A1827" s="1">
        <v>45220.893750000003</v>
      </c>
      <c r="B1827" t="s">
        <v>92</v>
      </c>
      <c r="C1827" s="29" t="str">
        <f>_xlfn.XLOOKUP(B1827,Tableau13[ID_Antenne],Tableau13[Province_RDC],"Non répertoriées")</f>
        <v>Sud-Ubangi</v>
      </c>
      <c r="D1827">
        <v>92</v>
      </c>
      <c r="E1827" s="31" t="str">
        <f>_xlfn.XLOOKUP(B1827,Tableau13[ID_Antenne],Tableau13[Technologie],"Non répertoriées")</f>
        <v>5G</v>
      </c>
      <c r="F1827" s="3">
        <f>_xlfn.XLOOKUP(B1827,Tableau13[ID_Antenne],Tableau13[Latitude],"Non répertoriées")</f>
        <v>-9.3652239999999995</v>
      </c>
      <c r="G1827" s="32">
        <f>_xlfn.XLOOKUP(B1827,Tableau13[ID_Antenne],Tableau13[Longitude],"Non répertoriées")</f>
        <v>22.593423999999999</v>
      </c>
      <c r="H1827" t="s">
        <v>8</v>
      </c>
    </row>
    <row r="1828" spans="1:8" x14ac:dyDescent="0.25">
      <c r="A1828" s="1">
        <v>45216.459027777782</v>
      </c>
      <c r="B1828" t="s">
        <v>214</v>
      </c>
      <c r="C1828" t="str">
        <f>_xlfn.XLOOKUP(B1828,Tableau13[ID_Antenne],Tableau13[Province_RDC],"Non répertoriées")</f>
        <v>Non répertoriées</v>
      </c>
      <c r="D1828">
        <v>69</v>
      </c>
      <c r="E1828" t="str">
        <f>_xlfn.XLOOKUP(B1828,Tableau13[ID_Antenne],Tableau13[Technologie],"Non répertoriées")</f>
        <v>Non répertoriées</v>
      </c>
      <c r="F1828" t="str">
        <f>_xlfn.XLOOKUP(B1828,Tableau13[ID_Antenne],Tableau13[Latitude],"Non répertoriées")</f>
        <v>Non répertoriées</v>
      </c>
      <c r="G1828" t="str">
        <f>_xlfn.XLOOKUP(B1828,Tableau13[ID_Antenne],Tableau13[Longitude],"Non répertoriées")</f>
        <v>Non répertoriées</v>
      </c>
      <c r="H1828" t="s">
        <v>10</v>
      </c>
    </row>
    <row r="1829" spans="1:8" x14ac:dyDescent="0.25">
      <c r="A1829" s="1">
        <v>45211.382638888892</v>
      </c>
      <c r="B1829" t="s">
        <v>599</v>
      </c>
      <c r="C1829" t="str">
        <f>_xlfn.XLOOKUP(B1829,Tableau13[ID_Antenne],Tableau13[Province_RDC],"Non répertoriées")</f>
        <v>Non répertoriées</v>
      </c>
      <c r="D1829">
        <v>119</v>
      </c>
      <c r="E1829" t="str">
        <f>_xlfn.XLOOKUP(B1829,Tableau13[ID_Antenne],Tableau13[Technologie],"Non répertoriées")</f>
        <v>Non répertoriées</v>
      </c>
      <c r="F1829" t="str">
        <f>_xlfn.XLOOKUP(B1829,Tableau13[ID_Antenne],Tableau13[Latitude],"Non répertoriées")</f>
        <v>Non répertoriées</v>
      </c>
      <c r="G1829" t="str">
        <f>_xlfn.XLOOKUP(B1829,Tableau13[ID_Antenne],Tableau13[Longitude],"Non répertoriées")</f>
        <v>Non répertoriées</v>
      </c>
      <c r="H1829" t="s">
        <v>10</v>
      </c>
    </row>
    <row r="1830" spans="1:8" x14ac:dyDescent="0.25">
      <c r="A1830" s="1">
        <v>45230.26458333333</v>
      </c>
      <c r="B1830" t="s">
        <v>83</v>
      </c>
      <c r="C1830" s="29" t="str">
        <f>_xlfn.XLOOKUP(B1830,Tableau13[ID_Antenne],Tableau13[Province_RDC],"Non répertoriées")</f>
        <v>Nord-Ubangi</v>
      </c>
      <c r="D1830">
        <v>118</v>
      </c>
      <c r="E1830" s="31" t="str">
        <f>_xlfn.XLOOKUP(B1830,Tableau13[ID_Antenne],Tableau13[Technologie],"Non répertoriées")</f>
        <v>5G</v>
      </c>
      <c r="F1830" s="3">
        <f>_xlfn.XLOOKUP(B1830,Tableau13[ID_Antenne],Tableau13[Latitude],"Non répertoriées")</f>
        <v>0.94539899999999999</v>
      </c>
      <c r="G1830" s="32">
        <f>_xlfn.XLOOKUP(B1830,Tableau13[ID_Antenne],Tableau13[Longitude],"Non répertoriées")</f>
        <v>14.401821999999999</v>
      </c>
      <c r="H1830" t="s">
        <v>5</v>
      </c>
    </row>
    <row r="1831" spans="1:8" x14ac:dyDescent="0.25">
      <c r="A1831" s="1">
        <v>45230.633333333331</v>
      </c>
      <c r="B1831" t="s">
        <v>348</v>
      </c>
      <c r="C1831" t="str">
        <f>_xlfn.XLOOKUP(B1831,Tableau13[ID_Antenne],Tableau13[Province_RDC],"Non répertoriées")</f>
        <v>Non répertoriées</v>
      </c>
      <c r="D1831">
        <v>95</v>
      </c>
      <c r="E1831" t="str">
        <f>_xlfn.XLOOKUP(B1831,Tableau13[ID_Antenne],Tableau13[Technologie],"Non répertoriées")</f>
        <v>Non répertoriées</v>
      </c>
      <c r="F1831" t="str">
        <f>_xlfn.XLOOKUP(B1831,Tableau13[ID_Antenne],Tableau13[Latitude],"Non répertoriées")</f>
        <v>Non répertoriées</v>
      </c>
      <c r="G1831" t="str">
        <f>_xlfn.XLOOKUP(B1831,Tableau13[ID_Antenne],Tableau13[Longitude],"Non répertoriées")</f>
        <v>Non répertoriées</v>
      </c>
      <c r="H1831" t="s">
        <v>10</v>
      </c>
    </row>
    <row r="1832" spans="1:8" x14ac:dyDescent="0.25">
      <c r="A1832" s="1">
        <v>45207.17291666667</v>
      </c>
      <c r="B1832" t="s">
        <v>700</v>
      </c>
      <c r="C1832" t="str">
        <f>_xlfn.XLOOKUP(B1832,Tableau13[ID_Antenne],Tableau13[Province_RDC],"Non répertoriées")</f>
        <v>Non répertoriées</v>
      </c>
      <c r="D1832">
        <v>103</v>
      </c>
      <c r="E1832" t="str">
        <f>_xlfn.XLOOKUP(B1832,Tableau13[ID_Antenne],Tableau13[Technologie],"Non répertoriées")</f>
        <v>Non répertoriées</v>
      </c>
      <c r="F1832" t="str">
        <f>_xlfn.XLOOKUP(B1832,Tableau13[ID_Antenne],Tableau13[Latitude],"Non répertoriées")</f>
        <v>Non répertoriées</v>
      </c>
      <c r="G1832" t="str">
        <f>_xlfn.XLOOKUP(B1832,Tableau13[ID_Antenne],Tableau13[Longitude],"Non répertoriées")</f>
        <v>Non répertoriées</v>
      </c>
      <c r="H1832" t="s">
        <v>5</v>
      </c>
    </row>
    <row r="1833" spans="1:8" x14ac:dyDescent="0.25">
      <c r="A1833" s="1">
        <v>45202.412499999999</v>
      </c>
      <c r="B1833" t="s">
        <v>441</v>
      </c>
      <c r="C1833" s="29" t="str">
        <f>_xlfn.XLOOKUP(B1833,Tableau13[ID_Antenne],Tableau13[Province_RDC],"Non répertoriées")</f>
        <v>Kongo-Central</v>
      </c>
      <c r="D1833">
        <v>44</v>
      </c>
      <c r="E1833" s="31" t="str">
        <f>_xlfn.XLOOKUP(B1833,Tableau13[ID_Antenne],Tableau13[Technologie],"Non répertoriées")</f>
        <v>5G</v>
      </c>
      <c r="F1833" s="3">
        <f>_xlfn.XLOOKUP(B1833,Tableau13[ID_Antenne],Tableau13[Latitude],"Non répertoriées")</f>
        <v>-11.157245</v>
      </c>
      <c r="G1833" s="32">
        <f>_xlfn.XLOOKUP(B1833,Tableau13[ID_Antenne],Tableau13[Longitude],"Non répertoriées")</f>
        <v>21.262627999999999</v>
      </c>
      <c r="H1833" t="s">
        <v>5</v>
      </c>
    </row>
    <row r="1834" spans="1:8" x14ac:dyDescent="0.25">
      <c r="A1834" s="1">
        <v>45225.147222222222</v>
      </c>
      <c r="B1834" t="s">
        <v>20</v>
      </c>
      <c r="C1834" t="str">
        <f>_xlfn.XLOOKUP(B1834,Tableau13[ID_Antenne],Tableau13[Province_RDC],"Non répertoriées")</f>
        <v>Non répertoriées</v>
      </c>
      <c r="D1834">
        <v>93</v>
      </c>
      <c r="E1834" t="str">
        <f>_xlfn.XLOOKUP(B1834,Tableau13[ID_Antenne],Tableau13[Technologie],"Non répertoriées")</f>
        <v>Non répertoriées</v>
      </c>
      <c r="F1834" t="str">
        <f>_xlfn.XLOOKUP(B1834,Tableau13[ID_Antenne],Tableau13[Latitude],"Non répertoriées")</f>
        <v>Non répertoriées</v>
      </c>
      <c r="G1834" t="str">
        <f>_xlfn.XLOOKUP(B1834,Tableau13[ID_Antenne],Tableau13[Longitude],"Non répertoriées")</f>
        <v>Non répertoriées</v>
      </c>
      <c r="H1834" t="s">
        <v>8</v>
      </c>
    </row>
    <row r="1835" spans="1:8" x14ac:dyDescent="0.25">
      <c r="A1835" s="1">
        <v>45224.745138888888</v>
      </c>
      <c r="B1835" t="s">
        <v>710</v>
      </c>
      <c r="C1835" s="29" t="str">
        <f>_xlfn.XLOOKUP(B1835,Tableau13[ID_Antenne],Tableau13[Province_RDC],"Non répertoriées")</f>
        <v>Equateur</v>
      </c>
      <c r="D1835">
        <v>20</v>
      </c>
      <c r="E1835" s="31" t="str">
        <f>_xlfn.XLOOKUP(B1835,Tableau13[ID_Antenne],Tableau13[Technologie],"Non répertoriées")</f>
        <v>3G</v>
      </c>
      <c r="F1835" s="3">
        <f>_xlfn.XLOOKUP(B1835,Tableau13[ID_Antenne],Tableau13[Latitude],"Non répertoriées")</f>
        <v>-6.7420359999999997</v>
      </c>
      <c r="G1835" s="32">
        <f>_xlfn.XLOOKUP(B1835,Tableau13[ID_Antenne],Tableau13[Longitude],"Non répertoriées")</f>
        <v>28.905578999999999</v>
      </c>
      <c r="H1835" t="s">
        <v>5</v>
      </c>
    </row>
    <row r="1836" spans="1:8" x14ac:dyDescent="0.25">
      <c r="A1836" s="1">
        <v>45223.668055555558</v>
      </c>
      <c r="B1836" t="s">
        <v>202</v>
      </c>
      <c r="C1836" t="str">
        <f>_xlfn.XLOOKUP(B1836,Tableau13[ID_Antenne],Tableau13[Province_RDC],"Non répertoriées")</f>
        <v>Non répertoriées</v>
      </c>
      <c r="D1836">
        <v>86</v>
      </c>
      <c r="E1836" t="str">
        <f>_xlfn.XLOOKUP(B1836,Tableau13[ID_Antenne],Tableau13[Technologie],"Non répertoriées")</f>
        <v>Non répertoriées</v>
      </c>
      <c r="F1836" t="str">
        <f>_xlfn.XLOOKUP(B1836,Tableau13[ID_Antenne],Tableau13[Latitude],"Non répertoriées")</f>
        <v>Non répertoriées</v>
      </c>
      <c r="G1836" t="str">
        <f>_xlfn.XLOOKUP(B1836,Tableau13[ID_Antenne],Tableau13[Longitude],"Non répertoriées")</f>
        <v>Non répertoriées</v>
      </c>
      <c r="H1836" t="s">
        <v>10</v>
      </c>
    </row>
    <row r="1837" spans="1:8" x14ac:dyDescent="0.25">
      <c r="A1837" s="1">
        <v>45221.455555555563</v>
      </c>
      <c r="B1837" t="s">
        <v>112</v>
      </c>
      <c r="C1837" t="str">
        <f>_xlfn.XLOOKUP(B1837,Tableau13[ID_Antenne],Tableau13[Province_RDC],"Non répertoriées")</f>
        <v>Non répertoriées</v>
      </c>
      <c r="D1837">
        <v>42</v>
      </c>
      <c r="E1837" t="str">
        <f>_xlfn.XLOOKUP(B1837,Tableau13[ID_Antenne],Tableau13[Technologie],"Non répertoriées")</f>
        <v>Non répertoriées</v>
      </c>
      <c r="F1837" t="str">
        <f>_xlfn.XLOOKUP(B1837,Tableau13[ID_Antenne],Tableau13[Latitude],"Non répertoriées")</f>
        <v>Non répertoriées</v>
      </c>
      <c r="G1837" t="str">
        <f>_xlfn.XLOOKUP(B1837,Tableau13[ID_Antenne],Tableau13[Longitude],"Non répertoriées")</f>
        <v>Non répertoriées</v>
      </c>
      <c r="H1837" t="s">
        <v>10</v>
      </c>
    </row>
    <row r="1838" spans="1:8" x14ac:dyDescent="0.25">
      <c r="A1838" s="1">
        <v>45224.797222222223</v>
      </c>
      <c r="B1838" t="s">
        <v>687</v>
      </c>
      <c r="C1838" s="29" t="str">
        <f>_xlfn.XLOOKUP(B1838,Tableau13[ID_Antenne],Tableau13[Province_RDC],"Non répertoriées")</f>
        <v>Sud-Kivu</v>
      </c>
      <c r="D1838">
        <v>52</v>
      </c>
      <c r="E1838" s="31" t="str">
        <f>_xlfn.XLOOKUP(B1838,Tableau13[ID_Antenne],Tableau13[Technologie],"Non répertoriées")</f>
        <v>3G</v>
      </c>
      <c r="F1838" s="3">
        <f>_xlfn.XLOOKUP(B1838,Tableau13[ID_Antenne],Tableau13[Latitude],"Non répertoriées")</f>
        <v>-3.6233270000000002</v>
      </c>
      <c r="G1838" s="32">
        <f>_xlfn.XLOOKUP(B1838,Tableau13[ID_Antenne],Tableau13[Longitude],"Non répertoriées")</f>
        <v>25.915645999999999</v>
      </c>
      <c r="H1838" t="s">
        <v>5</v>
      </c>
    </row>
    <row r="1839" spans="1:8" x14ac:dyDescent="0.25">
      <c r="A1839" s="1">
        <v>45219.506249999999</v>
      </c>
      <c r="B1839" t="s">
        <v>738</v>
      </c>
      <c r="C1839" s="29" t="str">
        <f>_xlfn.XLOOKUP(B1839,Tableau13[ID_Antenne],Tableau13[Province_RDC],"Non répertoriées")</f>
        <v>Kasai</v>
      </c>
      <c r="D1839">
        <v>83</v>
      </c>
      <c r="E1839" s="31" t="str">
        <f>_xlfn.XLOOKUP(B1839,Tableau13[ID_Antenne],Tableau13[Technologie],"Non répertoriées")</f>
        <v>5G</v>
      </c>
      <c r="F1839" s="3">
        <f>_xlfn.XLOOKUP(B1839,Tableau13[ID_Antenne],Tableau13[Latitude],"Non répertoriées")</f>
        <v>4.1464489999999996</v>
      </c>
      <c r="G1839" s="32">
        <f>_xlfn.XLOOKUP(B1839,Tableau13[ID_Antenne],Tableau13[Longitude],"Non répertoriées")</f>
        <v>17.793337000000001</v>
      </c>
      <c r="H1839" t="s">
        <v>8</v>
      </c>
    </row>
    <row r="1840" spans="1:8" x14ac:dyDescent="0.25">
      <c r="A1840" s="1">
        <v>45205.245138888888</v>
      </c>
      <c r="B1840" t="s">
        <v>30</v>
      </c>
      <c r="C1840" s="29" t="str">
        <f>_xlfn.XLOOKUP(B1840,Tableau13[ID_Antenne],Tableau13[Province_RDC],"Non répertoriées")</f>
        <v>Sud-Ubangi</v>
      </c>
      <c r="D1840">
        <v>33</v>
      </c>
      <c r="E1840" s="31" t="str">
        <f>_xlfn.XLOOKUP(B1840,Tableau13[ID_Antenne],Tableau13[Technologie],"Non répertoriées")</f>
        <v>5G</v>
      </c>
      <c r="F1840" s="3">
        <f>_xlfn.XLOOKUP(B1840,Tableau13[ID_Antenne],Tableau13[Latitude],"Non répertoriées")</f>
        <v>-10.56448</v>
      </c>
      <c r="G1840" s="32">
        <f>_xlfn.XLOOKUP(B1840,Tableau13[ID_Antenne],Tableau13[Longitude],"Non répertoriées")</f>
        <v>19.792876</v>
      </c>
      <c r="H1840" t="s">
        <v>5</v>
      </c>
    </row>
    <row r="1841" spans="1:8" x14ac:dyDescent="0.25">
      <c r="A1841" s="1">
        <v>45222.82708333333</v>
      </c>
      <c r="B1841" t="s">
        <v>526</v>
      </c>
      <c r="C1841" s="29" t="str">
        <f>_xlfn.XLOOKUP(B1841,Tableau13[ID_Antenne],Tableau13[Province_RDC],"Non répertoriées")</f>
        <v>Nord-Kivu</v>
      </c>
      <c r="D1841">
        <v>33</v>
      </c>
      <c r="E1841" s="31" t="str">
        <f>_xlfn.XLOOKUP(B1841,Tableau13[ID_Antenne],Tableau13[Technologie],"Non répertoriées")</f>
        <v>5G</v>
      </c>
      <c r="F1841" s="3">
        <f>_xlfn.XLOOKUP(B1841,Tableau13[ID_Antenne],Tableau13[Latitude],"Non répertoriées")</f>
        <v>-0.17258100000000001</v>
      </c>
      <c r="G1841" s="32">
        <f>_xlfn.XLOOKUP(B1841,Tableau13[ID_Antenne],Tableau13[Longitude],"Non répertoriées")</f>
        <v>23.775555000000001</v>
      </c>
      <c r="H1841" t="s">
        <v>5</v>
      </c>
    </row>
    <row r="1842" spans="1:8" x14ac:dyDescent="0.25">
      <c r="A1842" s="1">
        <v>45228.240277777782</v>
      </c>
      <c r="B1842" t="s">
        <v>479</v>
      </c>
      <c r="C1842" s="29" t="str">
        <f>_xlfn.XLOOKUP(B1842,Tableau13[ID_Antenne],Tableau13[Province_RDC],"Non répertoriées")</f>
        <v>Maniema</v>
      </c>
      <c r="D1842">
        <v>22</v>
      </c>
      <c r="E1842" s="31" t="str">
        <f>_xlfn.XLOOKUP(B1842,Tableau13[ID_Antenne],Tableau13[Technologie],"Non répertoriées")</f>
        <v>4G</v>
      </c>
      <c r="F1842" s="3">
        <f>_xlfn.XLOOKUP(B1842,Tableau13[ID_Antenne],Tableau13[Latitude],"Non répertoriées")</f>
        <v>4.8228650000000002</v>
      </c>
      <c r="G1842" s="32">
        <f>_xlfn.XLOOKUP(B1842,Tableau13[ID_Antenne],Tableau13[Longitude],"Non répertoriées")</f>
        <v>30.555627000000001</v>
      </c>
      <c r="H1842" t="s">
        <v>10</v>
      </c>
    </row>
    <row r="1843" spans="1:8" x14ac:dyDescent="0.25">
      <c r="A1843" s="1">
        <v>45214.05972222222</v>
      </c>
      <c r="B1843" t="s">
        <v>93</v>
      </c>
      <c r="C1843" t="str">
        <f>_xlfn.XLOOKUP(B1843,Tableau13[ID_Antenne],Tableau13[Province_RDC],"Non répertoriées")</f>
        <v>Non répertoriées</v>
      </c>
      <c r="D1843">
        <v>66</v>
      </c>
      <c r="E1843" t="str">
        <f>_xlfn.XLOOKUP(B1843,Tableau13[ID_Antenne],Tableau13[Technologie],"Non répertoriées")</f>
        <v>Non répertoriées</v>
      </c>
      <c r="F1843" t="str">
        <f>_xlfn.XLOOKUP(B1843,Tableau13[ID_Antenne],Tableau13[Latitude],"Non répertoriées")</f>
        <v>Non répertoriées</v>
      </c>
      <c r="G1843" t="str">
        <f>_xlfn.XLOOKUP(B1843,Tableau13[ID_Antenne],Tableau13[Longitude],"Non répertoriées")</f>
        <v>Non répertoriées</v>
      </c>
      <c r="H1843" t="s">
        <v>10</v>
      </c>
    </row>
    <row r="1844" spans="1:8" x14ac:dyDescent="0.25">
      <c r="A1844" s="1">
        <v>45211.906944444447</v>
      </c>
      <c r="B1844" t="s">
        <v>352</v>
      </c>
      <c r="C1844" t="str">
        <f>_xlfn.XLOOKUP(B1844,Tableau13[ID_Antenne],Tableau13[Province_RDC],"Non répertoriées")</f>
        <v>Non répertoriées</v>
      </c>
      <c r="D1844">
        <v>24</v>
      </c>
      <c r="E1844" t="str">
        <f>_xlfn.XLOOKUP(B1844,Tableau13[ID_Antenne],Tableau13[Technologie],"Non répertoriées")</f>
        <v>Non répertoriées</v>
      </c>
      <c r="F1844" t="str">
        <f>_xlfn.XLOOKUP(B1844,Tableau13[ID_Antenne],Tableau13[Latitude],"Non répertoriées")</f>
        <v>Non répertoriées</v>
      </c>
      <c r="G1844" t="str">
        <f>_xlfn.XLOOKUP(B1844,Tableau13[ID_Antenne],Tableau13[Longitude],"Non répertoriées")</f>
        <v>Non répertoriées</v>
      </c>
      <c r="H1844" t="s">
        <v>8</v>
      </c>
    </row>
    <row r="1845" spans="1:8" x14ac:dyDescent="0.25">
      <c r="A1845" s="1">
        <v>45207.61041666667</v>
      </c>
      <c r="B1845" t="s">
        <v>679</v>
      </c>
      <c r="C1845" t="str">
        <f>_xlfn.XLOOKUP(B1845,Tableau13[ID_Antenne],Tableau13[Province_RDC],"Non répertoriées")</f>
        <v>Non répertoriées</v>
      </c>
      <c r="D1845">
        <v>63</v>
      </c>
      <c r="E1845" t="str">
        <f>_xlfn.XLOOKUP(B1845,Tableau13[ID_Antenne],Tableau13[Technologie],"Non répertoriées")</f>
        <v>Non répertoriées</v>
      </c>
      <c r="F1845" t="str">
        <f>_xlfn.XLOOKUP(B1845,Tableau13[ID_Antenne],Tableau13[Latitude],"Non répertoriées")</f>
        <v>Non répertoriées</v>
      </c>
      <c r="G1845" t="str">
        <f>_xlfn.XLOOKUP(B1845,Tableau13[ID_Antenne],Tableau13[Longitude],"Non répertoriées")</f>
        <v>Non répertoriées</v>
      </c>
      <c r="H1845" t="s">
        <v>10</v>
      </c>
    </row>
    <row r="1846" spans="1:8" x14ac:dyDescent="0.25">
      <c r="A1846" s="1">
        <v>45209.993055555547</v>
      </c>
      <c r="B1846" t="s">
        <v>348</v>
      </c>
      <c r="C1846" t="str">
        <f>_xlfn.XLOOKUP(B1846,Tableau13[ID_Antenne],Tableau13[Province_RDC],"Non répertoriées")</f>
        <v>Non répertoriées</v>
      </c>
      <c r="D1846">
        <v>100</v>
      </c>
      <c r="E1846" t="str">
        <f>_xlfn.XLOOKUP(B1846,Tableau13[ID_Antenne],Tableau13[Technologie],"Non répertoriées")</f>
        <v>Non répertoriées</v>
      </c>
      <c r="F1846" t="str">
        <f>_xlfn.XLOOKUP(B1846,Tableau13[ID_Antenne],Tableau13[Latitude],"Non répertoriées")</f>
        <v>Non répertoriées</v>
      </c>
      <c r="G1846" t="str">
        <f>_xlfn.XLOOKUP(B1846,Tableau13[ID_Antenne],Tableau13[Longitude],"Non répertoriées")</f>
        <v>Non répertoriées</v>
      </c>
      <c r="H1846" t="s">
        <v>5</v>
      </c>
    </row>
    <row r="1847" spans="1:8" x14ac:dyDescent="0.25">
      <c r="A1847" s="1">
        <v>45214.31527777778</v>
      </c>
      <c r="B1847" t="s">
        <v>710</v>
      </c>
      <c r="C1847" s="29" t="str">
        <f>_xlfn.XLOOKUP(B1847,Tableau13[ID_Antenne],Tableau13[Province_RDC],"Non répertoriées")</f>
        <v>Equateur</v>
      </c>
      <c r="D1847">
        <v>82</v>
      </c>
      <c r="E1847" s="31" t="str">
        <f>_xlfn.XLOOKUP(B1847,Tableau13[ID_Antenne],Tableau13[Technologie],"Non répertoriées")</f>
        <v>3G</v>
      </c>
      <c r="F1847" s="3">
        <f>_xlfn.XLOOKUP(B1847,Tableau13[ID_Antenne],Tableau13[Latitude],"Non répertoriées")</f>
        <v>-6.7420359999999997</v>
      </c>
      <c r="G1847" s="32">
        <f>_xlfn.XLOOKUP(B1847,Tableau13[ID_Antenne],Tableau13[Longitude],"Non répertoriées")</f>
        <v>28.905578999999999</v>
      </c>
      <c r="H1847" t="s">
        <v>10</v>
      </c>
    </row>
    <row r="1848" spans="1:8" x14ac:dyDescent="0.25">
      <c r="A1848" s="1">
        <v>45207.410416666673</v>
      </c>
      <c r="B1848" t="s">
        <v>283</v>
      </c>
      <c r="C1848" s="29" t="str">
        <f>_xlfn.XLOOKUP(B1848,Tableau13[ID_Antenne],Tableau13[Province_RDC],"Non répertoriées")</f>
        <v>Tshuapa</v>
      </c>
      <c r="D1848">
        <v>52</v>
      </c>
      <c r="E1848" s="31" t="str">
        <f>_xlfn.XLOOKUP(B1848,Tableau13[ID_Antenne],Tableau13[Technologie],"Non répertoriées")</f>
        <v>4G</v>
      </c>
      <c r="F1848" s="3">
        <f>_xlfn.XLOOKUP(B1848,Tableau13[ID_Antenne],Tableau13[Latitude],"Non répertoriées")</f>
        <v>-10.577049000000001</v>
      </c>
      <c r="G1848" s="32">
        <f>_xlfn.XLOOKUP(B1848,Tableau13[ID_Antenne],Tableau13[Longitude],"Non répertoriées")</f>
        <v>23.721854</v>
      </c>
      <c r="H1848" t="s">
        <v>10</v>
      </c>
    </row>
    <row r="1849" spans="1:8" x14ac:dyDescent="0.25">
      <c r="A1849" s="1">
        <v>45225.664583333331</v>
      </c>
      <c r="B1849" t="s">
        <v>425</v>
      </c>
      <c r="C1849" t="str">
        <f>_xlfn.XLOOKUP(B1849,Tableau13[ID_Antenne],Tableau13[Province_RDC],"Non répertoriées")</f>
        <v>Non répertoriées</v>
      </c>
      <c r="D1849">
        <v>58</v>
      </c>
      <c r="E1849" t="str">
        <f>_xlfn.XLOOKUP(B1849,Tableau13[ID_Antenne],Tableau13[Technologie],"Non répertoriées")</f>
        <v>Non répertoriées</v>
      </c>
      <c r="F1849" t="str">
        <f>_xlfn.XLOOKUP(B1849,Tableau13[ID_Antenne],Tableau13[Latitude],"Non répertoriées")</f>
        <v>Non répertoriées</v>
      </c>
      <c r="G1849" t="str">
        <f>_xlfn.XLOOKUP(B1849,Tableau13[ID_Antenne],Tableau13[Longitude],"Non répertoriées")</f>
        <v>Non répertoriées</v>
      </c>
      <c r="H1849" t="s">
        <v>10</v>
      </c>
    </row>
    <row r="1850" spans="1:8" x14ac:dyDescent="0.25">
      <c r="A1850" s="1">
        <v>45226.265972222223</v>
      </c>
      <c r="B1850" t="s">
        <v>420</v>
      </c>
      <c r="C1850" s="29" t="str">
        <f>_xlfn.XLOOKUP(B1850,Tableau13[ID_Antenne],Tableau13[Province_RDC],"Non répertoriées")</f>
        <v>Sud-Kivu</v>
      </c>
      <c r="D1850">
        <v>94</v>
      </c>
      <c r="E1850" s="31" t="str">
        <f>_xlfn.XLOOKUP(B1850,Tableau13[ID_Antenne],Tableau13[Technologie],"Non répertoriées")</f>
        <v>5G</v>
      </c>
      <c r="F1850" s="3">
        <f>_xlfn.XLOOKUP(B1850,Tableau13[ID_Antenne],Tableau13[Latitude],"Non répertoriées")</f>
        <v>2.4414509999999998</v>
      </c>
      <c r="G1850" s="32">
        <f>_xlfn.XLOOKUP(B1850,Tableau13[ID_Antenne],Tableau13[Longitude],"Non répertoriées")</f>
        <v>30.167489</v>
      </c>
      <c r="H1850" t="s">
        <v>10</v>
      </c>
    </row>
    <row r="1851" spans="1:8" x14ac:dyDescent="0.25">
      <c r="A1851" s="1">
        <v>45221.769444444442</v>
      </c>
      <c r="B1851" t="s">
        <v>714</v>
      </c>
      <c r="C1851" t="str">
        <f>_xlfn.XLOOKUP(B1851,Tableau13[ID_Antenne],Tableau13[Province_RDC],"Non répertoriées")</f>
        <v>Non répertoriées</v>
      </c>
      <c r="D1851">
        <v>75</v>
      </c>
      <c r="E1851" t="str">
        <f>_xlfn.XLOOKUP(B1851,Tableau13[ID_Antenne],Tableau13[Technologie],"Non répertoriées")</f>
        <v>Non répertoriées</v>
      </c>
      <c r="F1851" t="str">
        <f>_xlfn.XLOOKUP(B1851,Tableau13[ID_Antenne],Tableau13[Latitude],"Non répertoriées")</f>
        <v>Non répertoriées</v>
      </c>
      <c r="G1851" t="str">
        <f>_xlfn.XLOOKUP(B1851,Tableau13[ID_Antenne],Tableau13[Longitude],"Non répertoriées")</f>
        <v>Non répertoriées</v>
      </c>
      <c r="H1851" t="s">
        <v>8</v>
      </c>
    </row>
    <row r="1852" spans="1:8" x14ac:dyDescent="0.25">
      <c r="A1852" s="1">
        <v>45214.40902777778</v>
      </c>
      <c r="B1852" t="s">
        <v>397</v>
      </c>
      <c r="C1852" t="str">
        <f>_xlfn.XLOOKUP(B1852,Tableau13[ID_Antenne],Tableau13[Province_RDC],"Non répertoriées")</f>
        <v>Non répertoriées</v>
      </c>
      <c r="D1852">
        <v>65</v>
      </c>
      <c r="E1852" t="str">
        <f>_xlfn.XLOOKUP(B1852,Tableau13[ID_Antenne],Tableau13[Technologie],"Non répertoriées")</f>
        <v>Non répertoriées</v>
      </c>
      <c r="F1852" t="str">
        <f>_xlfn.XLOOKUP(B1852,Tableau13[ID_Antenne],Tableau13[Latitude],"Non répertoriées")</f>
        <v>Non répertoriées</v>
      </c>
      <c r="G1852" t="str">
        <f>_xlfn.XLOOKUP(B1852,Tableau13[ID_Antenne],Tableau13[Longitude],"Non répertoriées")</f>
        <v>Non répertoriées</v>
      </c>
      <c r="H1852" t="s">
        <v>10</v>
      </c>
    </row>
    <row r="1853" spans="1:8" x14ac:dyDescent="0.25">
      <c r="A1853" s="1">
        <v>45212.689583333333</v>
      </c>
      <c r="B1853" t="s">
        <v>729</v>
      </c>
      <c r="C1853" t="str">
        <f>_xlfn.XLOOKUP(B1853,Tableau13[ID_Antenne],Tableau13[Province_RDC],"Non répertoriées")</f>
        <v>Non répertoriées</v>
      </c>
      <c r="D1853">
        <v>101</v>
      </c>
      <c r="E1853" t="str">
        <f>_xlfn.XLOOKUP(B1853,Tableau13[ID_Antenne],Tableau13[Technologie],"Non répertoriées")</f>
        <v>Non répertoriées</v>
      </c>
      <c r="F1853" t="str">
        <f>_xlfn.XLOOKUP(B1853,Tableau13[ID_Antenne],Tableau13[Latitude],"Non répertoriées")</f>
        <v>Non répertoriées</v>
      </c>
      <c r="G1853" t="str">
        <f>_xlfn.XLOOKUP(B1853,Tableau13[ID_Antenne],Tableau13[Longitude],"Non répertoriées")</f>
        <v>Non répertoriées</v>
      </c>
      <c r="H1853" t="s">
        <v>5</v>
      </c>
    </row>
    <row r="1854" spans="1:8" x14ac:dyDescent="0.25">
      <c r="A1854" s="1">
        <v>45213.244444444441</v>
      </c>
      <c r="B1854" t="s">
        <v>202</v>
      </c>
      <c r="C1854" t="str">
        <f>_xlfn.XLOOKUP(B1854,Tableau13[ID_Antenne],Tableau13[Province_RDC],"Non répertoriées")</f>
        <v>Non répertoriées</v>
      </c>
      <c r="D1854">
        <v>73</v>
      </c>
      <c r="E1854" t="str">
        <f>_xlfn.XLOOKUP(B1854,Tableau13[ID_Antenne],Tableau13[Technologie],"Non répertoriées")</f>
        <v>Non répertoriées</v>
      </c>
      <c r="F1854" t="str">
        <f>_xlfn.XLOOKUP(B1854,Tableau13[ID_Antenne],Tableau13[Latitude],"Non répertoriées")</f>
        <v>Non répertoriées</v>
      </c>
      <c r="G1854" t="str">
        <f>_xlfn.XLOOKUP(B1854,Tableau13[ID_Antenne],Tableau13[Longitude],"Non répertoriées")</f>
        <v>Non répertoriées</v>
      </c>
      <c r="H1854" t="s">
        <v>10</v>
      </c>
    </row>
    <row r="1855" spans="1:8" x14ac:dyDescent="0.25">
      <c r="A1855" s="1">
        <v>45206.797222222223</v>
      </c>
      <c r="B1855" t="s">
        <v>220</v>
      </c>
      <c r="C1855" s="29" t="str">
        <f>_xlfn.XLOOKUP(B1855,Tableau13[ID_Antenne],Tableau13[Province_RDC],"Non répertoriées")</f>
        <v>Haut-Lomami</v>
      </c>
      <c r="D1855">
        <v>107</v>
      </c>
      <c r="E1855" s="31" t="str">
        <f>_xlfn.XLOOKUP(B1855,Tableau13[ID_Antenne],Tableau13[Technologie],"Non répertoriées")</f>
        <v>4G</v>
      </c>
      <c r="F1855" s="3">
        <f>_xlfn.XLOOKUP(B1855,Tableau13[ID_Antenne],Tableau13[Latitude],"Non répertoriées")</f>
        <v>-6.3324319999999998</v>
      </c>
      <c r="G1855" s="32">
        <f>_xlfn.XLOOKUP(B1855,Tableau13[ID_Antenne],Tableau13[Longitude],"Non répertoriées")</f>
        <v>24.887858000000001</v>
      </c>
      <c r="H1855" t="s">
        <v>8</v>
      </c>
    </row>
    <row r="1856" spans="1:8" x14ac:dyDescent="0.25">
      <c r="A1856" s="1">
        <v>45227.335416666669</v>
      </c>
      <c r="B1856" t="s">
        <v>585</v>
      </c>
      <c r="C1856" t="str">
        <f>_xlfn.XLOOKUP(B1856,Tableau13[ID_Antenne],Tableau13[Province_RDC],"Non répertoriées")</f>
        <v>Non répertoriées</v>
      </c>
      <c r="D1856">
        <v>90</v>
      </c>
      <c r="E1856" t="str">
        <f>_xlfn.XLOOKUP(B1856,Tableau13[ID_Antenne],Tableau13[Technologie],"Non répertoriées")</f>
        <v>Non répertoriées</v>
      </c>
      <c r="F1856" t="str">
        <f>_xlfn.XLOOKUP(B1856,Tableau13[ID_Antenne],Tableau13[Latitude],"Non répertoriées")</f>
        <v>Non répertoriées</v>
      </c>
      <c r="G1856" t="str">
        <f>_xlfn.XLOOKUP(B1856,Tableau13[ID_Antenne],Tableau13[Longitude],"Non répertoriées")</f>
        <v>Non répertoriées</v>
      </c>
      <c r="H1856" t="s">
        <v>8</v>
      </c>
    </row>
    <row r="1857" spans="1:8" x14ac:dyDescent="0.25">
      <c r="A1857" s="1">
        <v>45220.663194444453</v>
      </c>
      <c r="B1857" t="s">
        <v>441</v>
      </c>
      <c r="C1857" s="29" t="str">
        <f>_xlfn.XLOOKUP(B1857,Tableau13[ID_Antenne],Tableau13[Province_RDC],"Non répertoriées")</f>
        <v>Kongo-Central</v>
      </c>
      <c r="D1857">
        <v>110</v>
      </c>
      <c r="E1857" s="31" t="str">
        <f>_xlfn.XLOOKUP(B1857,Tableau13[ID_Antenne],Tableau13[Technologie],"Non répertoriées")</f>
        <v>5G</v>
      </c>
      <c r="F1857" s="3">
        <f>_xlfn.XLOOKUP(B1857,Tableau13[ID_Antenne],Tableau13[Latitude],"Non répertoriées")</f>
        <v>-11.157245</v>
      </c>
      <c r="G1857" s="32">
        <f>_xlfn.XLOOKUP(B1857,Tableau13[ID_Antenne],Tableau13[Longitude],"Non répertoriées")</f>
        <v>21.262627999999999</v>
      </c>
      <c r="H1857" t="s">
        <v>8</v>
      </c>
    </row>
    <row r="1858" spans="1:8" x14ac:dyDescent="0.25">
      <c r="A1858" s="1">
        <v>45211.749305555553</v>
      </c>
      <c r="B1858" t="s">
        <v>712</v>
      </c>
      <c r="C1858" s="29" t="str">
        <f>_xlfn.XLOOKUP(B1858,Tableau13[ID_Antenne],Tableau13[Province_RDC],"Non répertoriées")</f>
        <v>Tanganyika</v>
      </c>
      <c r="D1858">
        <v>32</v>
      </c>
      <c r="E1858" s="31" t="str">
        <f>_xlfn.XLOOKUP(B1858,Tableau13[ID_Antenne],Tableau13[Technologie],"Non répertoriées")</f>
        <v>5G</v>
      </c>
      <c r="F1858" s="3">
        <f>_xlfn.XLOOKUP(B1858,Tableau13[ID_Antenne],Tableau13[Latitude],"Non répertoriées")</f>
        <v>-12.824638999999999</v>
      </c>
      <c r="G1858" s="32">
        <f>_xlfn.XLOOKUP(B1858,Tableau13[ID_Antenne],Tableau13[Longitude],"Non répertoriées")</f>
        <v>24.407249</v>
      </c>
      <c r="H1858" t="s">
        <v>5</v>
      </c>
    </row>
    <row r="1859" spans="1:8" x14ac:dyDescent="0.25">
      <c r="A1859" s="1">
        <v>45203.95416666667</v>
      </c>
      <c r="B1859" t="s">
        <v>255</v>
      </c>
      <c r="C1859" t="str">
        <f>_xlfn.XLOOKUP(B1859,Tableau13[ID_Antenne],Tableau13[Province_RDC],"Non répertoriées")</f>
        <v>Non répertoriées</v>
      </c>
      <c r="D1859">
        <v>102</v>
      </c>
      <c r="E1859" t="str">
        <f>_xlfn.XLOOKUP(B1859,Tableau13[ID_Antenne],Tableau13[Technologie],"Non répertoriées")</f>
        <v>Non répertoriées</v>
      </c>
      <c r="F1859" t="str">
        <f>_xlfn.XLOOKUP(B1859,Tableau13[ID_Antenne],Tableau13[Latitude],"Non répertoriées")</f>
        <v>Non répertoriées</v>
      </c>
      <c r="G1859" t="str">
        <f>_xlfn.XLOOKUP(B1859,Tableau13[ID_Antenne],Tableau13[Longitude],"Non répertoriées")</f>
        <v>Non répertoriées</v>
      </c>
      <c r="H1859" t="s">
        <v>5</v>
      </c>
    </row>
    <row r="1860" spans="1:8" x14ac:dyDescent="0.25">
      <c r="A1860" s="1">
        <v>45216.137499999997</v>
      </c>
      <c r="B1860" t="s">
        <v>685</v>
      </c>
      <c r="C1860" t="str">
        <f>_xlfn.XLOOKUP(B1860,Tableau13[ID_Antenne],Tableau13[Province_RDC],"Non répertoriées")</f>
        <v>Non répertoriées</v>
      </c>
      <c r="D1860">
        <v>36</v>
      </c>
      <c r="E1860" t="str">
        <f>_xlfn.XLOOKUP(B1860,Tableau13[ID_Antenne],Tableau13[Technologie],"Non répertoriées")</f>
        <v>Non répertoriées</v>
      </c>
      <c r="F1860" t="str">
        <f>_xlfn.XLOOKUP(B1860,Tableau13[ID_Antenne],Tableau13[Latitude],"Non répertoriées")</f>
        <v>Non répertoriées</v>
      </c>
      <c r="G1860" t="str">
        <f>_xlfn.XLOOKUP(B1860,Tableau13[ID_Antenne],Tableau13[Longitude],"Non répertoriées")</f>
        <v>Non répertoriées</v>
      </c>
      <c r="H1860" t="s">
        <v>10</v>
      </c>
    </row>
    <row r="1861" spans="1:8" x14ac:dyDescent="0.25">
      <c r="A1861" s="1">
        <v>45202.220138888893</v>
      </c>
      <c r="B1861" t="s">
        <v>588</v>
      </c>
      <c r="C1861" t="str">
        <f>_xlfn.XLOOKUP(B1861,Tableau13[ID_Antenne],Tableau13[Province_RDC],"Non répertoriées")</f>
        <v>Non répertoriées</v>
      </c>
      <c r="D1861">
        <v>92</v>
      </c>
      <c r="E1861" t="str">
        <f>_xlfn.XLOOKUP(B1861,Tableau13[ID_Antenne],Tableau13[Technologie],"Non répertoriées")</f>
        <v>Non répertoriées</v>
      </c>
      <c r="F1861" t="str">
        <f>_xlfn.XLOOKUP(B1861,Tableau13[ID_Antenne],Tableau13[Latitude],"Non répertoriées")</f>
        <v>Non répertoriées</v>
      </c>
      <c r="G1861" t="str">
        <f>_xlfn.XLOOKUP(B1861,Tableau13[ID_Antenne],Tableau13[Longitude],"Non répertoriées")</f>
        <v>Non répertoriées</v>
      </c>
      <c r="H1861" t="s">
        <v>5</v>
      </c>
    </row>
    <row r="1862" spans="1:8" x14ac:dyDescent="0.25">
      <c r="A1862" s="1">
        <v>45214.67291666667</v>
      </c>
      <c r="B1862" t="s">
        <v>496</v>
      </c>
      <c r="C1862" t="str">
        <f>_xlfn.XLOOKUP(B1862,Tableau13[ID_Antenne],Tableau13[Province_RDC],"Non répertoriées")</f>
        <v>Non répertoriées</v>
      </c>
      <c r="D1862">
        <v>101</v>
      </c>
      <c r="E1862" t="str">
        <f>_xlfn.XLOOKUP(B1862,Tableau13[ID_Antenne],Tableau13[Technologie],"Non répertoriées")</f>
        <v>Non répertoriées</v>
      </c>
      <c r="F1862" t="str">
        <f>_xlfn.XLOOKUP(B1862,Tableau13[ID_Antenne],Tableau13[Latitude],"Non répertoriées")</f>
        <v>Non répertoriées</v>
      </c>
      <c r="G1862" t="str">
        <f>_xlfn.XLOOKUP(B1862,Tableau13[ID_Antenne],Tableau13[Longitude],"Non répertoriées")</f>
        <v>Non répertoriées</v>
      </c>
      <c r="H1862" t="s">
        <v>5</v>
      </c>
    </row>
    <row r="1863" spans="1:8" x14ac:dyDescent="0.25">
      <c r="A1863" s="1">
        <v>45226.545138888891</v>
      </c>
      <c r="B1863" t="s">
        <v>270</v>
      </c>
      <c r="C1863" t="str">
        <f>_xlfn.XLOOKUP(B1863,Tableau13[ID_Antenne],Tableau13[Province_RDC],"Non répertoriées")</f>
        <v>Non répertoriées</v>
      </c>
      <c r="D1863">
        <v>81</v>
      </c>
      <c r="E1863" t="str">
        <f>_xlfn.XLOOKUP(B1863,Tableau13[ID_Antenne],Tableau13[Technologie],"Non répertoriées")</f>
        <v>Non répertoriées</v>
      </c>
      <c r="F1863" t="str">
        <f>_xlfn.XLOOKUP(B1863,Tableau13[ID_Antenne],Tableau13[Latitude],"Non répertoriées")</f>
        <v>Non répertoriées</v>
      </c>
      <c r="G1863" t="str">
        <f>_xlfn.XLOOKUP(B1863,Tableau13[ID_Antenne],Tableau13[Longitude],"Non répertoriées")</f>
        <v>Non répertoriées</v>
      </c>
      <c r="H1863" t="s">
        <v>10</v>
      </c>
    </row>
    <row r="1864" spans="1:8" x14ac:dyDescent="0.25">
      <c r="A1864" s="1">
        <v>45230.327777777777</v>
      </c>
      <c r="B1864" t="s">
        <v>352</v>
      </c>
      <c r="C1864" t="str">
        <f>_xlfn.XLOOKUP(B1864,Tableau13[ID_Antenne],Tableau13[Province_RDC],"Non répertoriées")</f>
        <v>Non répertoriées</v>
      </c>
      <c r="D1864">
        <v>116</v>
      </c>
      <c r="E1864" t="str">
        <f>_xlfn.XLOOKUP(B1864,Tableau13[ID_Antenne],Tableau13[Technologie],"Non répertoriées")</f>
        <v>Non répertoriées</v>
      </c>
      <c r="F1864" t="str">
        <f>_xlfn.XLOOKUP(B1864,Tableau13[ID_Antenne],Tableau13[Latitude],"Non répertoriées")</f>
        <v>Non répertoriées</v>
      </c>
      <c r="G1864" t="str">
        <f>_xlfn.XLOOKUP(B1864,Tableau13[ID_Antenne],Tableau13[Longitude],"Non répertoriées")</f>
        <v>Non répertoriées</v>
      </c>
      <c r="H1864" t="s">
        <v>5</v>
      </c>
    </row>
    <row r="1865" spans="1:8" x14ac:dyDescent="0.25">
      <c r="A1865" s="1">
        <v>45214.499305555553</v>
      </c>
      <c r="B1865" t="s">
        <v>709</v>
      </c>
      <c r="C1865" t="str">
        <f>_xlfn.XLOOKUP(B1865,Tableau13[ID_Antenne],Tableau13[Province_RDC],"Non répertoriées")</f>
        <v>Non répertoriées</v>
      </c>
      <c r="D1865">
        <v>105</v>
      </c>
      <c r="E1865" t="str">
        <f>_xlfn.XLOOKUP(B1865,Tableau13[ID_Antenne],Tableau13[Technologie],"Non répertoriées")</f>
        <v>Non répertoriées</v>
      </c>
      <c r="F1865" t="str">
        <f>_xlfn.XLOOKUP(B1865,Tableau13[ID_Antenne],Tableau13[Latitude],"Non répertoriées")</f>
        <v>Non répertoriées</v>
      </c>
      <c r="G1865" t="str">
        <f>_xlfn.XLOOKUP(B1865,Tableau13[ID_Antenne],Tableau13[Longitude],"Non répertoriées")</f>
        <v>Non répertoriées</v>
      </c>
      <c r="H1865" t="s">
        <v>10</v>
      </c>
    </row>
    <row r="1866" spans="1:8" x14ac:dyDescent="0.25">
      <c r="A1866" s="1">
        <v>45200.543749999997</v>
      </c>
      <c r="B1866" t="s">
        <v>711</v>
      </c>
      <c r="C1866" s="29" t="str">
        <f>_xlfn.XLOOKUP(B1866,Tableau13[ID_Antenne],Tableau13[Province_RDC],"Non répertoriées")</f>
        <v>Lualaba</v>
      </c>
      <c r="D1866">
        <v>15</v>
      </c>
      <c r="E1866" s="31" t="str">
        <f>_xlfn.XLOOKUP(B1866,Tableau13[ID_Antenne],Tableau13[Technologie],"Non répertoriées")</f>
        <v>4G</v>
      </c>
      <c r="F1866" s="3">
        <f>_xlfn.XLOOKUP(B1866,Tableau13[ID_Antenne],Tableau13[Latitude],"Non répertoriées")</f>
        <v>-3.234483</v>
      </c>
      <c r="G1866" s="32">
        <f>_xlfn.XLOOKUP(B1866,Tableau13[ID_Antenne],Tableau13[Longitude],"Non répertoriées")</f>
        <v>13.241939</v>
      </c>
      <c r="H1866" t="s">
        <v>10</v>
      </c>
    </row>
    <row r="1867" spans="1:8" x14ac:dyDescent="0.25">
      <c r="A1867" s="1">
        <v>45212.682638888888</v>
      </c>
      <c r="B1867" t="s">
        <v>748</v>
      </c>
      <c r="C1867" t="str">
        <f>_xlfn.XLOOKUP(B1867,Tableau13[ID_Antenne],Tableau13[Province_RDC],"Non répertoriées")</f>
        <v>Non répertoriées</v>
      </c>
      <c r="D1867">
        <v>72</v>
      </c>
      <c r="E1867" t="str">
        <f>_xlfn.XLOOKUP(B1867,Tableau13[ID_Antenne],Tableau13[Technologie],"Non répertoriées")</f>
        <v>Non répertoriées</v>
      </c>
      <c r="F1867" t="str">
        <f>_xlfn.XLOOKUP(B1867,Tableau13[ID_Antenne],Tableau13[Latitude],"Non répertoriées")</f>
        <v>Non répertoriées</v>
      </c>
      <c r="G1867" t="str">
        <f>_xlfn.XLOOKUP(B1867,Tableau13[ID_Antenne],Tableau13[Longitude],"Non répertoriées")</f>
        <v>Non répertoriées</v>
      </c>
      <c r="H1867" t="s">
        <v>5</v>
      </c>
    </row>
    <row r="1868" spans="1:8" x14ac:dyDescent="0.25">
      <c r="A1868" s="1">
        <v>45207.503472222219</v>
      </c>
      <c r="B1868" t="s">
        <v>352</v>
      </c>
      <c r="C1868" t="str">
        <f>_xlfn.XLOOKUP(B1868,Tableau13[ID_Antenne],Tableau13[Province_RDC],"Non répertoriées")</f>
        <v>Non répertoriées</v>
      </c>
      <c r="D1868">
        <v>62</v>
      </c>
      <c r="E1868" t="str">
        <f>_xlfn.XLOOKUP(B1868,Tableau13[ID_Antenne],Tableau13[Technologie],"Non répertoriées")</f>
        <v>Non répertoriées</v>
      </c>
      <c r="F1868" t="str">
        <f>_xlfn.XLOOKUP(B1868,Tableau13[ID_Antenne],Tableau13[Latitude],"Non répertoriées")</f>
        <v>Non répertoriées</v>
      </c>
      <c r="G1868" t="str">
        <f>_xlfn.XLOOKUP(B1868,Tableau13[ID_Antenne],Tableau13[Longitude],"Non répertoriées")</f>
        <v>Non répertoriées</v>
      </c>
      <c r="H1868" t="s">
        <v>5</v>
      </c>
    </row>
    <row r="1869" spans="1:8" x14ac:dyDescent="0.25">
      <c r="A1869" s="1">
        <v>45211.292361111111</v>
      </c>
      <c r="B1869" t="s">
        <v>759</v>
      </c>
      <c r="C1869" t="str">
        <f>_xlfn.XLOOKUP(B1869,Tableau13[ID_Antenne],Tableau13[Province_RDC],"Non répertoriées")</f>
        <v>Non répertoriées</v>
      </c>
      <c r="D1869">
        <v>72</v>
      </c>
      <c r="E1869" t="str">
        <f>_xlfn.XLOOKUP(B1869,Tableau13[ID_Antenne],Tableau13[Technologie],"Non répertoriées")</f>
        <v>Non répertoriées</v>
      </c>
      <c r="F1869" t="str">
        <f>_xlfn.XLOOKUP(B1869,Tableau13[ID_Antenne],Tableau13[Latitude],"Non répertoriées")</f>
        <v>Non répertoriées</v>
      </c>
      <c r="G1869" t="str">
        <f>_xlfn.XLOOKUP(B1869,Tableau13[ID_Antenne],Tableau13[Longitude],"Non répertoriées")</f>
        <v>Non répertoriées</v>
      </c>
      <c r="H1869" t="s">
        <v>10</v>
      </c>
    </row>
    <row r="1870" spans="1:8" x14ac:dyDescent="0.25">
      <c r="A1870" s="1">
        <v>45210.161805555559</v>
      </c>
      <c r="B1870" t="s">
        <v>268</v>
      </c>
      <c r="C1870" t="str">
        <f>_xlfn.XLOOKUP(B1870,Tableau13[ID_Antenne],Tableau13[Province_RDC],"Non répertoriées")</f>
        <v>Non répertoriées</v>
      </c>
      <c r="D1870">
        <v>95</v>
      </c>
      <c r="E1870" t="str">
        <f>_xlfn.XLOOKUP(B1870,Tableau13[ID_Antenne],Tableau13[Technologie],"Non répertoriées")</f>
        <v>Non répertoriées</v>
      </c>
      <c r="F1870" t="str">
        <f>_xlfn.XLOOKUP(B1870,Tableau13[ID_Antenne],Tableau13[Latitude],"Non répertoriées")</f>
        <v>Non répertoriées</v>
      </c>
      <c r="G1870" t="str">
        <f>_xlfn.XLOOKUP(B1870,Tableau13[ID_Antenne],Tableau13[Longitude],"Non répertoriées")</f>
        <v>Non répertoriées</v>
      </c>
      <c r="H1870" t="s">
        <v>5</v>
      </c>
    </row>
    <row r="1871" spans="1:8" x14ac:dyDescent="0.25">
      <c r="A1871" s="1">
        <v>45222.847916666673</v>
      </c>
      <c r="B1871" t="s">
        <v>353</v>
      </c>
      <c r="C1871" t="str">
        <f>_xlfn.XLOOKUP(B1871,Tableau13[ID_Antenne],Tableau13[Province_RDC],"Non répertoriées")</f>
        <v>Non répertoriées</v>
      </c>
      <c r="D1871">
        <v>51</v>
      </c>
      <c r="E1871" t="str">
        <f>_xlfn.XLOOKUP(B1871,Tableau13[ID_Antenne],Tableau13[Technologie],"Non répertoriées")</f>
        <v>Non répertoriées</v>
      </c>
      <c r="F1871" t="str">
        <f>_xlfn.XLOOKUP(B1871,Tableau13[ID_Antenne],Tableau13[Latitude],"Non répertoriées")</f>
        <v>Non répertoriées</v>
      </c>
      <c r="G1871" t="str">
        <f>_xlfn.XLOOKUP(B1871,Tableau13[ID_Antenne],Tableau13[Longitude],"Non répertoriées")</f>
        <v>Non répertoriées</v>
      </c>
      <c r="H1871" t="s">
        <v>10</v>
      </c>
    </row>
    <row r="1872" spans="1:8" x14ac:dyDescent="0.25">
      <c r="A1872" s="1">
        <v>45225.172222222223</v>
      </c>
      <c r="B1872" t="s">
        <v>573</v>
      </c>
      <c r="C1872" s="29" t="str">
        <f>_xlfn.XLOOKUP(B1872,Tableau13[ID_Antenne],Tableau13[Province_RDC],"Non répertoriées")</f>
        <v>Haut-Lomami</v>
      </c>
      <c r="D1872">
        <v>14</v>
      </c>
      <c r="E1872" s="31" t="str">
        <f>_xlfn.XLOOKUP(B1872,Tableau13[ID_Antenne],Tableau13[Technologie],"Non répertoriées")</f>
        <v>3G</v>
      </c>
      <c r="F1872" s="3">
        <f>_xlfn.XLOOKUP(B1872,Tableau13[ID_Antenne],Tableau13[Latitude],"Non répertoriées")</f>
        <v>-11.89448</v>
      </c>
      <c r="G1872" s="32">
        <f>_xlfn.XLOOKUP(B1872,Tableau13[ID_Antenne],Tableau13[Longitude],"Non répertoriées")</f>
        <v>19.216214999999998</v>
      </c>
      <c r="H1872" t="s">
        <v>5</v>
      </c>
    </row>
    <row r="1873" spans="1:8" x14ac:dyDescent="0.25">
      <c r="A1873" s="1">
        <v>45201.415277777778</v>
      </c>
      <c r="B1873" t="s">
        <v>368</v>
      </c>
      <c r="C1873" s="29" t="str">
        <f>_xlfn.XLOOKUP(B1873,Tableau13[ID_Antenne],Tableau13[Province_RDC],"Non répertoriées")</f>
        <v>Sud-Ubangi</v>
      </c>
      <c r="D1873">
        <v>77</v>
      </c>
      <c r="E1873" s="31" t="str">
        <f>_xlfn.XLOOKUP(B1873,Tableau13[ID_Antenne],Tableau13[Technologie],"Non répertoriées")</f>
        <v>3G</v>
      </c>
      <c r="F1873" s="3">
        <f>_xlfn.XLOOKUP(B1873,Tableau13[ID_Antenne],Tableau13[Latitude],"Non répertoriées")</f>
        <v>-8.0864899999999995</v>
      </c>
      <c r="G1873" s="32">
        <f>_xlfn.XLOOKUP(B1873,Tableau13[ID_Antenne],Tableau13[Longitude],"Non répertoriées")</f>
        <v>14.555277</v>
      </c>
      <c r="H1873" t="s">
        <v>8</v>
      </c>
    </row>
    <row r="1874" spans="1:8" x14ac:dyDescent="0.25">
      <c r="A1874" s="1">
        <v>45226.655555555553</v>
      </c>
      <c r="B1874" t="s">
        <v>703</v>
      </c>
      <c r="C1874" t="str">
        <f>_xlfn.XLOOKUP(B1874,Tableau13[ID_Antenne],Tableau13[Province_RDC],"Non répertoriées")</f>
        <v>Non répertoriées</v>
      </c>
      <c r="D1874">
        <v>19</v>
      </c>
      <c r="E1874" t="str">
        <f>_xlfn.XLOOKUP(B1874,Tableau13[ID_Antenne],Tableau13[Technologie],"Non répertoriées")</f>
        <v>Non répertoriées</v>
      </c>
      <c r="F1874" t="str">
        <f>_xlfn.XLOOKUP(B1874,Tableau13[ID_Antenne],Tableau13[Latitude],"Non répertoriées")</f>
        <v>Non répertoriées</v>
      </c>
      <c r="G1874" t="str">
        <f>_xlfn.XLOOKUP(B1874,Tableau13[ID_Antenne],Tableau13[Longitude],"Non répertoriées")</f>
        <v>Non répertoriées</v>
      </c>
      <c r="H1874" t="s">
        <v>5</v>
      </c>
    </row>
    <row r="1875" spans="1:8" x14ac:dyDescent="0.25">
      <c r="A1875" s="1">
        <v>45226.2</v>
      </c>
      <c r="B1875" t="s">
        <v>638</v>
      </c>
      <c r="C1875" s="29" t="str">
        <f>_xlfn.XLOOKUP(B1875,Tableau13[ID_Antenne],Tableau13[Province_RDC],"Non répertoriées")</f>
        <v>Kasai-Central</v>
      </c>
      <c r="D1875">
        <v>12</v>
      </c>
      <c r="E1875" s="31" t="str">
        <f>_xlfn.XLOOKUP(B1875,Tableau13[ID_Antenne],Tableau13[Technologie],"Non répertoriées")</f>
        <v>5G</v>
      </c>
      <c r="F1875" s="3">
        <f>_xlfn.XLOOKUP(B1875,Tableau13[ID_Antenne],Tableau13[Latitude],"Non répertoriées")</f>
        <v>-8.0800809999999998</v>
      </c>
      <c r="G1875" s="32">
        <f>_xlfn.XLOOKUP(B1875,Tableau13[ID_Antenne],Tableau13[Longitude],"Non répertoriées")</f>
        <v>30.147970999999998</v>
      </c>
      <c r="H1875" t="s">
        <v>8</v>
      </c>
    </row>
    <row r="1876" spans="1:8" x14ac:dyDescent="0.25">
      <c r="A1876" s="1">
        <v>45222.644444444442</v>
      </c>
      <c r="B1876" t="s">
        <v>678</v>
      </c>
      <c r="C1876" t="str">
        <f>_xlfn.XLOOKUP(B1876,Tableau13[ID_Antenne],Tableau13[Province_RDC],"Non répertoriées")</f>
        <v>Non répertoriées</v>
      </c>
      <c r="D1876">
        <v>111</v>
      </c>
      <c r="E1876" t="str">
        <f>_xlfn.XLOOKUP(B1876,Tableau13[ID_Antenne],Tableau13[Technologie],"Non répertoriées")</f>
        <v>Non répertoriées</v>
      </c>
      <c r="F1876" t="str">
        <f>_xlfn.XLOOKUP(B1876,Tableau13[ID_Antenne],Tableau13[Latitude],"Non répertoriées")</f>
        <v>Non répertoriées</v>
      </c>
      <c r="G1876" t="str">
        <f>_xlfn.XLOOKUP(B1876,Tableau13[ID_Antenne],Tableau13[Longitude],"Non répertoriées")</f>
        <v>Non répertoriées</v>
      </c>
      <c r="H1876" t="s">
        <v>5</v>
      </c>
    </row>
    <row r="1877" spans="1:8" x14ac:dyDescent="0.25">
      <c r="A1877" s="1">
        <v>45219.039583333331</v>
      </c>
      <c r="B1877" t="s">
        <v>475</v>
      </c>
      <c r="C1877" s="29" t="str">
        <f>_xlfn.XLOOKUP(B1877,Tableau13[ID_Antenne],Tableau13[Province_RDC],"Non répertoriées")</f>
        <v>Ituri</v>
      </c>
      <c r="D1877">
        <v>75</v>
      </c>
      <c r="E1877" s="31" t="str">
        <f>_xlfn.XLOOKUP(B1877,Tableau13[ID_Antenne],Tableau13[Technologie],"Non répertoriées")</f>
        <v>4G</v>
      </c>
      <c r="F1877" s="3">
        <f>_xlfn.XLOOKUP(B1877,Tableau13[ID_Antenne],Tableau13[Latitude],"Non répertoriées")</f>
        <v>-12.595355</v>
      </c>
      <c r="G1877" s="32">
        <f>_xlfn.XLOOKUP(B1877,Tableau13[ID_Antenne],Tableau13[Longitude],"Non répertoriées")</f>
        <v>17.897442000000002</v>
      </c>
      <c r="H1877" t="s">
        <v>10</v>
      </c>
    </row>
    <row r="1878" spans="1:8" x14ac:dyDescent="0.25">
      <c r="A1878" s="1">
        <v>45202.011111111111</v>
      </c>
      <c r="B1878" t="s">
        <v>667</v>
      </c>
      <c r="C1878" s="29" t="str">
        <f>_xlfn.XLOOKUP(B1878,Tableau13[ID_Antenne],Tableau13[Province_RDC],"Non répertoriées")</f>
        <v>Tshopo</v>
      </c>
      <c r="D1878">
        <v>120</v>
      </c>
      <c r="E1878" s="31" t="str">
        <f>_xlfn.XLOOKUP(B1878,Tableau13[ID_Antenne],Tableau13[Technologie],"Non répertoriées")</f>
        <v>4G</v>
      </c>
      <c r="F1878" s="3">
        <f>_xlfn.XLOOKUP(B1878,Tableau13[ID_Antenne],Tableau13[Latitude],"Non répertoriées")</f>
        <v>-6.4670189999999996</v>
      </c>
      <c r="G1878" s="32">
        <f>_xlfn.XLOOKUP(B1878,Tableau13[ID_Antenne],Tableau13[Longitude],"Non répertoriées")</f>
        <v>29.487309</v>
      </c>
      <c r="H1878" t="s">
        <v>8</v>
      </c>
    </row>
    <row r="1879" spans="1:8" x14ac:dyDescent="0.25">
      <c r="A1879" s="1">
        <v>45206.190972222219</v>
      </c>
      <c r="B1879" t="s">
        <v>687</v>
      </c>
      <c r="C1879" s="29" t="str">
        <f>_xlfn.XLOOKUP(B1879,Tableau13[ID_Antenne],Tableau13[Province_RDC],"Non répertoriées")</f>
        <v>Sud-Kivu</v>
      </c>
      <c r="D1879">
        <v>69</v>
      </c>
      <c r="E1879" s="31" t="str">
        <f>_xlfn.XLOOKUP(B1879,Tableau13[ID_Antenne],Tableau13[Technologie],"Non répertoriées")</f>
        <v>3G</v>
      </c>
      <c r="F1879" s="3">
        <f>_xlfn.XLOOKUP(B1879,Tableau13[ID_Antenne],Tableau13[Latitude],"Non répertoriées")</f>
        <v>-3.6233270000000002</v>
      </c>
      <c r="G1879" s="32">
        <f>_xlfn.XLOOKUP(B1879,Tableau13[ID_Antenne],Tableau13[Longitude],"Non répertoriées")</f>
        <v>25.915645999999999</v>
      </c>
      <c r="H1879" t="s">
        <v>8</v>
      </c>
    </row>
    <row r="1880" spans="1:8" x14ac:dyDescent="0.25">
      <c r="A1880" s="1">
        <v>45230.984722222223</v>
      </c>
      <c r="B1880" t="s">
        <v>679</v>
      </c>
      <c r="C1880" t="str">
        <f>_xlfn.XLOOKUP(B1880,Tableau13[ID_Antenne],Tableau13[Province_RDC],"Non répertoriées")</f>
        <v>Non répertoriées</v>
      </c>
      <c r="D1880">
        <v>30</v>
      </c>
      <c r="E1880" t="str">
        <f>_xlfn.XLOOKUP(B1880,Tableau13[ID_Antenne],Tableau13[Technologie],"Non répertoriées")</f>
        <v>Non répertoriées</v>
      </c>
      <c r="F1880" t="str">
        <f>_xlfn.XLOOKUP(B1880,Tableau13[ID_Antenne],Tableau13[Latitude],"Non répertoriées")</f>
        <v>Non répertoriées</v>
      </c>
      <c r="G1880" t="str">
        <f>_xlfn.XLOOKUP(B1880,Tableau13[ID_Antenne],Tableau13[Longitude],"Non répertoriées")</f>
        <v>Non répertoriées</v>
      </c>
      <c r="H1880" t="s">
        <v>10</v>
      </c>
    </row>
    <row r="1881" spans="1:8" x14ac:dyDescent="0.25">
      <c r="A1881" s="1">
        <v>45216.546527777777</v>
      </c>
      <c r="B1881" t="s">
        <v>327</v>
      </c>
      <c r="C1881" s="29" t="str">
        <f>_xlfn.XLOOKUP(B1881,Tableau13[ID_Antenne],Tableau13[Province_RDC],"Non répertoriées")</f>
        <v>Nord-Kivu</v>
      </c>
      <c r="D1881">
        <v>78</v>
      </c>
      <c r="E1881" s="31" t="str">
        <f>_xlfn.XLOOKUP(B1881,Tableau13[ID_Antenne],Tableau13[Technologie],"Non répertoriées")</f>
        <v>3G</v>
      </c>
      <c r="F1881" s="3">
        <f>_xlfn.XLOOKUP(B1881,Tableau13[ID_Antenne],Tableau13[Latitude],"Non répertoriées")</f>
        <v>-6.5529849999999996</v>
      </c>
      <c r="G1881" s="32">
        <f>_xlfn.XLOOKUP(B1881,Tableau13[ID_Antenne],Tableau13[Longitude],"Non répertoriées")</f>
        <v>21.990606</v>
      </c>
      <c r="H1881" t="s">
        <v>8</v>
      </c>
    </row>
    <row r="1882" spans="1:8" x14ac:dyDescent="0.25">
      <c r="A1882" s="1">
        <v>45224.385416666657</v>
      </c>
      <c r="B1882" t="s">
        <v>753</v>
      </c>
      <c r="C1882" s="29" t="str">
        <f>_xlfn.XLOOKUP(B1882,Tableau13[ID_Antenne],Tableau13[Province_RDC],"Non répertoriées")</f>
        <v>Kinshasa</v>
      </c>
      <c r="D1882">
        <v>73</v>
      </c>
      <c r="E1882" s="31" t="str">
        <f>_xlfn.XLOOKUP(B1882,Tableau13[ID_Antenne],Tableau13[Technologie],"Non répertoriées")</f>
        <v>5G</v>
      </c>
      <c r="F1882" s="3">
        <f>_xlfn.XLOOKUP(B1882,Tableau13[ID_Antenne],Tableau13[Latitude],"Non répertoriées")</f>
        <v>1.217457</v>
      </c>
      <c r="G1882" s="32">
        <f>_xlfn.XLOOKUP(B1882,Tableau13[ID_Antenne],Tableau13[Longitude],"Non répertoriées")</f>
        <v>25.48668</v>
      </c>
      <c r="H1882" t="s">
        <v>5</v>
      </c>
    </row>
    <row r="1883" spans="1:8" x14ac:dyDescent="0.25">
      <c r="A1883" s="1">
        <v>45209.127083333333</v>
      </c>
      <c r="B1883" t="s">
        <v>265</v>
      </c>
      <c r="C1883" t="str">
        <f>_xlfn.XLOOKUP(B1883,Tableau13[ID_Antenne],Tableau13[Province_RDC],"Non répertoriées")</f>
        <v>Non répertoriées</v>
      </c>
      <c r="D1883">
        <v>24</v>
      </c>
      <c r="E1883" t="str">
        <f>_xlfn.XLOOKUP(B1883,Tableau13[ID_Antenne],Tableau13[Technologie],"Non répertoriées")</f>
        <v>Non répertoriées</v>
      </c>
      <c r="F1883" t="str">
        <f>_xlfn.XLOOKUP(B1883,Tableau13[ID_Antenne],Tableau13[Latitude],"Non répertoriées")</f>
        <v>Non répertoriées</v>
      </c>
      <c r="G1883" t="str">
        <f>_xlfn.XLOOKUP(B1883,Tableau13[ID_Antenne],Tableau13[Longitude],"Non répertoriées")</f>
        <v>Non répertoriées</v>
      </c>
      <c r="H1883" t="s">
        <v>10</v>
      </c>
    </row>
    <row r="1884" spans="1:8" x14ac:dyDescent="0.25">
      <c r="A1884" s="1">
        <v>45207.569444444453</v>
      </c>
      <c r="B1884" t="s">
        <v>353</v>
      </c>
      <c r="C1884" t="str">
        <f>_xlfn.XLOOKUP(B1884,Tableau13[ID_Antenne],Tableau13[Province_RDC],"Non répertoriées")</f>
        <v>Non répertoriées</v>
      </c>
      <c r="D1884">
        <v>26</v>
      </c>
      <c r="E1884" t="str">
        <f>_xlfn.XLOOKUP(B1884,Tableau13[ID_Antenne],Tableau13[Technologie],"Non répertoriées")</f>
        <v>Non répertoriées</v>
      </c>
      <c r="F1884" t="str">
        <f>_xlfn.XLOOKUP(B1884,Tableau13[ID_Antenne],Tableau13[Latitude],"Non répertoriées")</f>
        <v>Non répertoriées</v>
      </c>
      <c r="G1884" t="str">
        <f>_xlfn.XLOOKUP(B1884,Tableau13[ID_Antenne],Tableau13[Longitude],"Non répertoriées")</f>
        <v>Non répertoriées</v>
      </c>
      <c r="H1884" t="s">
        <v>8</v>
      </c>
    </row>
    <row r="1885" spans="1:8" x14ac:dyDescent="0.25">
      <c r="A1885" s="1">
        <v>45225.811805555553</v>
      </c>
      <c r="B1885" t="s">
        <v>671</v>
      </c>
      <c r="C1885" t="str">
        <f>_xlfn.XLOOKUP(B1885,Tableau13[ID_Antenne],Tableau13[Province_RDC],"Non répertoriées")</f>
        <v>Non répertoriées</v>
      </c>
      <c r="D1885">
        <v>46</v>
      </c>
      <c r="E1885" t="str">
        <f>_xlfn.XLOOKUP(B1885,Tableau13[ID_Antenne],Tableau13[Technologie],"Non répertoriées")</f>
        <v>Non répertoriées</v>
      </c>
      <c r="F1885" t="str">
        <f>_xlfn.XLOOKUP(B1885,Tableau13[ID_Antenne],Tableau13[Latitude],"Non répertoriées")</f>
        <v>Non répertoriées</v>
      </c>
      <c r="G1885" t="str">
        <f>_xlfn.XLOOKUP(B1885,Tableau13[ID_Antenne],Tableau13[Longitude],"Non répertoriées")</f>
        <v>Non répertoriées</v>
      </c>
      <c r="H1885" t="s">
        <v>5</v>
      </c>
    </row>
    <row r="1886" spans="1:8" x14ac:dyDescent="0.25">
      <c r="A1886" s="1">
        <v>45202.161805555559</v>
      </c>
      <c r="B1886" t="s">
        <v>702</v>
      </c>
      <c r="C1886" t="str">
        <f>_xlfn.XLOOKUP(B1886,Tableau13[ID_Antenne],Tableau13[Province_RDC],"Non répertoriées")</f>
        <v>Non répertoriées</v>
      </c>
      <c r="D1886">
        <v>114</v>
      </c>
      <c r="E1886" t="str">
        <f>_xlfn.XLOOKUP(B1886,Tableau13[ID_Antenne],Tableau13[Technologie],"Non répertoriées")</f>
        <v>Non répertoriées</v>
      </c>
      <c r="F1886" t="str">
        <f>_xlfn.XLOOKUP(B1886,Tableau13[ID_Antenne],Tableau13[Latitude],"Non répertoriées")</f>
        <v>Non répertoriées</v>
      </c>
      <c r="G1886" t="str">
        <f>_xlfn.XLOOKUP(B1886,Tableau13[ID_Antenne],Tableau13[Longitude],"Non répertoriées")</f>
        <v>Non répertoriées</v>
      </c>
      <c r="H1886" t="s">
        <v>8</v>
      </c>
    </row>
    <row r="1887" spans="1:8" x14ac:dyDescent="0.25">
      <c r="A1887" s="1">
        <v>45228.651388888888</v>
      </c>
      <c r="B1887" t="s">
        <v>442</v>
      </c>
      <c r="C1887" t="str">
        <f>_xlfn.XLOOKUP(B1887,Tableau13[ID_Antenne],Tableau13[Province_RDC],"Non répertoriées")</f>
        <v>Non répertoriées</v>
      </c>
      <c r="D1887">
        <v>71</v>
      </c>
      <c r="E1887" t="str">
        <f>_xlfn.XLOOKUP(B1887,Tableau13[ID_Antenne],Tableau13[Technologie],"Non répertoriées")</f>
        <v>Non répertoriées</v>
      </c>
      <c r="F1887" t="str">
        <f>_xlfn.XLOOKUP(B1887,Tableau13[ID_Antenne],Tableau13[Latitude],"Non répertoriées")</f>
        <v>Non répertoriées</v>
      </c>
      <c r="G1887" t="str">
        <f>_xlfn.XLOOKUP(B1887,Tableau13[ID_Antenne],Tableau13[Longitude],"Non répertoriées")</f>
        <v>Non répertoriées</v>
      </c>
      <c r="H1887" t="s">
        <v>10</v>
      </c>
    </row>
    <row r="1888" spans="1:8" x14ac:dyDescent="0.25">
      <c r="A1888" s="1">
        <v>45217.027777777781</v>
      </c>
      <c r="B1888" t="s">
        <v>588</v>
      </c>
      <c r="C1888" t="str">
        <f>_xlfn.XLOOKUP(B1888,Tableau13[ID_Antenne],Tableau13[Province_RDC],"Non répertoriées")</f>
        <v>Non répertoriées</v>
      </c>
      <c r="D1888">
        <v>61</v>
      </c>
      <c r="E1888" t="str">
        <f>_xlfn.XLOOKUP(B1888,Tableau13[ID_Antenne],Tableau13[Technologie],"Non répertoriées")</f>
        <v>Non répertoriées</v>
      </c>
      <c r="F1888" t="str">
        <f>_xlfn.XLOOKUP(B1888,Tableau13[ID_Antenne],Tableau13[Latitude],"Non répertoriées")</f>
        <v>Non répertoriées</v>
      </c>
      <c r="G1888" t="str">
        <f>_xlfn.XLOOKUP(B1888,Tableau13[ID_Antenne],Tableau13[Longitude],"Non répertoriées")</f>
        <v>Non répertoriées</v>
      </c>
      <c r="H1888" t="s">
        <v>5</v>
      </c>
    </row>
    <row r="1889" spans="1:8" x14ac:dyDescent="0.25">
      <c r="A1889" s="1">
        <v>45216.760416666657</v>
      </c>
      <c r="B1889" t="s">
        <v>212</v>
      </c>
      <c r="C1889" t="str">
        <f>_xlfn.XLOOKUP(B1889,Tableau13[ID_Antenne],Tableau13[Province_RDC],"Non répertoriées")</f>
        <v>Non répertoriées</v>
      </c>
      <c r="D1889">
        <v>19</v>
      </c>
      <c r="E1889" t="str">
        <f>_xlfn.XLOOKUP(B1889,Tableau13[ID_Antenne],Tableau13[Technologie],"Non répertoriées")</f>
        <v>Non répertoriées</v>
      </c>
      <c r="F1889" t="str">
        <f>_xlfn.XLOOKUP(B1889,Tableau13[ID_Antenne],Tableau13[Latitude],"Non répertoriées")</f>
        <v>Non répertoriées</v>
      </c>
      <c r="G1889" t="str">
        <f>_xlfn.XLOOKUP(B1889,Tableau13[ID_Antenne],Tableau13[Longitude],"Non répertoriées")</f>
        <v>Non répertoriées</v>
      </c>
      <c r="H1889" t="s">
        <v>5</v>
      </c>
    </row>
    <row r="1890" spans="1:8" x14ac:dyDescent="0.25">
      <c r="A1890" s="1">
        <v>45222.179166666669</v>
      </c>
      <c r="B1890" t="s">
        <v>92</v>
      </c>
      <c r="C1890" s="29" t="str">
        <f>_xlfn.XLOOKUP(B1890,Tableau13[ID_Antenne],Tableau13[Province_RDC],"Non répertoriées")</f>
        <v>Sud-Ubangi</v>
      </c>
      <c r="D1890">
        <v>92</v>
      </c>
      <c r="E1890" s="31" t="str">
        <f>_xlfn.XLOOKUP(B1890,Tableau13[ID_Antenne],Tableau13[Technologie],"Non répertoriées")</f>
        <v>5G</v>
      </c>
      <c r="F1890" s="3">
        <f>_xlfn.XLOOKUP(B1890,Tableau13[ID_Antenne],Tableau13[Latitude],"Non répertoriées")</f>
        <v>-9.3652239999999995</v>
      </c>
      <c r="G1890" s="32">
        <f>_xlfn.XLOOKUP(B1890,Tableau13[ID_Antenne],Tableau13[Longitude],"Non répertoriées")</f>
        <v>22.593423999999999</v>
      </c>
      <c r="H1890" t="s">
        <v>5</v>
      </c>
    </row>
    <row r="1891" spans="1:8" x14ac:dyDescent="0.25">
      <c r="A1891" s="1">
        <v>45213.027083333327</v>
      </c>
      <c r="B1891" t="s">
        <v>658</v>
      </c>
      <c r="C1891" s="29" t="str">
        <f>_xlfn.XLOOKUP(B1891,Tableau13[ID_Antenne],Tableau13[Province_RDC],"Non répertoriées")</f>
        <v>Kinshasa</v>
      </c>
      <c r="D1891">
        <v>31</v>
      </c>
      <c r="E1891" s="31" t="str">
        <f>_xlfn.XLOOKUP(B1891,Tableau13[ID_Antenne],Tableau13[Technologie],"Non répertoriées")</f>
        <v>3G</v>
      </c>
      <c r="F1891" s="3">
        <f>_xlfn.XLOOKUP(B1891,Tableau13[ID_Antenne],Tableau13[Latitude],"Non répertoriées")</f>
        <v>-10.227569000000001</v>
      </c>
      <c r="G1891" s="32">
        <f>_xlfn.XLOOKUP(B1891,Tableau13[ID_Antenne],Tableau13[Longitude],"Non répertoriées")</f>
        <v>18.887930999999998</v>
      </c>
      <c r="H1891" t="s">
        <v>10</v>
      </c>
    </row>
    <row r="1892" spans="1:8" x14ac:dyDescent="0.25">
      <c r="A1892" s="1">
        <v>45211.316666666673</v>
      </c>
      <c r="B1892" t="s">
        <v>345</v>
      </c>
      <c r="C1892" s="29" t="str">
        <f>_xlfn.XLOOKUP(B1892,Tableau13[ID_Antenne],Tableau13[Province_RDC],"Non répertoriées")</f>
        <v>Kasai</v>
      </c>
      <c r="D1892">
        <v>96</v>
      </c>
      <c r="E1892" s="31" t="str">
        <f>_xlfn.XLOOKUP(B1892,Tableau13[ID_Antenne],Tableau13[Technologie],"Non répertoriées")</f>
        <v>3G</v>
      </c>
      <c r="F1892" s="3">
        <f>_xlfn.XLOOKUP(B1892,Tableau13[ID_Antenne],Tableau13[Latitude],"Non répertoriées")</f>
        <v>4.8689660000000003</v>
      </c>
      <c r="G1892" s="32">
        <f>_xlfn.XLOOKUP(B1892,Tableau13[ID_Antenne],Tableau13[Longitude],"Non répertoriées")</f>
        <v>25.112373000000002</v>
      </c>
      <c r="H1892" t="s">
        <v>5</v>
      </c>
    </row>
    <row r="1893" spans="1:8" x14ac:dyDescent="0.25">
      <c r="A1893" s="1">
        <v>45213.237500000003</v>
      </c>
      <c r="B1893" t="s">
        <v>203</v>
      </c>
      <c r="C1893" t="str">
        <f>_xlfn.XLOOKUP(B1893,Tableau13[ID_Antenne],Tableau13[Province_RDC],"Non répertoriées")</f>
        <v>Non répertoriées</v>
      </c>
      <c r="D1893">
        <v>79</v>
      </c>
      <c r="E1893" t="str">
        <f>_xlfn.XLOOKUP(B1893,Tableau13[ID_Antenne],Tableau13[Technologie],"Non répertoriées")</f>
        <v>Non répertoriées</v>
      </c>
      <c r="F1893" t="str">
        <f>_xlfn.XLOOKUP(B1893,Tableau13[ID_Antenne],Tableau13[Latitude],"Non répertoriées")</f>
        <v>Non répertoriées</v>
      </c>
      <c r="G1893" t="str">
        <f>_xlfn.XLOOKUP(B1893,Tableau13[ID_Antenne],Tableau13[Longitude],"Non répertoriées")</f>
        <v>Non répertoriées</v>
      </c>
      <c r="H1893" t="s">
        <v>5</v>
      </c>
    </row>
    <row r="1894" spans="1:8" x14ac:dyDescent="0.25">
      <c r="A1894" s="1">
        <v>45221.106249999997</v>
      </c>
      <c r="B1894" t="s">
        <v>349</v>
      </c>
      <c r="C1894" t="str">
        <f>_xlfn.XLOOKUP(B1894,Tableau13[ID_Antenne],Tableau13[Province_RDC],"Non répertoriées")</f>
        <v>Non répertoriées</v>
      </c>
      <c r="D1894">
        <v>67</v>
      </c>
      <c r="E1894" t="str">
        <f>_xlfn.XLOOKUP(B1894,Tableau13[ID_Antenne],Tableau13[Technologie],"Non répertoriées")</f>
        <v>Non répertoriées</v>
      </c>
      <c r="F1894" t="str">
        <f>_xlfn.XLOOKUP(B1894,Tableau13[ID_Antenne],Tableau13[Latitude],"Non répertoriées")</f>
        <v>Non répertoriées</v>
      </c>
      <c r="G1894" t="str">
        <f>_xlfn.XLOOKUP(B1894,Tableau13[ID_Antenne],Tableau13[Longitude],"Non répertoriées")</f>
        <v>Non répertoriées</v>
      </c>
      <c r="H1894" t="s">
        <v>10</v>
      </c>
    </row>
    <row r="1895" spans="1:8" x14ac:dyDescent="0.25">
      <c r="A1895" s="1">
        <v>45211.106249999997</v>
      </c>
      <c r="B1895" t="s">
        <v>296</v>
      </c>
      <c r="C1895" t="str">
        <f>_xlfn.XLOOKUP(B1895,Tableau13[ID_Antenne],Tableau13[Province_RDC],"Non répertoriées")</f>
        <v>Non répertoriées</v>
      </c>
      <c r="D1895">
        <v>16</v>
      </c>
      <c r="E1895" t="str">
        <f>_xlfn.XLOOKUP(B1895,Tableau13[ID_Antenne],Tableau13[Technologie],"Non répertoriées")</f>
        <v>Non répertoriées</v>
      </c>
      <c r="F1895" t="str">
        <f>_xlfn.XLOOKUP(B1895,Tableau13[ID_Antenne],Tableau13[Latitude],"Non répertoriées")</f>
        <v>Non répertoriées</v>
      </c>
      <c r="G1895" t="str">
        <f>_xlfn.XLOOKUP(B1895,Tableau13[ID_Antenne],Tableau13[Longitude],"Non répertoriées")</f>
        <v>Non répertoriées</v>
      </c>
      <c r="H1895" t="s">
        <v>8</v>
      </c>
    </row>
    <row r="1896" spans="1:8" x14ac:dyDescent="0.25">
      <c r="A1896" s="1">
        <v>45217.701388888891</v>
      </c>
      <c r="B1896" t="s">
        <v>688</v>
      </c>
      <c r="C1896" t="str">
        <f>_xlfn.XLOOKUP(B1896,Tableau13[ID_Antenne],Tableau13[Province_RDC],"Non répertoriées")</f>
        <v>Non répertoriées</v>
      </c>
      <c r="D1896">
        <v>120</v>
      </c>
      <c r="E1896" t="str">
        <f>_xlfn.XLOOKUP(B1896,Tableau13[ID_Antenne],Tableau13[Technologie],"Non répertoriées")</f>
        <v>Non répertoriées</v>
      </c>
      <c r="F1896" t="str">
        <f>_xlfn.XLOOKUP(B1896,Tableau13[ID_Antenne],Tableau13[Latitude],"Non répertoriées")</f>
        <v>Non répertoriées</v>
      </c>
      <c r="G1896" t="str">
        <f>_xlfn.XLOOKUP(B1896,Tableau13[ID_Antenne],Tableau13[Longitude],"Non répertoriées")</f>
        <v>Non répertoriées</v>
      </c>
      <c r="H1896" t="s">
        <v>8</v>
      </c>
    </row>
    <row r="1897" spans="1:8" x14ac:dyDescent="0.25">
      <c r="A1897" s="1">
        <v>45216.709027777782</v>
      </c>
      <c r="B1897" t="s">
        <v>604</v>
      </c>
      <c r="C1897" s="29" t="str">
        <f>_xlfn.XLOOKUP(B1897,Tableau13[ID_Antenne],Tableau13[Province_RDC],"Non répertoriées")</f>
        <v>Maniema</v>
      </c>
      <c r="D1897">
        <v>70</v>
      </c>
      <c r="E1897" s="31" t="str">
        <f>_xlfn.XLOOKUP(B1897,Tableau13[ID_Antenne],Tableau13[Technologie],"Non répertoriées")</f>
        <v>4G</v>
      </c>
      <c r="F1897" s="3">
        <f>_xlfn.XLOOKUP(B1897,Tableau13[ID_Antenne],Tableau13[Latitude],"Non répertoriées")</f>
        <v>-10.650321</v>
      </c>
      <c r="G1897" s="32">
        <f>_xlfn.XLOOKUP(B1897,Tableau13[ID_Antenne],Tableau13[Longitude],"Non répertoriées")</f>
        <v>15.917044000000001</v>
      </c>
      <c r="H1897" t="s">
        <v>8</v>
      </c>
    </row>
    <row r="1898" spans="1:8" x14ac:dyDescent="0.25">
      <c r="A1898" s="1">
        <v>45212.626388888893</v>
      </c>
      <c r="B1898" t="s">
        <v>676</v>
      </c>
      <c r="C1898" t="str">
        <f>_xlfn.XLOOKUP(B1898,Tableau13[ID_Antenne],Tableau13[Province_RDC],"Non répertoriées")</f>
        <v>Non répertoriées</v>
      </c>
      <c r="D1898">
        <v>62</v>
      </c>
      <c r="E1898" t="str">
        <f>_xlfn.XLOOKUP(B1898,Tableau13[ID_Antenne],Tableau13[Technologie],"Non répertoriées")</f>
        <v>Non répertoriées</v>
      </c>
      <c r="F1898" t="str">
        <f>_xlfn.XLOOKUP(B1898,Tableau13[ID_Antenne],Tableau13[Latitude],"Non répertoriées")</f>
        <v>Non répertoriées</v>
      </c>
      <c r="G1898" t="str">
        <f>_xlfn.XLOOKUP(B1898,Tableau13[ID_Antenne],Tableau13[Longitude],"Non répertoriées")</f>
        <v>Non répertoriées</v>
      </c>
      <c r="H1898" t="s">
        <v>8</v>
      </c>
    </row>
    <row r="1899" spans="1:8" x14ac:dyDescent="0.25">
      <c r="A1899" s="1">
        <v>45220.515972222223</v>
      </c>
      <c r="B1899" t="s">
        <v>421</v>
      </c>
      <c r="C1899" s="29" t="str">
        <f>_xlfn.XLOOKUP(B1899,Tableau13[ID_Antenne],Tableau13[Province_RDC],"Non répertoriées")</f>
        <v>Nord-Ubangi</v>
      </c>
      <c r="D1899">
        <v>108</v>
      </c>
      <c r="E1899" s="31" t="str">
        <f>_xlfn.XLOOKUP(B1899,Tableau13[ID_Antenne],Tableau13[Technologie],"Non répertoriées")</f>
        <v>3G</v>
      </c>
      <c r="F1899" s="3">
        <f>_xlfn.XLOOKUP(B1899,Tableau13[ID_Antenne],Tableau13[Latitude],"Non répertoriées")</f>
        <v>8.5490999999999998E-2</v>
      </c>
      <c r="G1899" s="32">
        <f>_xlfn.XLOOKUP(B1899,Tableau13[ID_Antenne],Tableau13[Longitude],"Non répertoriées")</f>
        <v>26.296129000000001</v>
      </c>
      <c r="H1899" t="s">
        <v>8</v>
      </c>
    </row>
    <row r="1900" spans="1:8" x14ac:dyDescent="0.25">
      <c r="A1900" s="1">
        <v>45208.959027777782</v>
      </c>
      <c r="B1900" t="s">
        <v>138</v>
      </c>
      <c r="C1900" s="29" t="str">
        <f>_xlfn.XLOOKUP(B1900,Tableau13[ID_Antenne],Tableau13[Province_RDC],"Non répertoriées")</f>
        <v>Mai-Ndombe</v>
      </c>
      <c r="D1900">
        <v>12</v>
      </c>
      <c r="E1900" s="31" t="str">
        <f>_xlfn.XLOOKUP(B1900,Tableau13[ID_Antenne],Tableau13[Technologie],"Non répertoriées")</f>
        <v>4G</v>
      </c>
      <c r="F1900" s="3">
        <f>_xlfn.XLOOKUP(B1900,Tableau13[ID_Antenne],Tableau13[Latitude],"Non répertoriées")</f>
        <v>-1.607639</v>
      </c>
      <c r="G1900" s="32">
        <f>_xlfn.XLOOKUP(B1900,Tableau13[ID_Antenne],Tableau13[Longitude],"Non répertoriées")</f>
        <v>17.003636</v>
      </c>
      <c r="H1900" t="s">
        <v>10</v>
      </c>
    </row>
    <row r="1901" spans="1:8" x14ac:dyDescent="0.25">
      <c r="A1901" s="1">
        <v>45211.098611111112</v>
      </c>
      <c r="B1901" t="s">
        <v>368</v>
      </c>
      <c r="C1901" s="29" t="str">
        <f>_xlfn.XLOOKUP(B1901,Tableau13[ID_Antenne],Tableau13[Province_RDC],"Non répertoriées")</f>
        <v>Sud-Ubangi</v>
      </c>
      <c r="D1901">
        <v>63</v>
      </c>
      <c r="E1901" s="31" t="str">
        <f>_xlfn.XLOOKUP(B1901,Tableau13[ID_Antenne],Tableau13[Technologie],"Non répertoriées")</f>
        <v>3G</v>
      </c>
      <c r="F1901" s="3">
        <f>_xlfn.XLOOKUP(B1901,Tableau13[ID_Antenne],Tableau13[Latitude],"Non répertoriées")</f>
        <v>-8.0864899999999995</v>
      </c>
      <c r="G1901" s="32">
        <f>_xlfn.XLOOKUP(B1901,Tableau13[ID_Antenne],Tableau13[Longitude],"Non répertoriées")</f>
        <v>14.555277</v>
      </c>
      <c r="H1901" t="s">
        <v>8</v>
      </c>
    </row>
    <row r="1902" spans="1:8" x14ac:dyDescent="0.25">
      <c r="A1902" s="1">
        <v>45207.987500000003</v>
      </c>
      <c r="B1902" t="s">
        <v>464</v>
      </c>
      <c r="C1902" s="29" t="str">
        <f>_xlfn.XLOOKUP(B1902,Tableau13[ID_Antenne],Tableau13[Province_RDC],"Non répertoriées")</f>
        <v>Haut-Uele</v>
      </c>
      <c r="D1902">
        <v>21</v>
      </c>
      <c r="E1902" s="31" t="str">
        <f>_xlfn.XLOOKUP(B1902,Tableau13[ID_Antenne],Tableau13[Technologie],"Non répertoriées")</f>
        <v>5G</v>
      </c>
      <c r="F1902" s="3">
        <f>_xlfn.XLOOKUP(B1902,Tableau13[ID_Antenne],Tableau13[Latitude],"Non répertoriées")</f>
        <v>1.2391989999999999</v>
      </c>
      <c r="G1902" s="32">
        <f>_xlfn.XLOOKUP(B1902,Tableau13[ID_Antenne],Tableau13[Longitude],"Non répertoriées")</f>
        <v>15.386718999999999</v>
      </c>
      <c r="H1902" t="s">
        <v>10</v>
      </c>
    </row>
    <row r="1903" spans="1:8" x14ac:dyDescent="0.25">
      <c r="A1903" s="1">
        <v>45220.15902777778</v>
      </c>
      <c r="B1903" t="s">
        <v>696</v>
      </c>
      <c r="C1903" t="str">
        <f>_xlfn.XLOOKUP(B1903,Tableau13[ID_Antenne],Tableau13[Province_RDC],"Non répertoriées")</f>
        <v>Non répertoriées</v>
      </c>
      <c r="D1903">
        <v>70</v>
      </c>
      <c r="E1903" t="str">
        <f>_xlfn.XLOOKUP(B1903,Tableau13[ID_Antenne],Tableau13[Technologie],"Non répertoriées")</f>
        <v>Non répertoriées</v>
      </c>
      <c r="F1903" t="str">
        <f>_xlfn.XLOOKUP(B1903,Tableau13[ID_Antenne],Tableau13[Latitude],"Non répertoriées")</f>
        <v>Non répertoriées</v>
      </c>
      <c r="G1903" t="str">
        <f>_xlfn.XLOOKUP(B1903,Tableau13[ID_Antenne],Tableau13[Longitude],"Non répertoriées")</f>
        <v>Non répertoriées</v>
      </c>
      <c r="H1903" t="s">
        <v>10</v>
      </c>
    </row>
    <row r="1904" spans="1:8" x14ac:dyDescent="0.25">
      <c r="A1904" s="1">
        <v>45218.991666666669</v>
      </c>
      <c r="B1904" t="s">
        <v>688</v>
      </c>
      <c r="C1904" t="str">
        <f>_xlfn.XLOOKUP(B1904,Tableau13[ID_Antenne],Tableau13[Province_RDC],"Non répertoriées")</f>
        <v>Non répertoriées</v>
      </c>
      <c r="D1904">
        <v>58</v>
      </c>
      <c r="E1904" t="str">
        <f>_xlfn.XLOOKUP(B1904,Tableau13[ID_Antenne],Tableau13[Technologie],"Non répertoriées")</f>
        <v>Non répertoriées</v>
      </c>
      <c r="F1904" t="str">
        <f>_xlfn.XLOOKUP(B1904,Tableau13[ID_Antenne],Tableau13[Latitude],"Non répertoriées")</f>
        <v>Non répertoriées</v>
      </c>
      <c r="G1904" t="str">
        <f>_xlfn.XLOOKUP(B1904,Tableau13[ID_Antenne],Tableau13[Longitude],"Non répertoriées")</f>
        <v>Non répertoriées</v>
      </c>
      <c r="H1904" t="s">
        <v>5</v>
      </c>
    </row>
    <row r="1905" spans="1:8" x14ac:dyDescent="0.25">
      <c r="A1905" s="1">
        <v>45210.168055555558</v>
      </c>
      <c r="B1905" t="s">
        <v>186</v>
      </c>
      <c r="C1905" s="29" t="str">
        <f>_xlfn.XLOOKUP(B1905,Tableau13[ID_Antenne],Tableau13[Province_RDC],"Non répertoriées")</f>
        <v>Mai-Ndombe</v>
      </c>
      <c r="D1905">
        <v>63</v>
      </c>
      <c r="E1905" s="31" t="str">
        <f>_xlfn.XLOOKUP(B1905,Tableau13[ID_Antenne],Tableau13[Technologie],"Non répertoriées")</f>
        <v>4G</v>
      </c>
      <c r="F1905" s="3">
        <f>_xlfn.XLOOKUP(B1905,Tableau13[ID_Antenne],Tableau13[Latitude],"Non répertoriées")</f>
        <v>-9.3652280000000001</v>
      </c>
      <c r="G1905" s="32">
        <f>_xlfn.XLOOKUP(B1905,Tableau13[ID_Antenne],Tableau13[Longitude],"Non répertoriées")</f>
        <v>18.674116000000001</v>
      </c>
      <c r="H1905" t="s">
        <v>5</v>
      </c>
    </row>
    <row r="1906" spans="1:8" x14ac:dyDescent="0.25">
      <c r="A1906" s="1">
        <v>45211.722916666673</v>
      </c>
      <c r="B1906" t="s">
        <v>20</v>
      </c>
      <c r="C1906" t="str">
        <f>_xlfn.XLOOKUP(B1906,Tableau13[ID_Antenne],Tableau13[Province_RDC],"Non répertoriées")</f>
        <v>Non répertoriées</v>
      </c>
      <c r="D1906">
        <v>77</v>
      </c>
      <c r="E1906" t="str">
        <f>_xlfn.XLOOKUP(B1906,Tableau13[ID_Antenne],Tableau13[Technologie],"Non répertoriées")</f>
        <v>Non répertoriées</v>
      </c>
      <c r="F1906" t="str">
        <f>_xlfn.XLOOKUP(B1906,Tableau13[ID_Antenne],Tableau13[Latitude],"Non répertoriées")</f>
        <v>Non répertoriées</v>
      </c>
      <c r="G1906" t="str">
        <f>_xlfn.XLOOKUP(B1906,Tableau13[ID_Antenne],Tableau13[Longitude],"Non répertoriées")</f>
        <v>Non répertoriées</v>
      </c>
      <c r="H1906" t="s">
        <v>5</v>
      </c>
    </row>
    <row r="1907" spans="1:8" x14ac:dyDescent="0.25">
      <c r="A1907" s="1">
        <v>45226.84097222222</v>
      </c>
      <c r="B1907" t="s">
        <v>749</v>
      </c>
      <c r="C1907" t="str">
        <f>_xlfn.XLOOKUP(B1907,Tableau13[ID_Antenne],Tableau13[Province_RDC],"Non répertoriées")</f>
        <v>Non répertoriées</v>
      </c>
      <c r="D1907">
        <v>12</v>
      </c>
      <c r="E1907" t="str">
        <f>_xlfn.XLOOKUP(B1907,Tableau13[ID_Antenne],Tableau13[Technologie],"Non répertoriées")</f>
        <v>Non répertoriées</v>
      </c>
      <c r="F1907" t="str">
        <f>_xlfn.XLOOKUP(B1907,Tableau13[ID_Antenne],Tableau13[Latitude],"Non répertoriées")</f>
        <v>Non répertoriées</v>
      </c>
      <c r="G1907" t="str">
        <f>_xlfn.XLOOKUP(B1907,Tableau13[ID_Antenne],Tableau13[Longitude],"Non répertoriées")</f>
        <v>Non répertoriées</v>
      </c>
      <c r="H1907" t="s">
        <v>10</v>
      </c>
    </row>
    <row r="1908" spans="1:8" x14ac:dyDescent="0.25">
      <c r="A1908" s="1">
        <v>45226.895138888889</v>
      </c>
      <c r="B1908" t="s">
        <v>643</v>
      </c>
      <c r="C1908" t="str">
        <f>_xlfn.XLOOKUP(B1908,Tableau13[ID_Antenne],Tableau13[Province_RDC],"Non répertoriées")</f>
        <v>Non répertoriées</v>
      </c>
      <c r="D1908">
        <v>76</v>
      </c>
      <c r="E1908" t="str">
        <f>_xlfn.XLOOKUP(B1908,Tableau13[ID_Antenne],Tableau13[Technologie],"Non répertoriées")</f>
        <v>Non répertoriées</v>
      </c>
      <c r="F1908" t="str">
        <f>_xlfn.XLOOKUP(B1908,Tableau13[ID_Antenne],Tableau13[Latitude],"Non répertoriées")</f>
        <v>Non répertoriées</v>
      </c>
      <c r="G1908" t="str">
        <f>_xlfn.XLOOKUP(B1908,Tableau13[ID_Antenne],Tableau13[Longitude],"Non répertoriées")</f>
        <v>Non répertoriées</v>
      </c>
      <c r="H1908" t="s">
        <v>8</v>
      </c>
    </row>
    <row r="1909" spans="1:8" x14ac:dyDescent="0.25">
      <c r="A1909" s="1">
        <v>45205.169444444437</v>
      </c>
      <c r="B1909" t="s">
        <v>187</v>
      </c>
      <c r="C1909" t="str">
        <f>_xlfn.XLOOKUP(B1909,Tableau13[ID_Antenne],Tableau13[Province_RDC],"Non répertoriées")</f>
        <v>Non répertoriées</v>
      </c>
      <c r="D1909">
        <v>91</v>
      </c>
      <c r="E1909" t="str">
        <f>_xlfn.XLOOKUP(B1909,Tableau13[ID_Antenne],Tableau13[Technologie],"Non répertoriées")</f>
        <v>Non répertoriées</v>
      </c>
      <c r="F1909" t="str">
        <f>_xlfn.XLOOKUP(B1909,Tableau13[ID_Antenne],Tableau13[Latitude],"Non répertoriées")</f>
        <v>Non répertoriées</v>
      </c>
      <c r="G1909" t="str">
        <f>_xlfn.XLOOKUP(B1909,Tableau13[ID_Antenne],Tableau13[Longitude],"Non répertoriées")</f>
        <v>Non répertoriées</v>
      </c>
      <c r="H1909" t="s">
        <v>10</v>
      </c>
    </row>
    <row r="1910" spans="1:8" x14ac:dyDescent="0.25">
      <c r="A1910" s="1">
        <v>45222.584722222222</v>
      </c>
      <c r="B1910" t="s">
        <v>543</v>
      </c>
      <c r="C1910" t="str">
        <f>_xlfn.XLOOKUP(B1910,Tableau13[ID_Antenne],Tableau13[Province_RDC],"Non répertoriées")</f>
        <v>Non répertoriées</v>
      </c>
      <c r="D1910">
        <v>108</v>
      </c>
      <c r="E1910" t="str">
        <f>_xlfn.XLOOKUP(B1910,Tableau13[ID_Antenne],Tableau13[Technologie],"Non répertoriées")</f>
        <v>Non répertoriées</v>
      </c>
      <c r="F1910" t="str">
        <f>_xlfn.XLOOKUP(B1910,Tableau13[ID_Antenne],Tableau13[Latitude],"Non répertoriées")</f>
        <v>Non répertoriées</v>
      </c>
      <c r="G1910" t="str">
        <f>_xlfn.XLOOKUP(B1910,Tableau13[ID_Antenne],Tableau13[Longitude],"Non répertoriées")</f>
        <v>Non répertoriées</v>
      </c>
      <c r="H1910" t="s">
        <v>5</v>
      </c>
    </row>
    <row r="1911" spans="1:8" x14ac:dyDescent="0.25">
      <c r="A1911" s="1">
        <v>45209.251388888893</v>
      </c>
      <c r="B1911" t="s">
        <v>335</v>
      </c>
      <c r="C1911" t="str">
        <f>_xlfn.XLOOKUP(B1911,Tableau13[ID_Antenne],Tableau13[Province_RDC],"Non répertoriées")</f>
        <v>Non répertoriées</v>
      </c>
      <c r="D1911">
        <v>44</v>
      </c>
      <c r="E1911" t="str">
        <f>_xlfn.XLOOKUP(B1911,Tableau13[ID_Antenne],Tableau13[Technologie],"Non répertoriées")</f>
        <v>Non répertoriées</v>
      </c>
      <c r="F1911" t="str">
        <f>_xlfn.XLOOKUP(B1911,Tableau13[ID_Antenne],Tableau13[Latitude],"Non répertoriées")</f>
        <v>Non répertoriées</v>
      </c>
      <c r="G1911" t="str">
        <f>_xlfn.XLOOKUP(B1911,Tableau13[ID_Antenne],Tableau13[Longitude],"Non répertoriées")</f>
        <v>Non répertoriées</v>
      </c>
      <c r="H1911" t="s">
        <v>5</v>
      </c>
    </row>
    <row r="1912" spans="1:8" x14ac:dyDescent="0.25">
      <c r="A1912" s="1">
        <v>45225.288888888892</v>
      </c>
      <c r="B1912" t="s">
        <v>678</v>
      </c>
      <c r="C1912" t="str">
        <f>_xlfn.XLOOKUP(B1912,Tableau13[ID_Antenne],Tableau13[Province_RDC],"Non répertoriées")</f>
        <v>Non répertoriées</v>
      </c>
      <c r="D1912">
        <v>97</v>
      </c>
      <c r="E1912" t="str">
        <f>_xlfn.XLOOKUP(B1912,Tableau13[ID_Antenne],Tableau13[Technologie],"Non répertoriées")</f>
        <v>Non répertoriées</v>
      </c>
      <c r="F1912" t="str">
        <f>_xlfn.XLOOKUP(B1912,Tableau13[ID_Antenne],Tableau13[Latitude],"Non répertoriées")</f>
        <v>Non répertoriées</v>
      </c>
      <c r="G1912" t="str">
        <f>_xlfn.XLOOKUP(B1912,Tableau13[ID_Antenne],Tableau13[Longitude],"Non répertoriées")</f>
        <v>Non répertoriées</v>
      </c>
      <c r="H1912" t="s">
        <v>10</v>
      </c>
    </row>
    <row r="1913" spans="1:8" x14ac:dyDescent="0.25">
      <c r="A1913" s="1">
        <v>45201.457638888889</v>
      </c>
      <c r="B1913" t="s">
        <v>425</v>
      </c>
      <c r="C1913" t="str">
        <f>_xlfn.XLOOKUP(B1913,Tableau13[ID_Antenne],Tableau13[Province_RDC],"Non répertoriées")</f>
        <v>Non répertoriées</v>
      </c>
      <c r="D1913">
        <v>7</v>
      </c>
      <c r="E1913" t="str">
        <f>_xlfn.XLOOKUP(B1913,Tableau13[ID_Antenne],Tableau13[Technologie],"Non répertoriées")</f>
        <v>Non répertoriées</v>
      </c>
      <c r="F1913" t="str">
        <f>_xlfn.XLOOKUP(B1913,Tableau13[ID_Antenne],Tableau13[Latitude],"Non répertoriées")</f>
        <v>Non répertoriées</v>
      </c>
      <c r="G1913" t="str">
        <f>_xlfn.XLOOKUP(B1913,Tableau13[ID_Antenne],Tableau13[Longitude],"Non répertoriées")</f>
        <v>Non répertoriées</v>
      </c>
      <c r="H1913" t="s">
        <v>5</v>
      </c>
    </row>
    <row r="1914" spans="1:8" x14ac:dyDescent="0.25">
      <c r="A1914" s="1">
        <v>45209.684027777781</v>
      </c>
      <c r="B1914" t="s">
        <v>254</v>
      </c>
      <c r="C1914" t="str">
        <f>_xlfn.XLOOKUP(B1914,Tableau13[ID_Antenne],Tableau13[Province_RDC],"Non répertoriées")</f>
        <v>Non répertoriées</v>
      </c>
      <c r="D1914">
        <v>55</v>
      </c>
      <c r="E1914" t="str">
        <f>_xlfn.XLOOKUP(B1914,Tableau13[ID_Antenne],Tableau13[Technologie],"Non répertoriées")</f>
        <v>Non répertoriées</v>
      </c>
      <c r="F1914" t="str">
        <f>_xlfn.XLOOKUP(B1914,Tableau13[ID_Antenne],Tableau13[Latitude],"Non répertoriées")</f>
        <v>Non répertoriées</v>
      </c>
      <c r="G1914" t="str">
        <f>_xlfn.XLOOKUP(B1914,Tableau13[ID_Antenne],Tableau13[Longitude],"Non répertoriées")</f>
        <v>Non répertoriées</v>
      </c>
      <c r="H1914" t="s">
        <v>10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3FA0A-1668-4222-9B3E-BDA2FF8481FB}">
  <dimension ref="A1:I751"/>
  <sheetViews>
    <sheetView tabSelected="1" workbookViewId="0">
      <selection activeCell="I2" sqref="I2"/>
    </sheetView>
  </sheetViews>
  <sheetFormatPr baseColWidth="10" defaultColWidth="11.42578125" defaultRowHeight="15" x14ac:dyDescent="0.25"/>
  <cols>
    <col min="2" max="2" width="17.28515625" bestFit="1" customWidth="1"/>
    <col min="3" max="3" width="19.140625" bestFit="1" customWidth="1"/>
    <col min="4" max="4" width="17.85546875" bestFit="1" customWidth="1"/>
    <col min="5" max="5" width="29.28515625" bestFit="1" customWidth="1"/>
    <col min="6" max="6" width="20.5703125" bestFit="1" customWidth="1"/>
    <col min="7" max="7" width="24.42578125" bestFit="1" customWidth="1"/>
    <col min="8" max="8" width="14.140625" bestFit="1" customWidth="1"/>
    <col min="9" max="9" width="17.7109375" bestFit="1" customWidth="1"/>
  </cols>
  <sheetData>
    <row r="1" spans="1:9" x14ac:dyDescent="0.25">
      <c r="A1" s="5" t="s">
        <v>1716</v>
      </c>
      <c r="B1" s="5" t="s">
        <v>948</v>
      </c>
      <c r="C1" s="5" t="s">
        <v>949</v>
      </c>
      <c r="D1" s="5" t="s">
        <v>950</v>
      </c>
      <c r="E1" s="5" t="s">
        <v>951</v>
      </c>
      <c r="F1" s="5" t="s">
        <v>1717</v>
      </c>
      <c r="G1" s="5" t="s">
        <v>1718</v>
      </c>
      <c r="H1" s="5" t="s">
        <v>1711</v>
      </c>
      <c r="I1" s="5" t="s">
        <v>1719</v>
      </c>
    </row>
    <row r="2" spans="1:9" x14ac:dyDescent="0.25">
      <c r="A2" t="s">
        <v>952</v>
      </c>
      <c r="B2" t="s">
        <v>763</v>
      </c>
      <c r="C2">
        <v>110</v>
      </c>
      <c r="D2" t="s">
        <v>953</v>
      </c>
      <c r="E2">
        <v>112</v>
      </c>
      <c r="F2" s="36">
        <v>98.95</v>
      </c>
      <c r="G2">
        <v>5</v>
      </c>
      <c r="H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2" s="37">
        <f>Tableau2[[#This Row],[Facture_Mensuelle $]]*Tableau2[[#This Row],[Remise taux]]</f>
        <v>0</v>
      </c>
    </row>
    <row r="3" spans="1:9" x14ac:dyDescent="0.25">
      <c r="A3" t="s">
        <v>954</v>
      </c>
      <c r="B3" t="s">
        <v>762</v>
      </c>
      <c r="C3">
        <v>105</v>
      </c>
      <c r="D3" t="s">
        <v>955</v>
      </c>
      <c r="E3">
        <v>297</v>
      </c>
      <c r="F3" s="36">
        <v>84.66</v>
      </c>
      <c r="G3">
        <v>2</v>
      </c>
      <c r="H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38.097000000000001</v>
      </c>
      <c r="I3" s="37">
        <f>Tableau2[[#This Row],[Facture_Mensuelle $]]*Tableau2[[#This Row],[Remise taux]]</f>
        <v>3225.2920199999999</v>
      </c>
    </row>
    <row r="4" spans="1:9" x14ac:dyDescent="0.25">
      <c r="A4" t="s">
        <v>956</v>
      </c>
      <c r="B4" t="s">
        <v>786</v>
      </c>
      <c r="C4">
        <v>49</v>
      </c>
      <c r="D4" t="s">
        <v>957</v>
      </c>
      <c r="E4">
        <v>86</v>
      </c>
      <c r="F4" s="36">
        <v>65.400000000000006</v>
      </c>
      <c r="G4">
        <v>2</v>
      </c>
      <c r="H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4" s="37">
        <f>Tableau2[[#This Row],[Facture_Mensuelle $]]*Tableau2[[#This Row],[Remise taux]]</f>
        <v>0</v>
      </c>
    </row>
    <row r="5" spans="1:9" x14ac:dyDescent="0.25">
      <c r="A5" t="s">
        <v>958</v>
      </c>
      <c r="B5" t="s">
        <v>783</v>
      </c>
      <c r="C5">
        <v>105</v>
      </c>
      <c r="D5" t="s">
        <v>957</v>
      </c>
      <c r="E5">
        <v>172</v>
      </c>
      <c r="F5" s="36">
        <v>15.88</v>
      </c>
      <c r="G5">
        <v>5</v>
      </c>
      <c r="H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" s="37">
        <f>Tableau2[[#This Row],[Facture_Mensuelle $]]*Tableau2[[#This Row],[Remise taux]]</f>
        <v>0</v>
      </c>
    </row>
    <row r="6" spans="1:9" x14ac:dyDescent="0.25">
      <c r="A6" t="s">
        <v>959</v>
      </c>
      <c r="B6" t="s">
        <v>763</v>
      </c>
      <c r="C6">
        <v>29</v>
      </c>
      <c r="D6" t="s">
        <v>957</v>
      </c>
      <c r="E6">
        <v>124</v>
      </c>
      <c r="F6" s="36">
        <v>43.83</v>
      </c>
      <c r="G6">
        <v>5</v>
      </c>
      <c r="H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6" s="37">
        <f>Tableau2[[#This Row],[Facture_Mensuelle $]]*Tableau2[[#This Row],[Remise taux]]</f>
        <v>0</v>
      </c>
    </row>
    <row r="7" spans="1:9" x14ac:dyDescent="0.25">
      <c r="A7" t="s">
        <v>960</v>
      </c>
      <c r="B7" t="s">
        <v>781</v>
      </c>
      <c r="C7">
        <v>77</v>
      </c>
      <c r="D7" t="s">
        <v>961</v>
      </c>
      <c r="E7">
        <v>488</v>
      </c>
      <c r="F7" s="36">
        <v>21.17</v>
      </c>
      <c r="G7">
        <v>0</v>
      </c>
      <c r="H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9.5265000000000004</v>
      </c>
      <c r="I7" s="37">
        <f>Tableau2[[#This Row],[Facture_Mensuelle $]]*Tableau2[[#This Row],[Remise taux]]</f>
        <v>201.67600500000003</v>
      </c>
    </row>
    <row r="8" spans="1:9" x14ac:dyDescent="0.25">
      <c r="A8" t="s">
        <v>962</v>
      </c>
      <c r="B8" t="s">
        <v>762</v>
      </c>
      <c r="C8">
        <v>18</v>
      </c>
      <c r="D8" t="s">
        <v>955</v>
      </c>
      <c r="E8">
        <v>216</v>
      </c>
      <c r="F8" s="36">
        <v>33.74</v>
      </c>
      <c r="G8">
        <v>5</v>
      </c>
      <c r="H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8" s="37">
        <f>Tableau2[[#This Row],[Facture_Mensuelle $]]*Tableau2[[#This Row],[Remise taux]]</f>
        <v>0</v>
      </c>
    </row>
    <row r="9" spans="1:9" x14ac:dyDescent="0.25">
      <c r="A9" t="s">
        <v>963</v>
      </c>
      <c r="B9" t="s">
        <v>777</v>
      </c>
      <c r="C9">
        <v>119</v>
      </c>
      <c r="D9" t="s">
        <v>955</v>
      </c>
      <c r="E9">
        <v>344</v>
      </c>
      <c r="F9" s="36">
        <v>10.28</v>
      </c>
      <c r="G9">
        <v>0</v>
      </c>
      <c r="H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4.6259999999999994</v>
      </c>
      <c r="I9" s="37">
        <f>Tableau2[[#This Row],[Facture_Mensuelle $]]*Tableau2[[#This Row],[Remise taux]]</f>
        <v>47.555279999999989</v>
      </c>
    </row>
    <row r="10" spans="1:9" x14ac:dyDescent="0.25">
      <c r="A10" t="s">
        <v>964</v>
      </c>
      <c r="B10" t="s">
        <v>767</v>
      </c>
      <c r="C10">
        <v>2</v>
      </c>
      <c r="D10" t="s">
        <v>961</v>
      </c>
      <c r="E10">
        <v>201</v>
      </c>
      <c r="F10" s="36">
        <v>71.900000000000006</v>
      </c>
      <c r="G10">
        <v>2</v>
      </c>
      <c r="H1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32.355000000000004</v>
      </c>
      <c r="I10" s="37">
        <f>Tableau2[[#This Row],[Facture_Mensuelle $]]*Tableau2[[#This Row],[Remise taux]]</f>
        <v>2326.3245000000006</v>
      </c>
    </row>
    <row r="11" spans="1:9" x14ac:dyDescent="0.25">
      <c r="A11" t="s">
        <v>965</v>
      </c>
      <c r="B11" t="s">
        <v>783</v>
      </c>
      <c r="C11">
        <v>25</v>
      </c>
      <c r="D11" t="s">
        <v>953</v>
      </c>
      <c r="E11">
        <v>95</v>
      </c>
      <c r="F11" s="36">
        <v>15.93</v>
      </c>
      <c r="G11">
        <v>4</v>
      </c>
      <c r="H1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11" s="37">
        <f>Tableau2[[#This Row],[Facture_Mensuelle $]]*Tableau2[[#This Row],[Remise taux]]</f>
        <v>0</v>
      </c>
    </row>
    <row r="12" spans="1:9" x14ac:dyDescent="0.25">
      <c r="A12" t="s">
        <v>966</v>
      </c>
      <c r="B12" t="s">
        <v>763</v>
      </c>
      <c r="C12">
        <v>35</v>
      </c>
      <c r="D12" t="s">
        <v>961</v>
      </c>
      <c r="E12">
        <v>332</v>
      </c>
      <c r="F12" s="36">
        <v>11.15</v>
      </c>
      <c r="G12">
        <v>0</v>
      </c>
      <c r="H1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5.0175000000000001</v>
      </c>
      <c r="I12" s="37">
        <f>Tableau2[[#This Row],[Facture_Mensuelle $]]*Tableau2[[#This Row],[Remise taux]]</f>
        <v>55.945125000000004</v>
      </c>
    </row>
    <row r="13" spans="1:9" x14ac:dyDescent="0.25">
      <c r="A13" t="s">
        <v>967</v>
      </c>
      <c r="B13" t="s">
        <v>765</v>
      </c>
      <c r="C13">
        <v>119</v>
      </c>
      <c r="D13" t="s">
        <v>955</v>
      </c>
      <c r="E13">
        <v>31</v>
      </c>
      <c r="F13" s="36">
        <v>21.27</v>
      </c>
      <c r="G13">
        <v>5</v>
      </c>
      <c r="H1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13" s="37">
        <f>Tableau2[[#This Row],[Facture_Mensuelle $]]*Tableau2[[#This Row],[Remise taux]]</f>
        <v>0</v>
      </c>
    </row>
    <row r="14" spans="1:9" x14ac:dyDescent="0.25">
      <c r="A14" t="s">
        <v>968</v>
      </c>
      <c r="B14" t="s">
        <v>778</v>
      </c>
      <c r="C14">
        <v>103</v>
      </c>
      <c r="D14" t="s">
        <v>955</v>
      </c>
      <c r="E14">
        <v>105</v>
      </c>
      <c r="F14" s="36">
        <v>61.52</v>
      </c>
      <c r="G14">
        <v>3</v>
      </c>
      <c r="H1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14" s="37">
        <f>Tableau2[[#This Row],[Facture_Mensuelle $]]*Tableau2[[#This Row],[Remise taux]]</f>
        <v>0</v>
      </c>
    </row>
    <row r="15" spans="1:9" x14ac:dyDescent="0.25">
      <c r="A15" t="s">
        <v>969</v>
      </c>
      <c r="B15" t="s">
        <v>769</v>
      </c>
      <c r="C15">
        <v>118</v>
      </c>
      <c r="D15" t="s">
        <v>955</v>
      </c>
      <c r="E15">
        <v>132</v>
      </c>
      <c r="F15" s="36">
        <v>40.880000000000003</v>
      </c>
      <c r="G15">
        <v>4</v>
      </c>
      <c r="H1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15" s="37">
        <f>Tableau2[[#This Row],[Facture_Mensuelle $]]*Tableau2[[#This Row],[Remise taux]]</f>
        <v>0</v>
      </c>
    </row>
    <row r="16" spans="1:9" x14ac:dyDescent="0.25">
      <c r="A16" t="s">
        <v>970</v>
      </c>
      <c r="B16" t="s">
        <v>773</v>
      </c>
      <c r="C16">
        <v>53</v>
      </c>
      <c r="D16" t="s">
        <v>957</v>
      </c>
      <c r="E16">
        <v>345</v>
      </c>
      <c r="F16" s="36">
        <v>83.73</v>
      </c>
      <c r="G16">
        <v>0</v>
      </c>
      <c r="H1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37.6785</v>
      </c>
      <c r="I16" s="37">
        <f>Tableau2[[#This Row],[Facture_Mensuelle $]]*Tableau2[[#This Row],[Remise taux]]</f>
        <v>3154.8208050000003</v>
      </c>
    </row>
    <row r="17" spans="1:9" x14ac:dyDescent="0.25">
      <c r="A17" t="s">
        <v>971</v>
      </c>
      <c r="B17" t="s">
        <v>763</v>
      </c>
      <c r="C17">
        <v>33</v>
      </c>
      <c r="D17" t="s">
        <v>953</v>
      </c>
      <c r="E17">
        <v>54</v>
      </c>
      <c r="F17" s="36">
        <v>71.319999999999993</v>
      </c>
      <c r="G17">
        <v>4</v>
      </c>
      <c r="H1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17" s="37">
        <f>Tableau2[[#This Row],[Facture_Mensuelle $]]*Tableau2[[#This Row],[Remise taux]]</f>
        <v>0</v>
      </c>
    </row>
    <row r="18" spans="1:9" x14ac:dyDescent="0.25">
      <c r="A18" t="s">
        <v>972</v>
      </c>
      <c r="B18" t="s">
        <v>778</v>
      </c>
      <c r="C18">
        <v>16</v>
      </c>
      <c r="D18" t="s">
        <v>953</v>
      </c>
      <c r="E18">
        <v>461</v>
      </c>
      <c r="F18" s="36">
        <v>38.369999999999997</v>
      </c>
      <c r="G18">
        <v>4</v>
      </c>
      <c r="H1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17.266500000000001</v>
      </c>
      <c r="I18" s="37">
        <f>Tableau2[[#This Row],[Facture_Mensuelle $]]*Tableau2[[#This Row],[Remise taux]]</f>
        <v>662.51560499999994</v>
      </c>
    </row>
    <row r="19" spans="1:9" x14ac:dyDescent="0.25">
      <c r="A19" t="s">
        <v>973</v>
      </c>
      <c r="B19" t="s">
        <v>771</v>
      </c>
      <c r="C19">
        <v>34</v>
      </c>
      <c r="D19" t="s">
        <v>953</v>
      </c>
      <c r="E19">
        <v>40</v>
      </c>
      <c r="F19" s="36">
        <v>65.709999999999994</v>
      </c>
      <c r="G19">
        <v>5</v>
      </c>
      <c r="H1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19" s="37">
        <f>Tableau2[[#This Row],[Facture_Mensuelle $]]*Tableau2[[#This Row],[Remise taux]]</f>
        <v>0</v>
      </c>
    </row>
    <row r="20" spans="1:9" x14ac:dyDescent="0.25">
      <c r="A20" t="s">
        <v>974</v>
      </c>
      <c r="B20" t="s">
        <v>761</v>
      </c>
      <c r="C20">
        <v>6</v>
      </c>
      <c r="D20" t="s">
        <v>955</v>
      </c>
      <c r="E20">
        <v>206</v>
      </c>
      <c r="F20" s="36">
        <v>10</v>
      </c>
      <c r="G20">
        <v>5</v>
      </c>
      <c r="H2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20" s="37">
        <f>Tableau2[[#This Row],[Facture_Mensuelle $]]*Tableau2[[#This Row],[Remise taux]]</f>
        <v>0</v>
      </c>
    </row>
    <row r="21" spans="1:9" x14ac:dyDescent="0.25">
      <c r="A21" t="s">
        <v>975</v>
      </c>
      <c r="B21" t="s">
        <v>774</v>
      </c>
      <c r="C21">
        <v>4</v>
      </c>
      <c r="D21" t="s">
        <v>953</v>
      </c>
      <c r="E21">
        <v>182</v>
      </c>
      <c r="F21" s="36">
        <v>89.56</v>
      </c>
      <c r="G21">
        <v>4</v>
      </c>
      <c r="H2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21" s="37">
        <f>Tableau2[[#This Row],[Facture_Mensuelle $]]*Tableau2[[#This Row],[Remise taux]]</f>
        <v>0</v>
      </c>
    </row>
    <row r="22" spans="1:9" x14ac:dyDescent="0.25">
      <c r="A22" t="s">
        <v>976</v>
      </c>
      <c r="B22" t="s">
        <v>782</v>
      </c>
      <c r="C22">
        <v>69</v>
      </c>
      <c r="D22" t="s">
        <v>955</v>
      </c>
      <c r="E22">
        <v>76</v>
      </c>
      <c r="F22" s="36">
        <v>91.8</v>
      </c>
      <c r="G22">
        <v>5</v>
      </c>
      <c r="H2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22" s="37">
        <f>Tableau2[[#This Row],[Facture_Mensuelle $]]*Tableau2[[#This Row],[Remise taux]]</f>
        <v>0</v>
      </c>
    </row>
    <row r="23" spans="1:9" x14ac:dyDescent="0.25">
      <c r="A23" t="s">
        <v>977</v>
      </c>
      <c r="B23" t="s">
        <v>768</v>
      </c>
      <c r="C23">
        <v>72</v>
      </c>
      <c r="D23" t="s">
        <v>955</v>
      </c>
      <c r="E23">
        <v>160</v>
      </c>
      <c r="F23" s="36">
        <v>90.13</v>
      </c>
      <c r="G23">
        <v>2</v>
      </c>
      <c r="H2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23" s="37">
        <f>Tableau2[[#This Row],[Facture_Mensuelle $]]*Tableau2[[#This Row],[Remise taux]]</f>
        <v>0</v>
      </c>
    </row>
    <row r="24" spans="1:9" x14ac:dyDescent="0.25">
      <c r="A24" t="s">
        <v>978</v>
      </c>
      <c r="B24" t="s">
        <v>772</v>
      </c>
      <c r="C24">
        <v>52</v>
      </c>
      <c r="D24" t="s">
        <v>957</v>
      </c>
      <c r="E24">
        <v>119</v>
      </c>
      <c r="F24" s="36">
        <v>64.709999999999994</v>
      </c>
      <c r="G24">
        <v>4</v>
      </c>
      <c r="H2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24" s="37">
        <f>Tableau2[[#This Row],[Facture_Mensuelle $]]*Tableau2[[#This Row],[Remise taux]]</f>
        <v>0</v>
      </c>
    </row>
    <row r="25" spans="1:9" x14ac:dyDescent="0.25">
      <c r="A25" t="s">
        <v>979</v>
      </c>
      <c r="B25" t="s">
        <v>774</v>
      </c>
      <c r="C25">
        <v>67</v>
      </c>
      <c r="D25" t="s">
        <v>957</v>
      </c>
      <c r="E25">
        <v>264</v>
      </c>
      <c r="F25" s="36">
        <v>97.89</v>
      </c>
      <c r="G25">
        <v>1</v>
      </c>
      <c r="H2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44.0505</v>
      </c>
      <c r="I25" s="37">
        <f>Tableau2[[#This Row],[Facture_Mensuelle $]]*Tableau2[[#This Row],[Remise taux]]</f>
        <v>4312.1034449999997</v>
      </c>
    </row>
    <row r="26" spans="1:9" x14ac:dyDescent="0.25">
      <c r="A26" t="s">
        <v>980</v>
      </c>
      <c r="B26" t="s">
        <v>783</v>
      </c>
      <c r="C26">
        <v>78</v>
      </c>
      <c r="D26" t="s">
        <v>961</v>
      </c>
      <c r="E26">
        <v>60</v>
      </c>
      <c r="F26" s="36">
        <v>33.159999999999997</v>
      </c>
      <c r="G26">
        <v>5</v>
      </c>
      <c r="H2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26" s="37">
        <f>Tableau2[[#This Row],[Facture_Mensuelle $]]*Tableau2[[#This Row],[Remise taux]]</f>
        <v>0</v>
      </c>
    </row>
    <row r="27" spans="1:9" x14ac:dyDescent="0.25">
      <c r="A27" t="s">
        <v>981</v>
      </c>
      <c r="B27" t="s">
        <v>782</v>
      </c>
      <c r="C27">
        <v>46</v>
      </c>
      <c r="D27" t="s">
        <v>961</v>
      </c>
      <c r="E27">
        <v>283</v>
      </c>
      <c r="F27" s="36">
        <v>56.05</v>
      </c>
      <c r="G27">
        <v>1</v>
      </c>
      <c r="H2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25.2225</v>
      </c>
      <c r="I27" s="37">
        <f>Tableau2[[#This Row],[Facture_Mensuelle $]]*Tableau2[[#This Row],[Remise taux]]</f>
        <v>1413.721125</v>
      </c>
    </row>
    <row r="28" spans="1:9" x14ac:dyDescent="0.25">
      <c r="A28" t="s">
        <v>982</v>
      </c>
      <c r="B28" t="s">
        <v>761</v>
      </c>
      <c r="C28">
        <v>17</v>
      </c>
      <c r="D28" t="s">
        <v>961</v>
      </c>
      <c r="E28">
        <v>499</v>
      </c>
      <c r="F28" s="36">
        <v>27.81</v>
      </c>
      <c r="G28">
        <v>2</v>
      </c>
      <c r="H2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12.5145</v>
      </c>
      <c r="I28" s="37">
        <f>Tableau2[[#This Row],[Facture_Mensuelle $]]*Tableau2[[#This Row],[Remise taux]]</f>
        <v>348.02824499999997</v>
      </c>
    </row>
    <row r="29" spans="1:9" x14ac:dyDescent="0.25">
      <c r="A29" t="s">
        <v>983</v>
      </c>
      <c r="B29" t="s">
        <v>783</v>
      </c>
      <c r="C29">
        <v>15</v>
      </c>
      <c r="D29" t="s">
        <v>961</v>
      </c>
      <c r="E29">
        <v>75</v>
      </c>
      <c r="F29" s="36">
        <v>45.59</v>
      </c>
      <c r="G29">
        <v>0</v>
      </c>
      <c r="H2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20.515500000000003</v>
      </c>
      <c r="I29" s="37">
        <f>Tableau2[[#This Row],[Facture_Mensuelle $]]*Tableau2[[#This Row],[Remise taux]]</f>
        <v>935.30164500000024</v>
      </c>
    </row>
    <row r="30" spans="1:9" x14ac:dyDescent="0.25">
      <c r="A30" t="s">
        <v>984</v>
      </c>
      <c r="B30" t="s">
        <v>786</v>
      </c>
      <c r="C30">
        <v>106</v>
      </c>
      <c r="D30" t="s">
        <v>955</v>
      </c>
      <c r="E30">
        <v>429</v>
      </c>
      <c r="F30" s="36">
        <v>23.83</v>
      </c>
      <c r="G30">
        <v>1</v>
      </c>
      <c r="H3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10.7235</v>
      </c>
      <c r="I30" s="37">
        <f>Tableau2[[#This Row],[Facture_Mensuelle $]]*Tableau2[[#This Row],[Remise taux]]</f>
        <v>255.54100499999998</v>
      </c>
    </row>
    <row r="31" spans="1:9" x14ac:dyDescent="0.25">
      <c r="A31" t="s">
        <v>985</v>
      </c>
      <c r="B31" t="s">
        <v>774</v>
      </c>
      <c r="C31">
        <v>14</v>
      </c>
      <c r="D31" t="s">
        <v>961</v>
      </c>
      <c r="E31">
        <v>75</v>
      </c>
      <c r="F31" s="36">
        <v>55.67</v>
      </c>
      <c r="G31">
        <v>3</v>
      </c>
      <c r="H3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25.051500000000001</v>
      </c>
      <c r="I31" s="37">
        <f>Tableau2[[#This Row],[Facture_Mensuelle $]]*Tableau2[[#This Row],[Remise taux]]</f>
        <v>1394.6170050000001</v>
      </c>
    </row>
    <row r="32" spans="1:9" x14ac:dyDescent="0.25">
      <c r="A32" t="s">
        <v>986</v>
      </c>
      <c r="B32" t="s">
        <v>780</v>
      </c>
      <c r="C32">
        <v>15</v>
      </c>
      <c r="D32" t="s">
        <v>953</v>
      </c>
      <c r="E32">
        <v>400</v>
      </c>
      <c r="F32" s="36">
        <v>78.09</v>
      </c>
      <c r="G32">
        <v>0</v>
      </c>
      <c r="H3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35.140500000000003</v>
      </c>
      <c r="I32" s="37">
        <f>Tableau2[[#This Row],[Facture_Mensuelle $]]*Tableau2[[#This Row],[Remise taux]]</f>
        <v>2744.1216450000002</v>
      </c>
    </row>
    <row r="33" spans="1:9" x14ac:dyDescent="0.25">
      <c r="A33" t="s">
        <v>987</v>
      </c>
      <c r="B33" t="s">
        <v>775</v>
      </c>
      <c r="C33">
        <v>50</v>
      </c>
      <c r="D33" t="s">
        <v>953</v>
      </c>
      <c r="E33">
        <v>435</v>
      </c>
      <c r="F33" s="36">
        <v>27.86</v>
      </c>
      <c r="G33">
        <v>3</v>
      </c>
      <c r="H3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12.537000000000001</v>
      </c>
      <c r="I33" s="37">
        <f>Tableau2[[#This Row],[Facture_Mensuelle $]]*Tableau2[[#This Row],[Remise taux]]</f>
        <v>349.28082000000001</v>
      </c>
    </row>
    <row r="34" spans="1:9" x14ac:dyDescent="0.25">
      <c r="A34" t="s">
        <v>988</v>
      </c>
      <c r="B34" t="s">
        <v>765</v>
      </c>
      <c r="C34">
        <v>12</v>
      </c>
      <c r="D34" t="s">
        <v>955</v>
      </c>
      <c r="E34">
        <v>42</v>
      </c>
      <c r="F34" s="36">
        <v>48.64</v>
      </c>
      <c r="G34">
        <v>0</v>
      </c>
      <c r="H3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4" s="37">
        <f>Tableau2[[#This Row],[Facture_Mensuelle $]]*Tableau2[[#This Row],[Remise taux]]</f>
        <v>0</v>
      </c>
    </row>
    <row r="35" spans="1:9" x14ac:dyDescent="0.25">
      <c r="A35" t="s">
        <v>989</v>
      </c>
      <c r="B35" t="s">
        <v>784</v>
      </c>
      <c r="C35">
        <v>29</v>
      </c>
      <c r="D35" t="s">
        <v>955</v>
      </c>
      <c r="E35">
        <v>493</v>
      </c>
      <c r="F35" s="36">
        <v>42.02</v>
      </c>
      <c r="G35">
        <v>1</v>
      </c>
      <c r="H3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18.909000000000002</v>
      </c>
      <c r="I35" s="37">
        <f>Tableau2[[#This Row],[Facture_Mensuelle $]]*Tableau2[[#This Row],[Remise taux]]</f>
        <v>794.55618000000015</v>
      </c>
    </row>
    <row r="36" spans="1:9" x14ac:dyDescent="0.25">
      <c r="A36" t="s">
        <v>990</v>
      </c>
      <c r="B36" t="s">
        <v>781</v>
      </c>
      <c r="C36">
        <v>42</v>
      </c>
      <c r="D36" t="s">
        <v>955</v>
      </c>
      <c r="E36">
        <v>167</v>
      </c>
      <c r="F36" s="36">
        <v>45.85</v>
      </c>
      <c r="G36">
        <v>2</v>
      </c>
      <c r="H3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6" s="37">
        <f>Tableau2[[#This Row],[Facture_Mensuelle $]]*Tableau2[[#This Row],[Remise taux]]</f>
        <v>0</v>
      </c>
    </row>
    <row r="37" spans="1:9" x14ac:dyDescent="0.25">
      <c r="A37" t="s">
        <v>991</v>
      </c>
      <c r="B37" t="s">
        <v>764</v>
      </c>
      <c r="C37">
        <v>74</v>
      </c>
      <c r="D37" t="s">
        <v>953</v>
      </c>
      <c r="E37">
        <v>388</v>
      </c>
      <c r="F37" s="36">
        <v>10.89</v>
      </c>
      <c r="G37">
        <v>4</v>
      </c>
      <c r="H3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4.9005000000000001</v>
      </c>
      <c r="I37" s="37">
        <f>Tableau2[[#This Row],[Facture_Mensuelle $]]*Tableau2[[#This Row],[Remise taux]]</f>
        <v>53.366445000000006</v>
      </c>
    </row>
    <row r="38" spans="1:9" x14ac:dyDescent="0.25">
      <c r="A38" t="s">
        <v>992</v>
      </c>
      <c r="B38" t="s">
        <v>761</v>
      </c>
      <c r="C38">
        <v>93</v>
      </c>
      <c r="D38" t="s">
        <v>961</v>
      </c>
      <c r="E38">
        <v>150</v>
      </c>
      <c r="F38" s="36">
        <v>93.25</v>
      </c>
      <c r="G38">
        <v>3</v>
      </c>
      <c r="H3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8" s="37">
        <f>Tableau2[[#This Row],[Facture_Mensuelle $]]*Tableau2[[#This Row],[Remise taux]]</f>
        <v>0</v>
      </c>
    </row>
    <row r="39" spans="1:9" x14ac:dyDescent="0.25">
      <c r="A39" t="s">
        <v>993</v>
      </c>
      <c r="B39" t="s">
        <v>767</v>
      </c>
      <c r="C39">
        <v>19</v>
      </c>
      <c r="D39" t="s">
        <v>953</v>
      </c>
      <c r="E39">
        <v>345</v>
      </c>
      <c r="F39" s="36">
        <v>54.37</v>
      </c>
      <c r="G39">
        <v>2</v>
      </c>
      <c r="H3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24.4665</v>
      </c>
      <c r="I39" s="37">
        <f>Tableau2[[#This Row],[Facture_Mensuelle $]]*Tableau2[[#This Row],[Remise taux]]</f>
        <v>1330.2436049999999</v>
      </c>
    </row>
    <row r="40" spans="1:9" x14ac:dyDescent="0.25">
      <c r="A40" t="s">
        <v>994</v>
      </c>
      <c r="B40" t="s">
        <v>776</v>
      </c>
      <c r="C40">
        <v>82</v>
      </c>
      <c r="D40" t="s">
        <v>961</v>
      </c>
      <c r="E40">
        <v>88</v>
      </c>
      <c r="F40" s="36">
        <v>86.64</v>
      </c>
      <c r="G40">
        <v>1</v>
      </c>
      <c r="H4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40" s="37">
        <f>Tableau2[[#This Row],[Facture_Mensuelle $]]*Tableau2[[#This Row],[Remise taux]]</f>
        <v>0</v>
      </c>
    </row>
    <row r="41" spans="1:9" x14ac:dyDescent="0.25">
      <c r="A41" t="s">
        <v>995</v>
      </c>
      <c r="B41" t="s">
        <v>786</v>
      </c>
      <c r="C41">
        <v>42</v>
      </c>
      <c r="D41" t="s">
        <v>953</v>
      </c>
      <c r="E41">
        <v>436</v>
      </c>
      <c r="F41" s="36">
        <v>88.12</v>
      </c>
      <c r="G41">
        <v>0</v>
      </c>
      <c r="H4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39.654000000000003</v>
      </c>
      <c r="I41" s="37">
        <f>Tableau2[[#This Row],[Facture_Mensuelle $]]*Tableau2[[#This Row],[Remise taux]]</f>
        <v>3494.3104800000006</v>
      </c>
    </row>
    <row r="42" spans="1:9" x14ac:dyDescent="0.25">
      <c r="A42" t="s">
        <v>996</v>
      </c>
      <c r="B42" t="s">
        <v>770</v>
      </c>
      <c r="C42">
        <v>98</v>
      </c>
      <c r="D42" t="s">
        <v>953</v>
      </c>
      <c r="E42">
        <v>52</v>
      </c>
      <c r="F42" s="36">
        <v>52.82</v>
      </c>
      <c r="G42">
        <v>2</v>
      </c>
      <c r="H4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42" s="37">
        <f>Tableau2[[#This Row],[Facture_Mensuelle $]]*Tableau2[[#This Row],[Remise taux]]</f>
        <v>0</v>
      </c>
    </row>
    <row r="43" spans="1:9" x14ac:dyDescent="0.25">
      <c r="A43" t="s">
        <v>997</v>
      </c>
      <c r="B43" t="s">
        <v>777</v>
      </c>
      <c r="C43">
        <v>59</v>
      </c>
      <c r="D43" t="s">
        <v>957</v>
      </c>
      <c r="E43">
        <v>454</v>
      </c>
      <c r="F43" s="36">
        <v>10.47</v>
      </c>
      <c r="G43">
        <v>5</v>
      </c>
      <c r="H4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4.7115</v>
      </c>
      <c r="I43" s="37">
        <f>Tableau2[[#This Row],[Facture_Mensuelle $]]*Tableau2[[#This Row],[Remise taux]]</f>
        <v>49.329405000000001</v>
      </c>
    </row>
    <row r="44" spans="1:9" x14ac:dyDescent="0.25">
      <c r="A44" t="s">
        <v>998</v>
      </c>
      <c r="B44" t="s">
        <v>780</v>
      </c>
      <c r="C44">
        <v>25</v>
      </c>
      <c r="D44" t="s">
        <v>961</v>
      </c>
      <c r="E44">
        <v>64</v>
      </c>
      <c r="F44" s="36">
        <v>38.950000000000003</v>
      </c>
      <c r="G44">
        <v>5</v>
      </c>
      <c r="H4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17.527500000000003</v>
      </c>
      <c r="I44" s="37">
        <f>Tableau2[[#This Row],[Facture_Mensuelle $]]*Tableau2[[#This Row],[Remise taux]]</f>
        <v>682.69612500000017</v>
      </c>
    </row>
    <row r="45" spans="1:9" x14ac:dyDescent="0.25">
      <c r="A45" t="s">
        <v>999</v>
      </c>
      <c r="B45" t="s">
        <v>774</v>
      </c>
      <c r="C45">
        <v>43</v>
      </c>
      <c r="D45" t="s">
        <v>961</v>
      </c>
      <c r="E45">
        <v>486</v>
      </c>
      <c r="F45" s="36">
        <v>76.42</v>
      </c>
      <c r="G45">
        <v>1</v>
      </c>
      <c r="H4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34.389000000000003</v>
      </c>
      <c r="I45" s="37">
        <f>Tableau2[[#This Row],[Facture_Mensuelle $]]*Tableau2[[#This Row],[Remise taux]]</f>
        <v>2628.0073800000005</v>
      </c>
    </row>
    <row r="46" spans="1:9" x14ac:dyDescent="0.25">
      <c r="A46" t="s">
        <v>1000</v>
      </c>
      <c r="B46" t="s">
        <v>780</v>
      </c>
      <c r="C46">
        <v>108</v>
      </c>
      <c r="D46" t="s">
        <v>953</v>
      </c>
      <c r="E46">
        <v>467</v>
      </c>
      <c r="F46" s="36">
        <v>44.84</v>
      </c>
      <c r="G46">
        <v>4</v>
      </c>
      <c r="H4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20.178000000000001</v>
      </c>
      <c r="I46" s="37">
        <f>Tableau2[[#This Row],[Facture_Mensuelle $]]*Tableau2[[#This Row],[Remise taux]]</f>
        <v>904.78152000000011</v>
      </c>
    </row>
    <row r="47" spans="1:9" x14ac:dyDescent="0.25">
      <c r="A47" t="s">
        <v>1001</v>
      </c>
      <c r="B47" t="s">
        <v>773</v>
      </c>
      <c r="C47">
        <v>101</v>
      </c>
      <c r="D47" t="s">
        <v>955</v>
      </c>
      <c r="E47">
        <v>176</v>
      </c>
      <c r="F47" s="36">
        <v>86</v>
      </c>
      <c r="G47">
        <v>3</v>
      </c>
      <c r="H4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47" s="37">
        <f>Tableau2[[#This Row],[Facture_Mensuelle $]]*Tableau2[[#This Row],[Remise taux]]</f>
        <v>0</v>
      </c>
    </row>
    <row r="48" spans="1:9" x14ac:dyDescent="0.25">
      <c r="A48" t="s">
        <v>1002</v>
      </c>
      <c r="B48" t="s">
        <v>782</v>
      </c>
      <c r="C48">
        <v>120</v>
      </c>
      <c r="D48" t="s">
        <v>957</v>
      </c>
      <c r="E48">
        <v>224</v>
      </c>
      <c r="F48" s="36">
        <v>69.36</v>
      </c>
      <c r="G48">
        <v>0</v>
      </c>
      <c r="H4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48" s="37">
        <f>Tableau2[[#This Row],[Facture_Mensuelle $]]*Tableau2[[#This Row],[Remise taux]]</f>
        <v>0</v>
      </c>
    </row>
    <row r="49" spans="1:9" x14ac:dyDescent="0.25">
      <c r="A49" t="s">
        <v>1003</v>
      </c>
      <c r="B49" t="s">
        <v>764</v>
      </c>
      <c r="C49">
        <v>23</v>
      </c>
      <c r="D49" t="s">
        <v>953</v>
      </c>
      <c r="E49">
        <v>325</v>
      </c>
      <c r="F49" s="36">
        <v>65.489999999999995</v>
      </c>
      <c r="G49">
        <v>1</v>
      </c>
      <c r="H4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29.470499999999998</v>
      </c>
      <c r="I49" s="37">
        <f>Tableau2[[#This Row],[Facture_Mensuelle $]]*Tableau2[[#This Row],[Remise taux]]</f>
        <v>1930.0230449999997</v>
      </c>
    </row>
    <row r="50" spans="1:9" x14ac:dyDescent="0.25">
      <c r="A50" t="s">
        <v>1004</v>
      </c>
      <c r="B50" t="s">
        <v>773</v>
      </c>
      <c r="C50">
        <v>12</v>
      </c>
      <c r="D50" t="s">
        <v>955</v>
      </c>
      <c r="E50">
        <v>125</v>
      </c>
      <c r="F50" s="36">
        <v>36.93</v>
      </c>
      <c r="G50">
        <v>0</v>
      </c>
      <c r="H5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0" s="37">
        <f>Tableau2[[#This Row],[Facture_Mensuelle $]]*Tableau2[[#This Row],[Remise taux]]</f>
        <v>0</v>
      </c>
    </row>
    <row r="51" spans="1:9" x14ac:dyDescent="0.25">
      <c r="A51" t="s">
        <v>1005</v>
      </c>
      <c r="B51" t="s">
        <v>765</v>
      </c>
      <c r="C51">
        <v>12</v>
      </c>
      <c r="D51" t="s">
        <v>957</v>
      </c>
      <c r="E51">
        <v>112</v>
      </c>
      <c r="F51" s="36">
        <v>82.81</v>
      </c>
      <c r="G51">
        <v>0</v>
      </c>
      <c r="H5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1" s="37">
        <f>Tableau2[[#This Row],[Facture_Mensuelle $]]*Tableau2[[#This Row],[Remise taux]]</f>
        <v>0</v>
      </c>
    </row>
    <row r="52" spans="1:9" x14ac:dyDescent="0.25">
      <c r="A52" t="s">
        <v>1006</v>
      </c>
      <c r="B52" t="s">
        <v>776</v>
      </c>
      <c r="C52">
        <v>35</v>
      </c>
      <c r="D52" t="s">
        <v>955</v>
      </c>
      <c r="E52">
        <v>445</v>
      </c>
      <c r="F52" s="36">
        <v>24.11</v>
      </c>
      <c r="G52">
        <v>2</v>
      </c>
      <c r="H5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10.849500000000001</v>
      </c>
      <c r="I52" s="37">
        <f>Tableau2[[#This Row],[Facture_Mensuelle $]]*Tableau2[[#This Row],[Remise taux]]</f>
        <v>261.58144500000003</v>
      </c>
    </row>
    <row r="53" spans="1:9" x14ac:dyDescent="0.25">
      <c r="A53" t="s">
        <v>1007</v>
      </c>
      <c r="B53" t="s">
        <v>765</v>
      </c>
      <c r="C53">
        <v>43</v>
      </c>
      <c r="D53" t="s">
        <v>961</v>
      </c>
      <c r="E53">
        <v>27</v>
      </c>
      <c r="F53" s="36">
        <v>31.48</v>
      </c>
      <c r="G53">
        <v>5</v>
      </c>
      <c r="H5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14.166</v>
      </c>
      <c r="I53" s="37">
        <f>Tableau2[[#This Row],[Facture_Mensuelle $]]*Tableau2[[#This Row],[Remise taux]]</f>
        <v>445.94568000000004</v>
      </c>
    </row>
    <row r="54" spans="1:9" x14ac:dyDescent="0.25">
      <c r="A54" t="s">
        <v>1008</v>
      </c>
      <c r="B54" t="s">
        <v>778</v>
      </c>
      <c r="C54">
        <v>81</v>
      </c>
      <c r="D54" t="s">
        <v>957</v>
      </c>
      <c r="E54">
        <v>11</v>
      </c>
      <c r="F54" s="36">
        <v>41.76</v>
      </c>
      <c r="G54">
        <v>5</v>
      </c>
      <c r="H5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4" s="37">
        <f>Tableau2[[#This Row],[Facture_Mensuelle $]]*Tableau2[[#This Row],[Remise taux]]</f>
        <v>0</v>
      </c>
    </row>
    <row r="55" spans="1:9" x14ac:dyDescent="0.25">
      <c r="A55" t="s">
        <v>1009</v>
      </c>
      <c r="B55" t="s">
        <v>775</v>
      </c>
      <c r="C55">
        <v>102</v>
      </c>
      <c r="D55" t="s">
        <v>961</v>
      </c>
      <c r="E55">
        <v>402</v>
      </c>
      <c r="F55" s="36">
        <v>28.38</v>
      </c>
      <c r="G55">
        <v>5</v>
      </c>
      <c r="H5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12.770999999999999</v>
      </c>
      <c r="I55" s="37">
        <f>Tableau2[[#This Row],[Facture_Mensuelle $]]*Tableau2[[#This Row],[Remise taux]]</f>
        <v>362.44097999999997</v>
      </c>
    </row>
    <row r="56" spans="1:9" x14ac:dyDescent="0.25">
      <c r="A56" t="s">
        <v>1010</v>
      </c>
      <c r="B56" t="s">
        <v>776</v>
      </c>
      <c r="C56">
        <v>84</v>
      </c>
      <c r="D56" t="s">
        <v>953</v>
      </c>
      <c r="E56">
        <v>380</v>
      </c>
      <c r="F56" s="36">
        <v>82.3</v>
      </c>
      <c r="G56">
        <v>1</v>
      </c>
      <c r="H5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37.034999999999997</v>
      </c>
      <c r="I56" s="37">
        <f>Tableau2[[#This Row],[Facture_Mensuelle $]]*Tableau2[[#This Row],[Remise taux]]</f>
        <v>3047.9804999999997</v>
      </c>
    </row>
    <row r="57" spans="1:9" x14ac:dyDescent="0.25">
      <c r="A57" t="s">
        <v>1011</v>
      </c>
      <c r="B57" t="s">
        <v>780</v>
      </c>
      <c r="C57">
        <v>22</v>
      </c>
      <c r="D57" t="s">
        <v>955</v>
      </c>
      <c r="E57">
        <v>457</v>
      </c>
      <c r="F57" s="36">
        <v>13.21</v>
      </c>
      <c r="G57">
        <v>1</v>
      </c>
      <c r="H5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5.9445000000000006</v>
      </c>
      <c r="I57" s="37">
        <f>Tableau2[[#This Row],[Facture_Mensuelle $]]*Tableau2[[#This Row],[Remise taux]]</f>
        <v>78.526845000000009</v>
      </c>
    </row>
    <row r="58" spans="1:9" x14ac:dyDescent="0.25">
      <c r="A58" t="s">
        <v>1012</v>
      </c>
      <c r="B58" t="s">
        <v>774</v>
      </c>
      <c r="C58">
        <v>91</v>
      </c>
      <c r="D58" t="s">
        <v>953</v>
      </c>
      <c r="E58">
        <v>188</v>
      </c>
      <c r="F58" s="36">
        <v>65.78</v>
      </c>
      <c r="G58">
        <v>4</v>
      </c>
      <c r="H5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8" s="37">
        <f>Tableau2[[#This Row],[Facture_Mensuelle $]]*Tableau2[[#This Row],[Remise taux]]</f>
        <v>0</v>
      </c>
    </row>
    <row r="59" spans="1:9" x14ac:dyDescent="0.25">
      <c r="A59" t="s">
        <v>1013</v>
      </c>
      <c r="B59" t="s">
        <v>777</v>
      </c>
      <c r="C59">
        <v>1</v>
      </c>
      <c r="D59" t="s">
        <v>953</v>
      </c>
      <c r="E59">
        <v>135</v>
      </c>
      <c r="F59" s="36">
        <v>89.16</v>
      </c>
      <c r="G59">
        <v>3</v>
      </c>
      <c r="H5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9" s="37">
        <f>Tableau2[[#This Row],[Facture_Mensuelle $]]*Tableau2[[#This Row],[Remise taux]]</f>
        <v>0</v>
      </c>
    </row>
    <row r="60" spans="1:9" x14ac:dyDescent="0.25">
      <c r="A60" t="s">
        <v>1014</v>
      </c>
      <c r="B60" t="s">
        <v>768</v>
      </c>
      <c r="C60">
        <v>15</v>
      </c>
      <c r="D60" t="s">
        <v>955</v>
      </c>
      <c r="E60">
        <v>403</v>
      </c>
      <c r="F60" s="36">
        <v>77.12</v>
      </c>
      <c r="G60">
        <v>1</v>
      </c>
      <c r="H6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34.704000000000001</v>
      </c>
      <c r="I60" s="37">
        <f>Tableau2[[#This Row],[Facture_Mensuelle $]]*Tableau2[[#This Row],[Remise taux]]</f>
        <v>2676.37248</v>
      </c>
    </row>
    <row r="61" spans="1:9" x14ac:dyDescent="0.25">
      <c r="A61" t="s">
        <v>1015</v>
      </c>
      <c r="B61" t="s">
        <v>772</v>
      </c>
      <c r="C61">
        <v>50</v>
      </c>
      <c r="D61" t="s">
        <v>955</v>
      </c>
      <c r="E61">
        <v>108</v>
      </c>
      <c r="F61" s="36">
        <v>43.81</v>
      </c>
      <c r="G61">
        <v>5</v>
      </c>
      <c r="H6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61" s="37">
        <f>Tableau2[[#This Row],[Facture_Mensuelle $]]*Tableau2[[#This Row],[Remise taux]]</f>
        <v>0</v>
      </c>
    </row>
    <row r="62" spans="1:9" x14ac:dyDescent="0.25">
      <c r="A62" t="s">
        <v>1016</v>
      </c>
      <c r="B62" t="s">
        <v>765</v>
      </c>
      <c r="C62">
        <v>19</v>
      </c>
      <c r="D62" t="s">
        <v>953</v>
      </c>
      <c r="E62">
        <v>305</v>
      </c>
      <c r="F62" s="36">
        <v>81.11</v>
      </c>
      <c r="G62">
        <v>1</v>
      </c>
      <c r="H6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36.499499999999998</v>
      </c>
      <c r="I62" s="37">
        <f>Tableau2[[#This Row],[Facture_Mensuelle $]]*Tableau2[[#This Row],[Remise taux]]</f>
        <v>2960.4744449999998</v>
      </c>
    </row>
    <row r="63" spans="1:9" x14ac:dyDescent="0.25">
      <c r="A63" t="s">
        <v>1017</v>
      </c>
      <c r="B63" t="s">
        <v>773</v>
      </c>
      <c r="C63">
        <v>56</v>
      </c>
      <c r="D63" t="s">
        <v>953</v>
      </c>
      <c r="E63">
        <v>27</v>
      </c>
      <c r="F63" s="36">
        <v>46.41</v>
      </c>
      <c r="G63">
        <v>3</v>
      </c>
      <c r="H6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63" s="37">
        <f>Tableau2[[#This Row],[Facture_Mensuelle $]]*Tableau2[[#This Row],[Remise taux]]</f>
        <v>0</v>
      </c>
    </row>
    <row r="64" spans="1:9" x14ac:dyDescent="0.25">
      <c r="A64" t="s">
        <v>1018</v>
      </c>
      <c r="B64" t="s">
        <v>768</v>
      </c>
      <c r="C64">
        <v>39</v>
      </c>
      <c r="D64" t="s">
        <v>955</v>
      </c>
      <c r="E64">
        <v>289</v>
      </c>
      <c r="F64" s="36">
        <v>86.7</v>
      </c>
      <c r="G64">
        <v>3</v>
      </c>
      <c r="H6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39.015000000000001</v>
      </c>
      <c r="I64" s="37">
        <f>Tableau2[[#This Row],[Facture_Mensuelle $]]*Tableau2[[#This Row],[Remise taux]]</f>
        <v>3382.6005</v>
      </c>
    </row>
    <row r="65" spans="1:9" x14ac:dyDescent="0.25">
      <c r="A65" t="s">
        <v>1019</v>
      </c>
      <c r="B65" t="s">
        <v>780</v>
      </c>
      <c r="C65">
        <v>98</v>
      </c>
      <c r="D65" t="s">
        <v>961</v>
      </c>
      <c r="E65">
        <v>319</v>
      </c>
      <c r="F65" s="36">
        <v>88.58</v>
      </c>
      <c r="G65">
        <v>0</v>
      </c>
      <c r="H6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39.860999999999997</v>
      </c>
      <c r="I65" s="37">
        <f>Tableau2[[#This Row],[Facture_Mensuelle $]]*Tableau2[[#This Row],[Remise taux]]</f>
        <v>3530.8873799999997</v>
      </c>
    </row>
    <row r="66" spans="1:9" x14ac:dyDescent="0.25">
      <c r="A66" t="s">
        <v>1020</v>
      </c>
      <c r="B66" t="s">
        <v>766</v>
      </c>
      <c r="C66">
        <v>71</v>
      </c>
      <c r="D66" t="s">
        <v>961</v>
      </c>
      <c r="E66">
        <v>191</v>
      </c>
      <c r="F66" s="36">
        <v>83.04</v>
      </c>
      <c r="G66">
        <v>4</v>
      </c>
      <c r="H6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66" s="37">
        <f>Tableau2[[#This Row],[Facture_Mensuelle $]]*Tableau2[[#This Row],[Remise taux]]</f>
        <v>0</v>
      </c>
    </row>
    <row r="67" spans="1:9" x14ac:dyDescent="0.25">
      <c r="A67" t="s">
        <v>1021</v>
      </c>
      <c r="B67" t="s">
        <v>765</v>
      </c>
      <c r="C67">
        <v>81</v>
      </c>
      <c r="D67" t="s">
        <v>955</v>
      </c>
      <c r="E67">
        <v>154</v>
      </c>
      <c r="F67" s="36">
        <v>19.47</v>
      </c>
      <c r="G67">
        <v>3</v>
      </c>
      <c r="H6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67" s="37">
        <f>Tableau2[[#This Row],[Facture_Mensuelle $]]*Tableau2[[#This Row],[Remise taux]]</f>
        <v>0</v>
      </c>
    </row>
    <row r="68" spans="1:9" x14ac:dyDescent="0.25">
      <c r="A68" t="s">
        <v>1022</v>
      </c>
      <c r="B68" t="s">
        <v>782</v>
      </c>
      <c r="C68">
        <v>34</v>
      </c>
      <c r="D68" t="s">
        <v>953</v>
      </c>
      <c r="E68">
        <v>35</v>
      </c>
      <c r="F68" s="36">
        <v>76.86</v>
      </c>
      <c r="G68">
        <v>1</v>
      </c>
      <c r="H6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68" s="37">
        <f>Tableau2[[#This Row],[Facture_Mensuelle $]]*Tableau2[[#This Row],[Remise taux]]</f>
        <v>0</v>
      </c>
    </row>
    <row r="69" spans="1:9" x14ac:dyDescent="0.25">
      <c r="A69" t="s">
        <v>1023</v>
      </c>
      <c r="B69" t="s">
        <v>782</v>
      </c>
      <c r="C69">
        <v>55</v>
      </c>
      <c r="D69" t="s">
        <v>957</v>
      </c>
      <c r="E69">
        <v>60</v>
      </c>
      <c r="F69" s="36">
        <v>32.51</v>
      </c>
      <c r="G69">
        <v>4</v>
      </c>
      <c r="H6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69" s="37">
        <f>Tableau2[[#This Row],[Facture_Mensuelle $]]*Tableau2[[#This Row],[Remise taux]]</f>
        <v>0</v>
      </c>
    </row>
    <row r="70" spans="1:9" x14ac:dyDescent="0.25">
      <c r="A70" t="s">
        <v>1024</v>
      </c>
      <c r="B70" t="s">
        <v>764</v>
      </c>
      <c r="C70">
        <v>47</v>
      </c>
      <c r="D70" t="s">
        <v>955</v>
      </c>
      <c r="E70">
        <v>107</v>
      </c>
      <c r="F70" s="36">
        <v>35.380000000000003</v>
      </c>
      <c r="G70">
        <v>1</v>
      </c>
      <c r="H7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70" s="37">
        <f>Tableau2[[#This Row],[Facture_Mensuelle $]]*Tableau2[[#This Row],[Remise taux]]</f>
        <v>0</v>
      </c>
    </row>
    <row r="71" spans="1:9" x14ac:dyDescent="0.25">
      <c r="A71" t="s">
        <v>1025</v>
      </c>
      <c r="B71" t="s">
        <v>769</v>
      </c>
      <c r="C71">
        <v>48</v>
      </c>
      <c r="D71" t="s">
        <v>957</v>
      </c>
      <c r="E71">
        <v>187</v>
      </c>
      <c r="F71" s="36">
        <v>21.26</v>
      </c>
      <c r="G71">
        <v>2</v>
      </c>
      <c r="H7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71" s="37">
        <f>Tableau2[[#This Row],[Facture_Mensuelle $]]*Tableau2[[#This Row],[Remise taux]]</f>
        <v>0</v>
      </c>
    </row>
    <row r="72" spans="1:9" x14ac:dyDescent="0.25">
      <c r="A72" t="s">
        <v>1026</v>
      </c>
      <c r="B72" t="s">
        <v>769</v>
      </c>
      <c r="C72">
        <v>47</v>
      </c>
      <c r="D72" t="s">
        <v>955</v>
      </c>
      <c r="E72">
        <v>378</v>
      </c>
      <c r="F72" s="36">
        <v>36.42</v>
      </c>
      <c r="G72">
        <v>1</v>
      </c>
      <c r="H7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16.389000000000003</v>
      </c>
      <c r="I72" s="37">
        <f>Tableau2[[#This Row],[Facture_Mensuelle $]]*Tableau2[[#This Row],[Remise taux]]</f>
        <v>596.88738000000012</v>
      </c>
    </row>
    <row r="73" spans="1:9" x14ac:dyDescent="0.25">
      <c r="A73" t="s">
        <v>1027</v>
      </c>
      <c r="B73" t="s">
        <v>785</v>
      </c>
      <c r="C73">
        <v>109</v>
      </c>
      <c r="D73" t="s">
        <v>957</v>
      </c>
      <c r="E73">
        <v>84</v>
      </c>
      <c r="F73" s="36">
        <v>97.46</v>
      </c>
      <c r="G73">
        <v>5</v>
      </c>
      <c r="H7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73" s="37">
        <f>Tableau2[[#This Row],[Facture_Mensuelle $]]*Tableau2[[#This Row],[Remise taux]]</f>
        <v>0</v>
      </c>
    </row>
    <row r="74" spans="1:9" x14ac:dyDescent="0.25">
      <c r="A74" t="s">
        <v>1028</v>
      </c>
      <c r="B74" t="s">
        <v>777</v>
      </c>
      <c r="C74">
        <v>40</v>
      </c>
      <c r="D74" t="s">
        <v>957</v>
      </c>
      <c r="E74">
        <v>219</v>
      </c>
      <c r="F74" s="36">
        <v>53.98</v>
      </c>
      <c r="G74">
        <v>2</v>
      </c>
      <c r="H7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74" s="37">
        <f>Tableau2[[#This Row],[Facture_Mensuelle $]]*Tableau2[[#This Row],[Remise taux]]</f>
        <v>0</v>
      </c>
    </row>
    <row r="75" spans="1:9" x14ac:dyDescent="0.25">
      <c r="A75" t="s">
        <v>1029</v>
      </c>
      <c r="B75" t="s">
        <v>767</v>
      </c>
      <c r="C75">
        <v>56</v>
      </c>
      <c r="D75" t="s">
        <v>957</v>
      </c>
      <c r="E75">
        <v>367</v>
      </c>
      <c r="F75" s="36">
        <v>72.790000000000006</v>
      </c>
      <c r="G75">
        <v>1</v>
      </c>
      <c r="H7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32.755500000000005</v>
      </c>
      <c r="I75" s="37">
        <f>Tableau2[[#This Row],[Facture_Mensuelle $]]*Tableau2[[#This Row],[Remise taux]]</f>
        <v>2384.2728450000004</v>
      </c>
    </row>
    <row r="76" spans="1:9" x14ac:dyDescent="0.25">
      <c r="A76" t="s">
        <v>1030</v>
      </c>
      <c r="B76" t="s">
        <v>762</v>
      </c>
      <c r="C76">
        <v>111</v>
      </c>
      <c r="D76" t="s">
        <v>953</v>
      </c>
      <c r="E76">
        <v>76</v>
      </c>
      <c r="F76" s="36">
        <v>38.19</v>
      </c>
      <c r="G76">
        <v>5</v>
      </c>
      <c r="H7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76" s="37">
        <f>Tableau2[[#This Row],[Facture_Mensuelle $]]*Tableau2[[#This Row],[Remise taux]]</f>
        <v>0</v>
      </c>
    </row>
    <row r="77" spans="1:9" x14ac:dyDescent="0.25">
      <c r="A77" t="s">
        <v>1031</v>
      </c>
      <c r="B77" t="s">
        <v>785</v>
      </c>
      <c r="C77">
        <v>99</v>
      </c>
      <c r="D77" t="s">
        <v>957</v>
      </c>
      <c r="E77">
        <v>493</v>
      </c>
      <c r="F77" s="36">
        <v>55.43</v>
      </c>
      <c r="G77">
        <v>2</v>
      </c>
      <c r="H7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24.9435</v>
      </c>
      <c r="I77" s="37">
        <f>Tableau2[[#This Row],[Facture_Mensuelle $]]*Tableau2[[#This Row],[Remise taux]]</f>
        <v>1382.618205</v>
      </c>
    </row>
    <row r="78" spans="1:9" x14ac:dyDescent="0.25">
      <c r="A78" t="s">
        <v>1032</v>
      </c>
      <c r="B78" t="s">
        <v>770</v>
      </c>
      <c r="C78">
        <v>56</v>
      </c>
      <c r="D78" t="s">
        <v>961</v>
      </c>
      <c r="E78">
        <v>354</v>
      </c>
      <c r="F78" s="36">
        <v>32.08</v>
      </c>
      <c r="G78">
        <v>1</v>
      </c>
      <c r="H7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14.436</v>
      </c>
      <c r="I78" s="37">
        <f>Tableau2[[#This Row],[Facture_Mensuelle $]]*Tableau2[[#This Row],[Remise taux]]</f>
        <v>463.10687999999999</v>
      </c>
    </row>
    <row r="79" spans="1:9" x14ac:dyDescent="0.25">
      <c r="A79" t="s">
        <v>1033</v>
      </c>
      <c r="B79" t="s">
        <v>773</v>
      </c>
      <c r="C79">
        <v>118</v>
      </c>
      <c r="D79" t="s">
        <v>955</v>
      </c>
      <c r="E79">
        <v>22</v>
      </c>
      <c r="F79" s="36">
        <v>15.39</v>
      </c>
      <c r="G79">
        <v>1</v>
      </c>
      <c r="H7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79" s="37">
        <f>Tableau2[[#This Row],[Facture_Mensuelle $]]*Tableau2[[#This Row],[Remise taux]]</f>
        <v>0</v>
      </c>
    </row>
    <row r="80" spans="1:9" x14ac:dyDescent="0.25">
      <c r="A80" t="s">
        <v>1034</v>
      </c>
      <c r="B80" t="s">
        <v>771</v>
      </c>
      <c r="C80">
        <v>59</v>
      </c>
      <c r="D80" t="s">
        <v>957</v>
      </c>
      <c r="E80">
        <v>192</v>
      </c>
      <c r="F80" s="36">
        <v>86.17</v>
      </c>
      <c r="G80">
        <v>1</v>
      </c>
      <c r="H8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80" s="37">
        <f>Tableau2[[#This Row],[Facture_Mensuelle $]]*Tableau2[[#This Row],[Remise taux]]</f>
        <v>0</v>
      </c>
    </row>
    <row r="81" spans="1:9" x14ac:dyDescent="0.25">
      <c r="A81" t="s">
        <v>1035</v>
      </c>
      <c r="B81" t="s">
        <v>776</v>
      </c>
      <c r="C81">
        <v>17</v>
      </c>
      <c r="D81" t="s">
        <v>953</v>
      </c>
      <c r="E81">
        <v>404</v>
      </c>
      <c r="F81" s="36">
        <v>83.4</v>
      </c>
      <c r="G81">
        <v>1</v>
      </c>
      <c r="H8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37.53</v>
      </c>
      <c r="I81" s="37">
        <f>Tableau2[[#This Row],[Facture_Mensuelle $]]*Tableau2[[#This Row],[Remise taux]]</f>
        <v>3130.0020000000004</v>
      </c>
    </row>
    <row r="82" spans="1:9" x14ac:dyDescent="0.25">
      <c r="A82" t="s">
        <v>1036</v>
      </c>
      <c r="B82" t="s">
        <v>763</v>
      </c>
      <c r="C82">
        <v>69</v>
      </c>
      <c r="D82" t="s">
        <v>953</v>
      </c>
      <c r="E82">
        <v>306</v>
      </c>
      <c r="F82" s="36">
        <v>13.97</v>
      </c>
      <c r="G82">
        <v>1</v>
      </c>
      <c r="H8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6.2865000000000002</v>
      </c>
      <c r="I82" s="37">
        <f>Tableau2[[#This Row],[Facture_Mensuelle $]]*Tableau2[[#This Row],[Remise taux]]</f>
        <v>87.822405000000003</v>
      </c>
    </row>
    <row r="83" spans="1:9" x14ac:dyDescent="0.25">
      <c r="A83" t="s">
        <v>1037</v>
      </c>
      <c r="B83" t="s">
        <v>775</v>
      </c>
      <c r="C83">
        <v>93</v>
      </c>
      <c r="D83" t="s">
        <v>961</v>
      </c>
      <c r="E83">
        <v>136</v>
      </c>
      <c r="F83" s="36">
        <v>19.09</v>
      </c>
      <c r="G83">
        <v>1</v>
      </c>
      <c r="H8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83" s="37">
        <f>Tableau2[[#This Row],[Facture_Mensuelle $]]*Tableau2[[#This Row],[Remise taux]]</f>
        <v>0</v>
      </c>
    </row>
    <row r="84" spans="1:9" x14ac:dyDescent="0.25">
      <c r="A84" t="s">
        <v>1038</v>
      </c>
      <c r="B84" t="s">
        <v>768</v>
      </c>
      <c r="C84">
        <v>43</v>
      </c>
      <c r="D84" t="s">
        <v>953</v>
      </c>
      <c r="E84">
        <v>20</v>
      </c>
      <c r="F84" s="36">
        <v>66.680000000000007</v>
      </c>
      <c r="G84">
        <v>5</v>
      </c>
      <c r="H8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84" s="37">
        <f>Tableau2[[#This Row],[Facture_Mensuelle $]]*Tableau2[[#This Row],[Remise taux]]</f>
        <v>0</v>
      </c>
    </row>
    <row r="85" spans="1:9" x14ac:dyDescent="0.25">
      <c r="A85" t="s">
        <v>1039</v>
      </c>
      <c r="B85" t="s">
        <v>786</v>
      </c>
      <c r="C85">
        <v>119</v>
      </c>
      <c r="D85" t="s">
        <v>957</v>
      </c>
      <c r="E85">
        <v>475</v>
      </c>
      <c r="F85" s="36">
        <v>25.98</v>
      </c>
      <c r="G85">
        <v>4</v>
      </c>
      <c r="H8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11.691000000000001</v>
      </c>
      <c r="I85" s="37">
        <f>Tableau2[[#This Row],[Facture_Mensuelle $]]*Tableau2[[#This Row],[Remise taux]]</f>
        <v>303.73218000000003</v>
      </c>
    </row>
    <row r="86" spans="1:9" x14ac:dyDescent="0.25">
      <c r="A86" t="s">
        <v>1040</v>
      </c>
      <c r="B86" t="s">
        <v>762</v>
      </c>
      <c r="C86">
        <v>41</v>
      </c>
      <c r="D86" t="s">
        <v>953</v>
      </c>
      <c r="E86">
        <v>425</v>
      </c>
      <c r="F86" s="36">
        <v>42.33</v>
      </c>
      <c r="G86">
        <v>3</v>
      </c>
      <c r="H8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19.048500000000001</v>
      </c>
      <c r="I86" s="37">
        <f>Tableau2[[#This Row],[Facture_Mensuelle $]]*Tableau2[[#This Row],[Remise taux]]</f>
        <v>806.32300499999997</v>
      </c>
    </row>
    <row r="87" spans="1:9" x14ac:dyDescent="0.25">
      <c r="A87" t="s">
        <v>1041</v>
      </c>
      <c r="B87" t="s">
        <v>763</v>
      </c>
      <c r="C87">
        <v>50</v>
      </c>
      <c r="D87" t="s">
        <v>953</v>
      </c>
      <c r="E87">
        <v>248</v>
      </c>
      <c r="F87" s="36">
        <v>69.42</v>
      </c>
      <c r="G87">
        <v>0</v>
      </c>
      <c r="H8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31.239000000000001</v>
      </c>
      <c r="I87" s="37">
        <f>Tableau2[[#This Row],[Facture_Mensuelle $]]*Tableau2[[#This Row],[Remise taux]]</f>
        <v>2168.6113800000003</v>
      </c>
    </row>
    <row r="88" spans="1:9" x14ac:dyDescent="0.25">
      <c r="A88" t="s">
        <v>1042</v>
      </c>
      <c r="B88" t="s">
        <v>771</v>
      </c>
      <c r="C88">
        <v>47</v>
      </c>
      <c r="D88" t="s">
        <v>957</v>
      </c>
      <c r="E88">
        <v>340</v>
      </c>
      <c r="F88" s="36">
        <v>31.02</v>
      </c>
      <c r="G88">
        <v>5</v>
      </c>
      <c r="H8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13.959</v>
      </c>
      <c r="I88" s="37">
        <f>Tableau2[[#This Row],[Facture_Mensuelle $]]*Tableau2[[#This Row],[Remise taux]]</f>
        <v>433.00817999999998</v>
      </c>
    </row>
    <row r="89" spans="1:9" x14ac:dyDescent="0.25">
      <c r="A89" t="s">
        <v>1043</v>
      </c>
      <c r="B89" t="s">
        <v>784</v>
      </c>
      <c r="C89">
        <v>52</v>
      </c>
      <c r="D89" t="s">
        <v>961</v>
      </c>
      <c r="E89">
        <v>425</v>
      </c>
      <c r="F89" s="36">
        <v>97.25</v>
      </c>
      <c r="G89">
        <v>0</v>
      </c>
      <c r="H8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43.762500000000003</v>
      </c>
      <c r="I89" s="37">
        <f>Tableau2[[#This Row],[Facture_Mensuelle $]]*Tableau2[[#This Row],[Remise taux]]</f>
        <v>4255.9031250000007</v>
      </c>
    </row>
    <row r="90" spans="1:9" x14ac:dyDescent="0.25">
      <c r="A90" t="s">
        <v>1044</v>
      </c>
      <c r="B90" t="s">
        <v>780</v>
      </c>
      <c r="C90">
        <v>20</v>
      </c>
      <c r="D90" t="s">
        <v>953</v>
      </c>
      <c r="E90">
        <v>26</v>
      </c>
      <c r="F90" s="36">
        <v>25.14</v>
      </c>
      <c r="G90">
        <v>0</v>
      </c>
      <c r="H9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90" s="37">
        <f>Tableau2[[#This Row],[Facture_Mensuelle $]]*Tableau2[[#This Row],[Remise taux]]</f>
        <v>0</v>
      </c>
    </row>
    <row r="91" spans="1:9" x14ac:dyDescent="0.25">
      <c r="A91" t="s">
        <v>1045</v>
      </c>
      <c r="B91" t="s">
        <v>764</v>
      </c>
      <c r="C91">
        <v>43</v>
      </c>
      <c r="D91" t="s">
        <v>953</v>
      </c>
      <c r="E91">
        <v>181</v>
      </c>
      <c r="F91" s="36">
        <v>72.39</v>
      </c>
      <c r="G91">
        <v>2</v>
      </c>
      <c r="H9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91" s="37">
        <f>Tableau2[[#This Row],[Facture_Mensuelle $]]*Tableau2[[#This Row],[Remise taux]]</f>
        <v>0</v>
      </c>
    </row>
    <row r="92" spans="1:9" x14ac:dyDescent="0.25">
      <c r="A92" t="s">
        <v>1046</v>
      </c>
      <c r="B92" t="s">
        <v>778</v>
      </c>
      <c r="C92">
        <v>44</v>
      </c>
      <c r="D92" t="s">
        <v>955</v>
      </c>
      <c r="E92">
        <v>137</v>
      </c>
      <c r="F92" s="36">
        <v>32.58</v>
      </c>
      <c r="G92">
        <v>0</v>
      </c>
      <c r="H9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92" s="37">
        <f>Tableau2[[#This Row],[Facture_Mensuelle $]]*Tableau2[[#This Row],[Remise taux]]</f>
        <v>0</v>
      </c>
    </row>
    <row r="93" spans="1:9" x14ac:dyDescent="0.25">
      <c r="A93" t="s">
        <v>1047</v>
      </c>
      <c r="B93" t="s">
        <v>777</v>
      </c>
      <c r="C93">
        <v>95</v>
      </c>
      <c r="D93" t="s">
        <v>955</v>
      </c>
      <c r="E93">
        <v>127</v>
      </c>
      <c r="F93" s="36">
        <v>94.9</v>
      </c>
      <c r="G93">
        <v>4</v>
      </c>
      <c r="H9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93" s="37">
        <f>Tableau2[[#This Row],[Facture_Mensuelle $]]*Tableau2[[#This Row],[Remise taux]]</f>
        <v>0</v>
      </c>
    </row>
    <row r="94" spans="1:9" x14ac:dyDescent="0.25">
      <c r="A94" t="s">
        <v>1048</v>
      </c>
      <c r="B94" t="s">
        <v>769</v>
      </c>
      <c r="C94">
        <v>63</v>
      </c>
      <c r="D94" t="s">
        <v>955</v>
      </c>
      <c r="E94">
        <v>449</v>
      </c>
      <c r="F94" s="36">
        <v>37.08</v>
      </c>
      <c r="G94">
        <v>0</v>
      </c>
      <c r="H9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16.686</v>
      </c>
      <c r="I94" s="37">
        <f>Tableau2[[#This Row],[Facture_Mensuelle $]]*Tableau2[[#This Row],[Remise taux]]</f>
        <v>618.71687999999995</v>
      </c>
    </row>
    <row r="95" spans="1:9" x14ac:dyDescent="0.25">
      <c r="A95" t="s">
        <v>1049</v>
      </c>
      <c r="B95" t="s">
        <v>778</v>
      </c>
      <c r="C95">
        <v>24</v>
      </c>
      <c r="D95" t="s">
        <v>957</v>
      </c>
      <c r="E95">
        <v>392</v>
      </c>
      <c r="F95" s="36">
        <v>27.06</v>
      </c>
      <c r="G95">
        <v>1</v>
      </c>
      <c r="H9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12.177</v>
      </c>
      <c r="I95" s="37">
        <f>Tableau2[[#This Row],[Facture_Mensuelle $]]*Tableau2[[#This Row],[Remise taux]]</f>
        <v>329.50961999999998</v>
      </c>
    </row>
    <row r="96" spans="1:9" x14ac:dyDescent="0.25">
      <c r="A96" t="s">
        <v>1050</v>
      </c>
      <c r="B96" t="s">
        <v>763</v>
      </c>
      <c r="C96">
        <v>9</v>
      </c>
      <c r="D96" t="s">
        <v>953</v>
      </c>
      <c r="E96">
        <v>11</v>
      </c>
      <c r="F96" s="36">
        <v>72.36</v>
      </c>
      <c r="G96">
        <v>2</v>
      </c>
      <c r="H9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96" s="37">
        <f>Tableau2[[#This Row],[Facture_Mensuelle $]]*Tableau2[[#This Row],[Remise taux]]</f>
        <v>0</v>
      </c>
    </row>
    <row r="97" spans="1:9" x14ac:dyDescent="0.25">
      <c r="A97" t="s">
        <v>1051</v>
      </c>
      <c r="B97" t="s">
        <v>768</v>
      </c>
      <c r="C97">
        <v>11</v>
      </c>
      <c r="D97" t="s">
        <v>953</v>
      </c>
      <c r="E97">
        <v>52</v>
      </c>
      <c r="F97" s="36">
        <v>76.53</v>
      </c>
      <c r="G97">
        <v>5</v>
      </c>
      <c r="H9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97" s="37">
        <f>Tableau2[[#This Row],[Facture_Mensuelle $]]*Tableau2[[#This Row],[Remise taux]]</f>
        <v>0</v>
      </c>
    </row>
    <row r="98" spans="1:9" x14ac:dyDescent="0.25">
      <c r="A98" t="s">
        <v>1052</v>
      </c>
      <c r="B98" t="s">
        <v>766</v>
      </c>
      <c r="C98">
        <v>57</v>
      </c>
      <c r="D98" t="s">
        <v>953</v>
      </c>
      <c r="E98">
        <v>493</v>
      </c>
      <c r="F98" s="36">
        <v>43.98</v>
      </c>
      <c r="G98">
        <v>3</v>
      </c>
      <c r="H9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19.791</v>
      </c>
      <c r="I98" s="37">
        <f>Tableau2[[#This Row],[Facture_Mensuelle $]]*Tableau2[[#This Row],[Remise taux]]</f>
        <v>870.4081799999999</v>
      </c>
    </row>
    <row r="99" spans="1:9" x14ac:dyDescent="0.25">
      <c r="A99" t="s">
        <v>1053</v>
      </c>
      <c r="B99" t="s">
        <v>770</v>
      </c>
      <c r="C99">
        <v>40</v>
      </c>
      <c r="D99" t="s">
        <v>953</v>
      </c>
      <c r="E99">
        <v>38</v>
      </c>
      <c r="F99" s="36">
        <v>17.63</v>
      </c>
      <c r="G99">
        <v>0</v>
      </c>
      <c r="H9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99" s="37">
        <f>Tableau2[[#This Row],[Facture_Mensuelle $]]*Tableau2[[#This Row],[Remise taux]]</f>
        <v>0</v>
      </c>
    </row>
    <row r="100" spans="1:9" x14ac:dyDescent="0.25">
      <c r="A100" t="s">
        <v>1054</v>
      </c>
      <c r="B100" t="s">
        <v>768</v>
      </c>
      <c r="C100">
        <v>19</v>
      </c>
      <c r="D100" t="s">
        <v>957</v>
      </c>
      <c r="E100">
        <v>334</v>
      </c>
      <c r="F100" s="36">
        <v>96.91</v>
      </c>
      <c r="G100">
        <v>1</v>
      </c>
      <c r="H10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43.609499999999997</v>
      </c>
      <c r="I100" s="37">
        <f>Tableau2[[#This Row],[Facture_Mensuelle $]]*Tableau2[[#This Row],[Remise taux]]</f>
        <v>4226.196645</v>
      </c>
    </row>
    <row r="101" spans="1:9" x14ac:dyDescent="0.25">
      <c r="A101" t="s">
        <v>1055</v>
      </c>
      <c r="B101" t="s">
        <v>764</v>
      </c>
      <c r="C101">
        <v>108</v>
      </c>
      <c r="D101" t="s">
        <v>955</v>
      </c>
      <c r="E101">
        <v>48</v>
      </c>
      <c r="F101" s="36">
        <v>86.22</v>
      </c>
      <c r="G101">
        <v>3</v>
      </c>
      <c r="H10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101" s="37">
        <f>Tableau2[[#This Row],[Facture_Mensuelle $]]*Tableau2[[#This Row],[Remise taux]]</f>
        <v>0</v>
      </c>
    </row>
    <row r="102" spans="1:9" x14ac:dyDescent="0.25">
      <c r="A102" t="s">
        <v>1056</v>
      </c>
      <c r="B102" t="s">
        <v>786</v>
      </c>
      <c r="C102">
        <v>37</v>
      </c>
      <c r="D102" t="s">
        <v>955</v>
      </c>
      <c r="E102">
        <v>150</v>
      </c>
      <c r="F102" s="36">
        <v>37.979999999999997</v>
      </c>
      <c r="G102">
        <v>4</v>
      </c>
      <c r="H10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102" s="37">
        <f>Tableau2[[#This Row],[Facture_Mensuelle $]]*Tableau2[[#This Row],[Remise taux]]</f>
        <v>0</v>
      </c>
    </row>
    <row r="103" spans="1:9" x14ac:dyDescent="0.25">
      <c r="A103" t="s">
        <v>1057</v>
      </c>
      <c r="B103" t="s">
        <v>774</v>
      </c>
      <c r="C103">
        <v>52</v>
      </c>
      <c r="D103" t="s">
        <v>955</v>
      </c>
      <c r="E103">
        <v>234</v>
      </c>
      <c r="F103" s="36">
        <v>62.87</v>
      </c>
      <c r="G103">
        <v>0</v>
      </c>
      <c r="H10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103" s="37">
        <f>Tableau2[[#This Row],[Facture_Mensuelle $]]*Tableau2[[#This Row],[Remise taux]]</f>
        <v>0</v>
      </c>
    </row>
    <row r="104" spans="1:9" x14ac:dyDescent="0.25">
      <c r="A104" t="s">
        <v>1058</v>
      </c>
      <c r="B104" t="s">
        <v>772</v>
      </c>
      <c r="C104">
        <v>113</v>
      </c>
      <c r="D104" t="s">
        <v>957</v>
      </c>
      <c r="E104">
        <v>380</v>
      </c>
      <c r="F104" s="36">
        <v>12.11</v>
      </c>
      <c r="G104">
        <v>0</v>
      </c>
      <c r="H10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5.4494999999999996</v>
      </c>
      <c r="I104" s="37">
        <f>Tableau2[[#This Row],[Facture_Mensuelle $]]*Tableau2[[#This Row],[Remise taux]]</f>
        <v>65.993444999999994</v>
      </c>
    </row>
    <row r="105" spans="1:9" x14ac:dyDescent="0.25">
      <c r="A105" t="s">
        <v>1059</v>
      </c>
      <c r="B105" t="s">
        <v>775</v>
      </c>
      <c r="C105">
        <v>21</v>
      </c>
      <c r="D105" t="s">
        <v>961</v>
      </c>
      <c r="E105">
        <v>371</v>
      </c>
      <c r="F105" s="36">
        <v>48.31</v>
      </c>
      <c r="G105">
        <v>0</v>
      </c>
      <c r="H10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21.739500000000003</v>
      </c>
      <c r="I105" s="37">
        <f>Tableau2[[#This Row],[Facture_Mensuelle $]]*Tableau2[[#This Row],[Remise taux]]</f>
        <v>1050.2352450000003</v>
      </c>
    </row>
    <row r="106" spans="1:9" x14ac:dyDescent="0.25">
      <c r="A106" t="s">
        <v>1060</v>
      </c>
      <c r="B106" t="s">
        <v>762</v>
      </c>
      <c r="C106">
        <v>7</v>
      </c>
      <c r="D106" t="s">
        <v>955</v>
      </c>
      <c r="E106">
        <v>347</v>
      </c>
      <c r="F106" s="36">
        <v>41.84</v>
      </c>
      <c r="G106">
        <v>2</v>
      </c>
      <c r="H10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18.828000000000003</v>
      </c>
      <c r="I106" s="37">
        <f>Tableau2[[#This Row],[Facture_Mensuelle $]]*Tableau2[[#This Row],[Remise taux]]</f>
        <v>787.7635200000002</v>
      </c>
    </row>
    <row r="107" spans="1:9" x14ac:dyDescent="0.25">
      <c r="A107" t="s">
        <v>1061</v>
      </c>
      <c r="B107" t="s">
        <v>770</v>
      </c>
      <c r="C107">
        <v>102</v>
      </c>
      <c r="D107" t="s">
        <v>955</v>
      </c>
      <c r="E107">
        <v>283</v>
      </c>
      <c r="F107" s="36">
        <v>28.98</v>
      </c>
      <c r="G107">
        <v>3</v>
      </c>
      <c r="H10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13.041</v>
      </c>
      <c r="I107" s="37">
        <f>Tableau2[[#This Row],[Facture_Mensuelle $]]*Tableau2[[#This Row],[Remise taux]]</f>
        <v>377.92818</v>
      </c>
    </row>
    <row r="108" spans="1:9" x14ac:dyDescent="0.25">
      <c r="A108" t="s">
        <v>1062</v>
      </c>
      <c r="B108" t="s">
        <v>772</v>
      </c>
      <c r="C108">
        <v>87</v>
      </c>
      <c r="D108" t="s">
        <v>955</v>
      </c>
      <c r="E108">
        <v>450</v>
      </c>
      <c r="F108" s="36">
        <v>64.3</v>
      </c>
      <c r="G108">
        <v>2</v>
      </c>
      <c r="H10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28.934999999999999</v>
      </c>
      <c r="I108" s="37">
        <f>Tableau2[[#This Row],[Facture_Mensuelle $]]*Tableau2[[#This Row],[Remise taux]]</f>
        <v>1860.5204999999999</v>
      </c>
    </row>
    <row r="109" spans="1:9" x14ac:dyDescent="0.25">
      <c r="A109" t="s">
        <v>1063</v>
      </c>
      <c r="B109" t="s">
        <v>767</v>
      </c>
      <c r="C109">
        <v>76</v>
      </c>
      <c r="D109" t="s">
        <v>961</v>
      </c>
      <c r="E109">
        <v>413</v>
      </c>
      <c r="F109" s="36">
        <v>28.39</v>
      </c>
      <c r="G109">
        <v>3</v>
      </c>
      <c r="H10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12.775500000000001</v>
      </c>
      <c r="I109" s="37">
        <f>Tableau2[[#This Row],[Facture_Mensuelle $]]*Tableau2[[#This Row],[Remise taux]]</f>
        <v>362.69644500000004</v>
      </c>
    </row>
    <row r="110" spans="1:9" x14ac:dyDescent="0.25">
      <c r="A110" t="s">
        <v>1064</v>
      </c>
      <c r="B110" t="s">
        <v>786</v>
      </c>
      <c r="C110">
        <v>2</v>
      </c>
      <c r="D110" t="s">
        <v>955</v>
      </c>
      <c r="E110">
        <v>496</v>
      </c>
      <c r="F110" s="36">
        <v>15.71</v>
      </c>
      <c r="G110">
        <v>3</v>
      </c>
      <c r="H11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7.0695000000000006</v>
      </c>
      <c r="I110" s="37">
        <f>Tableau2[[#This Row],[Facture_Mensuelle $]]*Tableau2[[#This Row],[Remise taux]]</f>
        <v>111.06184500000002</v>
      </c>
    </row>
    <row r="111" spans="1:9" x14ac:dyDescent="0.25">
      <c r="A111" t="s">
        <v>1065</v>
      </c>
      <c r="B111" t="s">
        <v>778</v>
      </c>
      <c r="C111">
        <v>47</v>
      </c>
      <c r="D111" t="s">
        <v>955</v>
      </c>
      <c r="E111">
        <v>328</v>
      </c>
      <c r="F111" s="36">
        <v>61.27</v>
      </c>
      <c r="G111">
        <v>3</v>
      </c>
      <c r="H11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27.5715</v>
      </c>
      <c r="I111" s="37">
        <f>Tableau2[[#This Row],[Facture_Mensuelle $]]*Tableau2[[#This Row],[Remise taux]]</f>
        <v>1689.3058050000002</v>
      </c>
    </row>
    <row r="112" spans="1:9" x14ac:dyDescent="0.25">
      <c r="A112" t="s">
        <v>1066</v>
      </c>
      <c r="B112" t="s">
        <v>776</v>
      </c>
      <c r="C112">
        <v>37</v>
      </c>
      <c r="D112" t="s">
        <v>957</v>
      </c>
      <c r="E112">
        <v>151</v>
      </c>
      <c r="F112" s="36">
        <v>62.49</v>
      </c>
      <c r="G112">
        <v>3</v>
      </c>
      <c r="H11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112" s="37">
        <f>Tableau2[[#This Row],[Facture_Mensuelle $]]*Tableau2[[#This Row],[Remise taux]]</f>
        <v>0</v>
      </c>
    </row>
    <row r="113" spans="1:9" x14ac:dyDescent="0.25">
      <c r="A113" t="s">
        <v>1067</v>
      </c>
      <c r="B113" t="s">
        <v>772</v>
      </c>
      <c r="C113">
        <v>89</v>
      </c>
      <c r="D113" t="s">
        <v>953</v>
      </c>
      <c r="E113">
        <v>175</v>
      </c>
      <c r="F113" s="36">
        <v>32.369999999999997</v>
      </c>
      <c r="G113">
        <v>1</v>
      </c>
      <c r="H11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113" s="37">
        <f>Tableau2[[#This Row],[Facture_Mensuelle $]]*Tableau2[[#This Row],[Remise taux]]</f>
        <v>0</v>
      </c>
    </row>
    <row r="114" spans="1:9" x14ac:dyDescent="0.25">
      <c r="A114" t="s">
        <v>1068</v>
      </c>
      <c r="B114" t="s">
        <v>772</v>
      </c>
      <c r="C114">
        <v>6</v>
      </c>
      <c r="D114" t="s">
        <v>961</v>
      </c>
      <c r="E114">
        <v>362</v>
      </c>
      <c r="F114" s="36">
        <v>75.739999999999995</v>
      </c>
      <c r="G114">
        <v>4</v>
      </c>
      <c r="H11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34.082999999999998</v>
      </c>
      <c r="I114" s="37">
        <f>Tableau2[[#This Row],[Facture_Mensuelle $]]*Tableau2[[#This Row],[Remise taux]]</f>
        <v>2581.4464199999998</v>
      </c>
    </row>
    <row r="115" spans="1:9" x14ac:dyDescent="0.25">
      <c r="A115" t="s">
        <v>1069</v>
      </c>
      <c r="B115" t="s">
        <v>762</v>
      </c>
      <c r="C115">
        <v>113</v>
      </c>
      <c r="D115" t="s">
        <v>961</v>
      </c>
      <c r="E115">
        <v>49</v>
      </c>
      <c r="F115" s="36">
        <v>48.91</v>
      </c>
      <c r="G115">
        <v>5</v>
      </c>
      <c r="H11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115" s="37">
        <f>Tableau2[[#This Row],[Facture_Mensuelle $]]*Tableau2[[#This Row],[Remise taux]]</f>
        <v>0</v>
      </c>
    </row>
    <row r="116" spans="1:9" x14ac:dyDescent="0.25">
      <c r="A116" t="s">
        <v>1070</v>
      </c>
      <c r="B116" t="s">
        <v>774</v>
      </c>
      <c r="C116">
        <v>20</v>
      </c>
      <c r="D116" t="s">
        <v>955</v>
      </c>
      <c r="E116">
        <v>93</v>
      </c>
      <c r="F116" s="36">
        <v>84.45</v>
      </c>
      <c r="G116">
        <v>0</v>
      </c>
      <c r="H11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116" s="37">
        <f>Tableau2[[#This Row],[Facture_Mensuelle $]]*Tableau2[[#This Row],[Remise taux]]</f>
        <v>0</v>
      </c>
    </row>
    <row r="117" spans="1:9" x14ac:dyDescent="0.25">
      <c r="A117" t="s">
        <v>1071</v>
      </c>
      <c r="B117" t="s">
        <v>772</v>
      </c>
      <c r="C117">
        <v>37</v>
      </c>
      <c r="D117" t="s">
        <v>961</v>
      </c>
      <c r="E117">
        <v>94</v>
      </c>
      <c r="F117" s="36">
        <v>50.44</v>
      </c>
      <c r="G117">
        <v>4</v>
      </c>
      <c r="H11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22.698</v>
      </c>
      <c r="I117" s="37">
        <f>Tableau2[[#This Row],[Facture_Mensuelle $]]*Tableau2[[#This Row],[Remise taux]]</f>
        <v>1144.8871199999999</v>
      </c>
    </row>
    <row r="118" spans="1:9" x14ac:dyDescent="0.25">
      <c r="A118" t="s">
        <v>1072</v>
      </c>
      <c r="B118" t="s">
        <v>771</v>
      </c>
      <c r="C118">
        <v>67</v>
      </c>
      <c r="D118" t="s">
        <v>957</v>
      </c>
      <c r="E118">
        <v>81</v>
      </c>
      <c r="F118" s="36">
        <v>28.52</v>
      </c>
      <c r="G118">
        <v>4</v>
      </c>
      <c r="H11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118" s="37">
        <f>Tableau2[[#This Row],[Facture_Mensuelle $]]*Tableau2[[#This Row],[Remise taux]]</f>
        <v>0</v>
      </c>
    </row>
    <row r="119" spans="1:9" x14ac:dyDescent="0.25">
      <c r="A119" t="s">
        <v>1073</v>
      </c>
      <c r="B119" t="s">
        <v>786</v>
      </c>
      <c r="C119">
        <v>18</v>
      </c>
      <c r="D119" t="s">
        <v>957</v>
      </c>
      <c r="E119">
        <v>34</v>
      </c>
      <c r="F119" s="36">
        <v>43.71</v>
      </c>
      <c r="G119">
        <v>1</v>
      </c>
      <c r="H11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119" s="37">
        <f>Tableau2[[#This Row],[Facture_Mensuelle $]]*Tableau2[[#This Row],[Remise taux]]</f>
        <v>0</v>
      </c>
    </row>
    <row r="120" spans="1:9" x14ac:dyDescent="0.25">
      <c r="A120" t="s">
        <v>1074</v>
      </c>
      <c r="B120" t="s">
        <v>782</v>
      </c>
      <c r="C120">
        <v>6</v>
      </c>
      <c r="D120" t="s">
        <v>957</v>
      </c>
      <c r="E120">
        <v>155</v>
      </c>
      <c r="F120" s="36">
        <v>40.659999999999997</v>
      </c>
      <c r="G120">
        <v>1</v>
      </c>
      <c r="H12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120" s="37">
        <f>Tableau2[[#This Row],[Facture_Mensuelle $]]*Tableau2[[#This Row],[Remise taux]]</f>
        <v>0</v>
      </c>
    </row>
    <row r="121" spans="1:9" x14ac:dyDescent="0.25">
      <c r="A121" t="s">
        <v>1075</v>
      </c>
      <c r="B121" t="s">
        <v>769</v>
      </c>
      <c r="C121">
        <v>92</v>
      </c>
      <c r="D121" t="s">
        <v>955</v>
      </c>
      <c r="E121">
        <v>487</v>
      </c>
      <c r="F121" s="36">
        <v>58.38</v>
      </c>
      <c r="G121">
        <v>1</v>
      </c>
      <c r="H12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26.271000000000001</v>
      </c>
      <c r="I121" s="37">
        <f>Tableau2[[#This Row],[Facture_Mensuelle $]]*Tableau2[[#This Row],[Remise taux]]</f>
        <v>1533.7009800000001</v>
      </c>
    </row>
    <row r="122" spans="1:9" x14ac:dyDescent="0.25">
      <c r="A122" t="s">
        <v>1076</v>
      </c>
      <c r="B122" t="s">
        <v>762</v>
      </c>
      <c r="C122">
        <v>57</v>
      </c>
      <c r="D122" t="s">
        <v>961</v>
      </c>
      <c r="E122">
        <v>36</v>
      </c>
      <c r="F122" s="36">
        <v>82.7</v>
      </c>
      <c r="G122">
        <v>2</v>
      </c>
      <c r="H12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37.215000000000003</v>
      </c>
      <c r="I122" s="37">
        <f>Tableau2[[#This Row],[Facture_Mensuelle $]]*Tableau2[[#This Row],[Remise taux]]</f>
        <v>3077.6805000000004</v>
      </c>
    </row>
    <row r="123" spans="1:9" x14ac:dyDescent="0.25">
      <c r="A123" t="s">
        <v>1077</v>
      </c>
      <c r="B123" t="s">
        <v>779</v>
      </c>
      <c r="C123">
        <v>16</v>
      </c>
      <c r="D123" t="s">
        <v>955</v>
      </c>
      <c r="E123">
        <v>214</v>
      </c>
      <c r="F123" s="36">
        <v>46.57</v>
      </c>
      <c r="G123">
        <v>5</v>
      </c>
      <c r="H12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123" s="37">
        <f>Tableau2[[#This Row],[Facture_Mensuelle $]]*Tableau2[[#This Row],[Remise taux]]</f>
        <v>0</v>
      </c>
    </row>
    <row r="124" spans="1:9" x14ac:dyDescent="0.25">
      <c r="A124" t="s">
        <v>1078</v>
      </c>
      <c r="B124" t="s">
        <v>780</v>
      </c>
      <c r="C124">
        <v>24</v>
      </c>
      <c r="D124" t="s">
        <v>955</v>
      </c>
      <c r="E124">
        <v>23</v>
      </c>
      <c r="F124" s="36">
        <v>28.55</v>
      </c>
      <c r="G124">
        <v>1</v>
      </c>
      <c r="H12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124" s="37">
        <f>Tableau2[[#This Row],[Facture_Mensuelle $]]*Tableau2[[#This Row],[Remise taux]]</f>
        <v>0</v>
      </c>
    </row>
    <row r="125" spans="1:9" x14ac:dyDescent="0.25">
      <c r="A125" t="s">
        <v>1079</v>
      </c>
      <c r="B125" t="s">
        <v>782</v>
      </c>
      <c r="C125">
        <v>32</v>
      </c>
      <c r="D125" t="s">
        <v>957</v>
      </c>
      <c r="E125">
        <v>475</v>
      </c>
      <c r="F125" s="36">
        <v>36.54</v>
      </c>
      <c r="G125">
        <v>3</v>
      </c>
      <c r="H12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16.443000000000001</v>
      </c>
      <c r="I125" s="37">
        <f>Tableau2[[#This Row],[Facture_Mensuelle $]]*Tableau2[[#This Row],[Remise taux]]</f>
        <v>600.82722000000001</v>
      </c>
    </row>
    <row r="126" spans="1:9" x14ac:dyDescent="0.25">
      <c r="A126" t="s">
        <v>1080</v>
      </c>
      <c r="B126" t="s">
        <v>772</v>
      </c>
      <c r="C126">
        <v>45</v>
      </c>
      <c r="D126" t="s">
        <v>955</v>
      </c>
      <c r="E126">
        <v>304</v>
      </c>
      <c r="F126" s="36">
        <v>65.540000000000006</v>
      </c>
      <c r="G126">
        <v>2</v>
      </c>
      <c r="H12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29.493000000000002</v>
      </c>
      <c r="I126" s="37">
        <f>Tableau2[[#This Row],[Facture_Mensuelle $]]*Tableau2[[#This Row],[Remise taux]]</f>
        <v>1932.9712200000004</v>
      </c>
    </row>
    <row r="127" spans="1:9" x14ac:dyDescent="0.25">
      <c r="A127" t="s">
        <v>1081</v>
      </c>
      <c r="B127" t="s">
        <v>773</v>
      </c>
      <c r="C127">
        <v>24</v>
      </c>
      <c r="D127" t="s">
        <v>953</v>
      </c>
      <c r="E127">
        <v>13</v>
      </c>
      <c r="F127" s="36">
        <v>89.3</v>
      </c>
      <c r="G127">
        <v>2</v>
      </c>
      <c r="H12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127" s="37">
        <f>Tableau2[[#This Row],[Facture_Mensuelle $]]*Tableau2[[#This Row],[Remise taux]]</f>
        <v>0</v>
      </c>
    </row>
    <row r="128" spans="1:9" x14ac:dyDescent="0.25">
      <c r="A128" t="s">
        <v>1082</v>
      </c>
      <c r="B128" t="s">
        <v>769</v>
      </c>
      <c r="C128">
        <v>97</v>
      </c>
      <c r="D128" t="s">
        <v>953</v>
      </c>
      <c r="E128">
        <v>40</v>
      </c>
      <c r="F128" s="36">
        <v>85.19</v>
      </c>
      <c r="G128">
        <v>1</v>
      </c>
      <c r="H12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128" s="37">
        <f>Tableau2[[#This Row],[Facture_Mensuelle $]]*Tableau2[[#This Row],[Remise taux]]</f>
        <v>0</v>
      </c>
    </row>
    <row r="129" spans="1:9" x14ac:dyDescent="0.25">
      <c r="A129" t="s">
        <v>1083</v>
      </c>
      <c r="B129" t="s">
        <v>778</v>
      </c>
      <c r="C129">
        <v>68</v>
      </c>
      <c r="D129" t="s">
        <v>953</v>
      </c>
      <c r="E129">
        <v>487</v>
      </c>
      <c r="F129" s="36">
        <v>69.099999999999994</v>
      </c>
      <c r="G129">
        <v>5</v>
      </c>
      <c r="H12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31.094999999999999</v>
      </c>
      <c r="I129" s="37">
        <f>Tableau2[[#This Row],[Facture_Mensuelle $]]*Tableau2[[#This Row],[Remise taux]]</f>
        <v>2148.6644999999999</v>
      </c>
    </row>
    <row r="130" spans="1:9" x14ac:dyDescent="0.25">
      <c r="A130" t="s">
        <v>1084</v>
      </c>
      <c r="B130" t="s">
        <v>765</v>
      </c>
      <c r="C130">
        <v>8</v>
      </c>
      <c r="D130" t="s">
        <v>953</v>
      </c>
      <c r="E130">
        <v>120</v>
      </c>
      <c r="F130" s="36">
        <v>88.29</v>
      </c>
      <c r="G130">
        <v>5</v>
      </c>
      <c r="H13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130" s="37">
        <f>Tableau2[[#This Row],[Facture_Mensuelle $]]*Tableau2[[#This Row],[Remise taux]]</f>
        <v>0</v>
      </c>
    </row>
    <row r="131" spans="1:9" x14ac:dyDescent="0.25">
      <c r="A131" t="s">
        <v>1085</v>
      </c>
      <c r="B131" t="s">
        <v>771</v>
      </c>
      <c r="C131">
        <v>75</v>
      </c>
      <c r="D131" t="s">
        <v>957</v>
      </c>
      <c r="E131">
        <v>99</v>
      </c>
      <c r="F131" s="36">
        <v>16.93</v>
      </c>
      <c r="G131">
        <v>5</v>
      </c>
      <c r="H13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131" s="37">
        <f>Tableau2[[#This Row],[Facture_Mensuelle $]]*Tableau2[[#This Row],[Remise taux]]</f>
        <v>0</v>
      </c>
    </row>
    <row r="132" spans="1:9" x14ac:dyDescent="0.25">
      <c r="A132" t="s">
        <v>1086</v>
      </c>
      <c r="B132" t="s">
        <v>779</v>
      </c>
      <c r="C132">
        <v>22</v>
      </c>
      <c r="D132" t="s">
        <v>961</v>
      </c>
      <c r="E132">
        <v>166</v>
      </c>
      <c r="F132" s="36">
        <v>31.8</v>
      </c>
      <c r="G132">
        <v>1</v>
      </c>
      <c r="H13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14.31</v>
      </c>
      <c r="I132" s="37">
        <f>Tableau2[[#This Row],[Facture_Mensuelle $]]*Tableau2[[#This Row],[Remise taux]]</f>
        <v>455.05800000000005</v>
      </c>
    </row>
    <row r="133" spans="1:9" x14ac:dyDescent="0.25">
      <c r="A133" t="s">
        <v>1087</v>
      </c>
      <c r="B133" t="s">
        <v>770</v>
      </c>
      <c r="C133">
        <v>91</v>
      </c>
      <c r="D133" t="s">
        <v>953</v>
      </c>
      <c r="E133">
        <v>300</v>
      </c>
      <c r="F133" s="36">
        <v>82.19</v>
      </c>
      <c r="G133">
        <v>1</v>
      </c>
      <c r="H13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36.985500000000002</v>
      </c>
      <c r="I133" s="37">
        <f>Tableau2[[#This Row],[Facture_Mensuelle $]]*Tableau2[[#This Row],[Remise taux]]</f>
        <v>3039.8382449999999</v>
      </c>
    </row>
    <row r="134" spans="1:9" x14ac:dyDescent="0.25">
      <c r="A134" t="s">
        <v>1088</v>
      </c>
      <c r="B134" t="s">
        <v>780</v>
      </c>
      <c r="C134">
        <v>66</v>
      </c>
      <c r="D134" t="s">
        <v>957</v>
      </c>
      <c r="E134">
        <v>270</v>
      </c>
      <c r="F134" s="36">
        <v>75.88</v>
      </c>
      <c r="G134">
        <v>3</v>
      </c>
      <c r="H13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34.146000000000001</v>
      </c>
      <c r="I134" s="37">
        <f>Tableau2[[#This Row],[Facture_Mensuelle $]]*Tableau2[[#This Row],[Remise taux]]</f>
        <v>2590.9984799999997</v>
      </c>
    </row>
    <row r="135" spans="1:9" x14ac:dyDescent="0.25">
      <c r="A135" t="s">
        <v>1089</v>
      </c>
      <c r="B135" t="s">
        <v>785</v>
      </c>
      <c r="C135">
        <v>98</v>
      </c>
      <c r="D135" t="s">
        <v>955</v>
      </c>
      <c r="E135">
        <v>41</v>
      </c>
      <c r="F135" s="36">
        <v>23.55</v>
      </c>
      <c r="G135">
        <v>1</v>
      </c>
      <c r="H13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135" s="37">
        <f>Tableau2[[#This Row],[Facture_Mensuelle $]]*Tableau2[[#This Row],[Remise taux]]</f>
        <v>0</v>
      </c>
    </row>
    <row r="136" spans="1:9" x14ac:dyDescent="0.25">
      <c r="A136" t="s">
        <v>1090</v>
      </c>
      <c r="B136" t="s">
        <v>772</v>
      </c>
      <c r="C136">
        <v>63</v>
      </c>
      <c r="D136" t="s">
        <v>953</v>
      </c>
      <c r="E136">
        <v>263</v>
      </c>
      <c r="F136" s="36">
        <v>53.87</v>
      </c>
      <c r="G136">
        <v>4</v>
      </c>
      <c r="H13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24.241499999999998</v>
      </c>
      <c r="I136" s="37">
        <f>Tableau2[[#This Row],[Facture_Mensuelle $]]*Tableau2[[#This Row],[Remise taux]]</f>
        <v>1305.8896049999998</v>
      </c>
    </row>
    <row r="137" spans="1:9" x14ac:dyDescent="0.25">
      <c r="A137" t="s">
        <v>1091</v>
      </c>
      <c r="B137" t="s">
        <v>781</v>
      </c>
      <c r="C137">
        <v>29</v>
      </c>
      <c r="D137" t="s">
        <v>953</v>
      </c>
      <c r="E137">
        <v>173</v>
      </c>
      <c r="F137" s="36">
        <v>49.03</v>
      </c>
      <c r="G137">
        <v>3</v>
      </c>
      <c r="H13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137" s="37">
        <f>Tableau2[[#This Row],[Facture_Mensuelle $]]*Tableau2[[#This Row],[Remise taux]]</f>
        <v>0</v>
      </c>
    </row>
    <row r="138" spans="1:9" x14ac:dyDescent="0.25">
      <c r="A138" t="s">
        <v>1092</v>
      </c>
      <c r="B138" t="s">
        <v>779</v>
      </c>
      <c r="C138">
        <v>83</v>
      </c>
      <c r="D138" t="s">
        <v>957</v>
      </c>
      <c r="E138">
        <v>30</v>
      </c>
      <c r="F138" s="36">
        <v>33.93</v>
      </c>
      <c r="G138">
        <v>3</v>
      </c>
      <c r="H13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138" s="37">
        <f>Tableau2[[#This Row],[Facture_Mensuelle $]]*Tableau2[[#This Row],[Remise taux]]</f>
        <v>0</v>
      </c>
    </row>
    <row r="139" spans="1:9" x14ac:dyDescent="0.25">
      <c r="A139" t="s">
        <v>1093</v>
      </c>
      <c r="B139" t="s">
        <v>786</v>
      </c>
      <c r="C139">
        <v>105</v>
      </c>
      <c r="D139" t="s">
        <v>957</v>
      </c>
      <c r="E139">
        <v>271</v>
      </c>
      <c r="F139" s="36">
        <v>45.27</v>
      </c>
      <c r="G139">
        <v>2</v>
      </c>
      <c r="H13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20.371500000000001</v>
      </c>
      <c r="I139" s="37">
        <f>Tableau2[[#This Row],[Facture_Mensuelle $]]*Tableau2[[#This Row],[Remise taux]]</f>
        <v>922.21780500000011</v>
      </c>
    </row>
    <row r="140" spans="1:9" x14ac:dyDescent="0.25">
      <c r="A140" t="s">
        <v>1094</v>
      </c>
      <c r="B140" t="s">
        <v>769</v>
      </c>
      <c r="C140">
        <v>117</v>
      </c>
      <c r="D140" t="s">
        <v>961</v>
      </c>
      <c r="E140">
        <v>282</v>
      </c>
      <c r="F140" s="36">
        <v>95.11</v>
      </c>
      <c r="G140">
        <v>0</v>
      </c>
      <c r="H14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42.799500000000002</v>
      </c>
      <c r="I140" s="37">
        <f>Tableau2[[#This Row],[Facture_Mensuelle $]]*Tableau2[[#This Row],[Remise taux]]</f>
        <v>4070.660445</v>
      </c>
    </row>
    <row r="141" spans="1:9" x14ac:dyDescent="0.25">
      <c r="A141" t="s">
        <v>1095</v>
      </c>
      <c r="B141" t="s">
        <v>781</v>
      </c>
      <c r="C141">
        <v>96</v>
      </c>
      <c r="D141" t="s">
        <v>961</v>
      </c>
      <c r="E141">
        <v>334</v>
      </c>
      <c r="F141" s="36">
        <v>64.77</v>
      </c>
      <c r="G141">
        <v>0</v>
      </c>
      <c r="H14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29.1465</v>
      </c>
      <c r="I141" s="37">
        <f>Tableau2[[#This Row],[Facture_Mensuelle $]]*Tableau2[[#This Row],[Remise taux]]</f>
        <v>1887.8188049999999</v>
      </c>
    </row>
    <row r="142" spans="1:9" x14ac:dyDescent="0.25">
      <c r="A142" t="s">
        <v>1096</v>
      </c>
      <c r="B142" t="s">
        <v>779</v>
      </c>
      <c r="C142">
        <v>34</v>
      </c>
      <c r="D142" t="s">
        <v>961</v>
      </c>
      <c r="E142">
        <v>170</v>
      </c>
      <c r="F142" s="36">
        <v>91.6</v>
      </c>
      <c r="G142">
        <v>2</v>
      </c>
      <c r="H14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41.22</v>
      </c>
      <c r="I142" s="37">
        <f>Tableau2[[#This Row],[Facture_Mensuelle $]]*Tableau2[[#This Row],[Remise taux]]</f>
        <v>3775.7519999999995</v>
      </c>
    </row>
    <row r="143" spans="1:9" x14ac:dyDescent="0.25">
      <c r="A143" t="s">
        <v>1097</v>
      </c>
      <c r="B143" t="s">
        <v>768</v>
      </c>
      <c r="C143">
        <v>7</v>
      </c>
      <c r="D143" t="s">
        <v>955</v>
      </c>
      <c r="E143">
        <v>323</v>
      </c>
      <c r="F143" s="36">
        <v>82.81</v>
      </c>
      <c r="G143">
        <v>5</v>
      </c>
      <c r="H14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37.264500000000005</v>
      </c>
      <c r="I143" s="37">
        <f>Tableau2[[#This Row],[Facture_Mensuelle $]]*Tableau2[[#This Row],[Remise taux]]</f>
        <v>3085.8732450000007</v>
      </c>
    </row>
    <row r="144" spans="1:9" x14ac:dyDescent="0.25">
      <c r="A144" t="s">
        <v>1098</v>
      </c>
      <c r="B144" t="s">
        <v>784</v>
      </c>
      <c r="C144">
        <v>39</v>
      </c>
      <c r="D144" t="s">
        <v>961</v>
      </c>
      <c r="E144">
        <v>220</v>
      </c>
      <c r="F144" s="36">
        <v>52.91</v>
      </c>
      <c r="G144">
        <v>0</v>
      </c>
      <c r="H14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23.8095</v>
      </c>
      <c r="I144" s="37">
        <f>Tableau2[[#This Row],[Facture_Mensuelle $]]*Tableau2[[#This Row],[Remise taux]]</f>
        <v>1259.7606449999998</v>
      </c>
    </row>
    <row r="145" spans="1:9" x14ac:dyDescent="0.25">
      <c r="A145" t="s">
        <v>1099</v>
      </c>
      <c r="B145" t="s">
        <v>775</v>
      </c>
      <c r="C145">
        <v>59</v>
      </c>
      <c r="D145" t="s">
        <v>957</v>
      </c>
      <c r="E145">
        <v>64</v>
      </c>
      <c r="F145" s="36">
        <v>20.32</v>
      </c>
      <c r="G145">
        <v>0</v>
      </c>
      <c r="H14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145" s="37">
        <f>Tableau2[[#This Row],[Facture_Mensuelle $]]*Tableau2[[#This Row],[Remise taux]]</f>
        <v>0</v>
      </c>
    </row>
    <row r="146" spans="1:9" x14ac:dyDescent="0.25">
      <c r="A146" t="s">
        <v>1100</v>
      </c>
      <c r="B146" t="s">
        <v>780</v>
      </c>
      <c r="C146">
        <v>28</v>
      </c>
      <c r="D146" t="s">
        <v>957</v>
      </c>
      <c r="E146">
        <v>112</v>
      </c>
      <c r="F146" s="36">
        <v>94.51</v>
      </c>
      <c r="G146">
        <v>3</v>
      </c>
      <c r="H14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146" s="37">
        <f>Tableau2[[#This Row],[Facture_Mensuelle $]]*Tableau2[[#This Row],[Remise taux]]</f>
        <v>0</v>
      </c>
    </row>
    <row r="147" spans="1:9" x14ac:dyDescent="0.25">
      <c r="A147" t="s">
        <v>1101</v>
      </c>
      <c r="B147" t="s">
        <v>781</v>
      </c>
      <c r="C147">
        <v>78</v>
      </c>
      <c r="D147" t="s">
        <v>961</v>
      </c>
      <c r="E147">
        <v>263</v>
      </c>
      <c r="F147" s="36">
        <v>53.58</v>
      </c>
      <c r="G147">
        <v>5</v>
      </c>
      <c r="H14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24.111000000000001</v>
      </c>
      <c r="I147" s="37">
        <f>Tableau2[[#This Row],[Facture_Mensuelle $]]*Tableau2[[#This Row],[Remise taux]]</f>
        <v>1291.8673799999999</v>
      </c>
    </row>
    <row r="148" spans="1:9" x14ac:dyDescent="0.25">
      <c r="A148" t="s">
        <v>1102</v>
      </c>
      <c r="B148" t="s">
        <v>769</v>
      </c>
      <c r="C148">
        <v>4</v>
      </c>
      <c r="D148" t="s">
        <v>955</v>
      </c>
      <c r="E148">
        <v>49</v>
      </c>
      <c r="F148" s="36">
        <v>41.35</v>
      </c>
      <c r="G148">
        <v>5</v>
      </c>
      <c r="H14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148" s="37">
        <f>Tableau2[[#This Row],[Facture_Mensuelle $]]*Tableau2[[#This Row],[Remise taux]]</f>
        <v>0</v>
      </c>
    </row>
    <row r="149" spans="1:9" x14ac:dyDescent="0.25">
      <c r="A149" t="s">
        <v>1103</v>
      </c>
      <c r="B149" t="s">
        <v>767</v>
      </c>
      <c r="C149">
        <v>37</v>
      </c>
      <c r="D149" t="s">
        <v>961</v>
      </c>
      <c r="E149">
        <v>213</v>
      </c>
      <c r="F149" s="36">
        <v>14.12</v>
      </c>
      <c r="G149">
        <v>1</v>
      </c>
      <c r="H14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6.3540000000000001</v>
      </c>
      <c r="I149" s="37">
        <f>Tableau2[[#This Row],[Facture_Mensuelle $]]*Tableau2[[#This Row],[Remise taux]]</f>
        <v>89.71848</v>
      </c>
    </row>
    <row r="150" spans="1:9" x14ac:dyDescent="0.25">
      <c r="A150" t="s">
        <v>1104</v>
      </c>
      <c r="B150" t="s">
        <v>764</v>
      </c>
      <c r="C150">
        <v>48</v>
      </c>
      <c r="D150" t="s">
        <v>961</v>
      </c>
      <c r="E150">
        <v>416</v>
      </c>
      <c r="F150" s="36">
        <v>81.260000000000005</v>
      </c>
      <c r="G150">
        <v>5</v>
      </c>
      <c r="H15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36.567</v>
      </c>
      <c r="I150" s="37">
        <f>Tableau2[[#This Row],[Facture_Mensuelle $]]*Tableau2[[#This Row],[Remise taux]]</f>
        <v>2971.43442</v>
      </c>
    </row>
    <row r="151" spans="1:9" x14ac:dyDescent="0.25">
      <c r="A151" t="s">
        <v>1105</v>
      </c>
      <c r="B151" t="s">
        <v>762</v>
      </c>
      <c r="C151">
        <v>51</v>
      </c>
      <c r="D151" t="s">
        <v>955</v>
      </c>
      <c r="E151">
        <v>336</v>
      </c>
      <c r="F151" s="36">
        <v>65.47</v>
      </c>
      <c r="G151">
        <v>1</v>
      </c>
      <c r="H15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29.461500000000001</v>
      </c>
      <c r="I151" s="37">
        <f>Tableau2[[#This Row],[Facture_Mensuelle $]]*Tableau2[[#This Row],[Remise taux]]</f>
        <v>1928.8444050000001</v>
      </c>
    </row>
    <row r="152" spans="1:9" x14ac:dyDescent="0.25">
      <c r="A152" t="s">
        <v>1106</v>
      </c>
      <c r="B152" t="s">
        <v>785</v>
      </c>
      <c r="C152">
        <v>20</v>
      </c>
      <c r="D152" t="s">
        <v>955</v>
      </c>
      <c r="E152">
        <v>31</v>
      </c>
      <c r="F152" s="36">
        <v>52.85</v>
      </c>
      <c r="G152">
        <v>2</v>
      </c>
      <c r="H15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152" s="37">
        <f>Tableau2[[#This Row],[Facture_Mensuelle $]]*Tableau2[[#This Row],[Remise taux]]</f>
        <v>0</v>
      </c>
    </row>
    <row r="153" spans="1:9" x14ac:dyDescent="0.25">
      <c r="A153" t="s">
        <v>1107</v>
      </c>
      <c r="B153" t="s">
        <v>777</v>
      </c>
      <c r="C153">
        <v>99</v>
      </c>
      <c r="D153" t="s">
        <v>961</v>
      </c>
      <c r="E153">
        <v>447</v>
      </c>
      <c r="F153" s="36">
        <v>38.1</v>
      </c>
      <c r="G153">
        <v>3</v>
      </c>
      <c r="H15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17.145</v>
      </c>
      <c r="I153" s="37">
        <f>Tableau2[[#This Row],[Facture_Mensuelle $]]*Tableau2[[#This Row],[Remise taux]]</f>
        <v>653.22450000000003</v>
      </c>
    </row>
    <row r="154" spans="1:9" x14ac:dyDescent="0.25">
      <c r="A154" t="s">
        <v>1108</v>
      </c>
      <c r="B154" t="s">
        <v>778</v>
      </c>
      <c r="C154">
        <v>87</v>
      </c>
      <c r="D154" t="s">
        <v>953</v>
      </c>
      <c r="E154">
        <v>21</v>
      </c>
      <c r="F154" s="36">
        <v>81.459999999999994</v>
      </c>
      <c r="G154">
        <v>3</v>
      </c>
      <c r="H15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154" s="37">
        <f>Tableau2[[#This Row],[Facture_Mensuelle $]]*Tableau2[[#This Row],[Remise taux]]</f>
        <v>0</v>
      </c>
    </row>
    <row r="155" spans="1:9" x14ac:dyDescent="0.25">
      <c r="A155" t="s">
        <v>1109</v>
      </c>
      <c r="B155" t="s">
        <v>778</v>
      </c>
      <c r="C155">
        <v>96</v>
      </c>
      <c r="D155" t="s">
        <v>961</v>
      </c>
      <c r="E155">
        <v>273</v>
      </c>
      <c r="F155" s="36">
        <v>37.909999999999997</v>
      </c>
      <c r="G155">
        <v>2</v>
      </c>
      <c r="H15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17.0595</v>
      </c>
      <c r="I155" s="37">
        <f>Tableau2[[#This Row],[Facture_Mensuelle $]]*Tableau2[[#This Row],[Remise taux]]</f>
        <v>646.72564499999999</v>
      </c>
    </row>
    <row r="156" spans="1:9" x14ac:dyDescent="0.25">
      <c r="A156" t="s">
        <v>1110</v>
      </c>
      <c r="B156" t="s">
        <v>779</v>
      </c>
      <c r="C156">
        <v>103</v>
      </c>
      <c r="D156" t="s">
        <v>957</v>
      </c>
      <c r="E156">
        <v>182</v>
      </c>
      <c r="F156" s="36">
        <v>12.07</v>
      </c>
      <c r="G156">
        <v>5</v>
      </c>
      <c r="H15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156" s="37">
        <f>Tableau2[[#This Row],[Facture_Mensuelle $]]*Tableau2[[#This Row],[Remise taux]]</f>
        <v>0</v>
      </c>
    </row>
    <row r="157" spans="1:9" x14ac:dyDescent="0.25">
      <c r="A157" t="s">
        <v>1111</v>
      </c>
      <c r="B157" t="s">
        <v>763</v>
      </c>
      <c r="C157">
        <v>18</v>
      </c>
      <c r="D157" t="s">
        <v>953</v>
      </c>
      <c r="E157">
        <v>446</v>
      </c>
      <c r="F157" s="36">
        <v>97.3</v>
      </c>
      <c r="G157">
        <v>5</v>
      </c>
      <c r="H15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43.784999999999997</v>
      </c>
      <c r="I157" s="37">
        <f>Tableau2[[#This Row],[Facture_Mensuelle $]]*Tableau2[[#This Row],[Remise taux]]</f>
        <v>4260.2804999999998</v>
      </c>
    </row>
    <row r="158" spans="1:9" x14ac:dyDescent="0.25">
      <c r="A158" t="s">
        <v>1112</v>
      </c>
      <c r="B158" t="s">
        <v>764</v>
      </c>
      <c r="C158">
        <v>28</v>
      </c>
      <c r="D158" t="s">
        <v>961</v>
      </c>
      <c r="E158">
        <v>343</v>
      </c>
      <c r="F158" s="36">
        <v>64.34</v>
      </c>
      <c r="G158">
        <v>5</v>
      </c>
      <c r="H15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28.953000000000003</v>
      </c>
      <c r="I158" s="37">
        <f>Tableau2[[#This Row],[Facture_Mensuelle $]]*Tableau2[[#This Row],[Remise taux]]</f>
        <v>1862.8360200000002</v>
      </c>
    </row>
    <row r="159" spans="1:9" x14ac:dyDescent="0.25">
      <c r="A159" t="s">
        <v>1113</v>
      </c>
      <c r="B159" t="s">
        <v>768</v>
      </c>
      <c r="C159">
        <v>60</v>
      </c>
      <c r="D159" t="s">
        <v>955</v>
      </c>
      <c r="E159">
        <v>334</v>
      </c>
      <c r="F159" s="36">
        <v>71.72</v>
      </c>
      <c r="G159">
        <v>3</v>
      </c>
      <c r="H15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32.274000000000001</v>
      </c>
      <c r="I159" s="37">
        <f>Tableau2[[#This Row],[Facture_Mensuelle $]]*Tableau2[[#This Row],[Remise taux]]</f>
        <v>2314.69128</v>
      </c>
    </row>
    <row r="160" spans="1:9" x14ac:dyDescent="0.25">
      <c r="A160" t="s">
        <v>1114</v>
      </c>
      <c r="B160" t="s">
        <v>774</v>
      </c>
      <c r="C160">
        <v>36</v>
      </c>
      <c r="D160" t="s">
        <v>957</v>
      </c>
      <c r="E160">
        <v>487</v>
      </c>
      <c r="F160" s="36">
        <v>45.02</v>
      </c>
      <c r="G160">
        <v>2</v>
      </c>
      <c r="H16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20.259</v>
      </c>
      <c r="I160" s="37">
        <f>Tableau2[[#This Row],[Facture_Mensuelle $]]*Tableau2[[#This Row],[Remise taux]]</f>
        <v>912.06018000000006</v>
      </c>
    </row>
    <row r="161" spans="1:9" x14ac:dyDescent="0.25">
      <c r="A161" t="s">
        <v>1115</v>
      </c>
      <c r="B161" t="s">
        <v>780</v>
      </c>
      <c r="C161">
        <v>106</v>
      </c>
      <c r="D161" t="s">
        <v>957</v>
      </c>
      <c r="E161">
        <v>407</v>
      </c>
      <c r="F161" s="36">
        <v>59.92</v>
      </c>
      <c r="G161">
        <v>4</v>
      </c>
      <c r="H16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26.964000000000002</v>
      </c>
      <c r="I161" s="37">
        <f>Tableau2[[#This Row],[Facture_Mensuelle $]]*Tableau2[[#This Row],[Remise taux]]</f>
        <v>1615.6828800000001</v>
      </c>
    </row>
    <row r="162" spans="1:9" x14ac:dyDescent="0.25">
      <c r="A162" t="s">
        <v>1116</v>
      </c>
      <c r="B162" t="s">
        <v>761</v>
      </c>
      <c r="C162">
        <v>40</v>
      </c>
      <c r="D162" t="s">
        <v>961</v>
      </c>
      <c r="E162">
        <v>345</v>
      </c>
      <c r="F162" s="36">
        <v>89.55</v>
      </c>
      <c r="G162">
        <v>3</v>
      </c>
      <c r="H16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40.297499999999999</v>
      </c>
      <c r="I162" s="37">
        <f>Tableau2[[#This Row],[Facture_Mensuelle $]]*Tableau2[[#This Row],[Remise taux]]</f>
        <v>3608.6411249999996</v>
      </c>
    </row>
    <row r="163" spans="1:9" x14ac:dyDescent="0.25">
      <c r="A163" t="s">
        <v>1117</v>
      </c>
      <c r="B163" t="s">
        <v>784</v>
      </c>
      <c r="C163">
        <v>120</v>
      </c>
      <c r="D163" t="s">
        <v>957</v>
      </c>
      <c r="E163">
        <v>242</v>
      </c>
      <c r="F163" s="36">
        <v>61.54</v>
      </c>
      <c r="G163">
        <v>1</v>
      </c>
      <c r="H16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27.693000000000001</v>
      </c>
      <c r="I163" s="37">
        <f>Tableau2[[#This Row],[Facture_Mensuelle $]]*Tableau2[[#This Row],[Remise taux]]</f>
        <v>1704.22722</v>
      </c>
    </row>
    <row r="164" spans="1:9" x14ac:dyDescent="0.25">
      <c r="A164" t="s">
        <v>1118</v>
      </c>
      <c r="B164" t="s">
        <v>777</v>
      </c>
      <c r="C164">
        <v>81</v>
      </c>
      <c r="D164" t="s">
        <v>961</v>
      </c>
      <c r="E164">
        <v>137</v>
      </c>
      <c r="F164" s="36">
        <v>89.05</v>
      </c>
      <c r="G164">
        <v>0</v>
      </c>
      <c r="H16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164" s="37">
        <f>Tableau2[[#This Row],[Facture_Mensuelle $]]*Tableau2[[#This Row],[Remise taux]]</f>
        <v>0</v>
      </c>
    </row>
    <row r="165" spans="1:9" x14ac:dyDescent="0.25">
      <c r="A165" t="s">
        <v>1119</v>
      </c>
      <c r="B165" t="s">
        <v>782</v>
      </c>
      <c r="C165">
        <v>105</v>
      </c>
      <c r="D165" t="s">
        <v>961</v>
      </c>
      <c r="E165">
        <v>454</v>
      </c>
      <c r="F165" s="36">
        <v>49.47</v>
      </c>
      <c r="G165">
        <v>4</v>
      </c>
      <c r="H16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22.261500000000002</v>
      </c>
      <c r="I165" s="37">
        <f>Tableau2[[#This Row],[Facture_Mensuelle $]]*Tableau2[[#This Row],[Remise taux]]</f>
        <v>1101.2764050000001</v>
      </c>
    </row>
    <row r="166" spans="1:9" x14ac:dyDescent="0.25">
      <c r="A166" t="s">
        <v>1120</v>
      </c>
      <c r="B166" t="s">
        <v>779</v>
      </c>
      <c r="C166">
        <v>5</v>
      </c>
      <c r="D166" t="s">
        <v>955</v>
      </c>
      <c r="E166">
        <v>98</v>
      </c>
      <c r="F166" s="36">
        <v>71.37</v>
      </c>
      <c r="G166">
        <v>1</v>
      </c>
      <c r="H16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166" s="37">
        <f>Tableau2[[#This Row],[Facture_Mensuelle $]]*Tableau2[[#This Row],[Remise taux]]</f>
        <v>0</v>
      </c>
    </row>
    <row r="167" spans="1:9" x14ac:dyDescent="0.25">
      <c r="A167" t="s">
        <v>1121</v>
      </c>
      <c r="B167" t="s">
        <v>775</v>
      </c>
      <c r="C167">
        <v>25</v>
      </c>
      <c r="D167" t="s">
        <v>961</v>
      </c>
      <c r="E167">
        <v>467</v>
      </c>
      <c r="F167" s="36">
        <v>97.78</v>
      </c>
      <c r="G167">
        <v>3</v>
      </c>
      <c r="H16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44.001000000000005</v>
      </c>
      <c r="I167" s="37">
        <f>Tableau2[[#This Row],[Facture_Mensuelle $]]*Tableau2[[#This Row],[Remise taux]]</f>
        <v>4302.4177800000007</v>
      </c>
    </row>
    <row r="168" spans="1:9" x14ac:dyDescent="0.25">
      <c r="A168" t="s">
        <v>1122</v>
      </c>
      <c r="B168" t="s">
        <v>780</v>
      </c>
      <c r="C168">
        <v>36</v>
      </c>
      <c r="D168" t="s">
        <v>961</v>
      </c>
      <c r="E168">
        <v>137</v>
      </c>
      <c r="F168" s="36">
        <v>71.930000000000007</v>
      </c>
      <c r="G168">
        <v>0</v>
      </c>
      <c r="H16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32.368500000000004</v>
      </c>
      <c r="I168" s="37">
        <f>Tableau2[[#This Row],[Facture_Mensuelle $]]*Tableau2[[#This Row],[Remise taux]]</f>
        <v>2328.2662050000004</v>
      </c>
    </row>
    <row r="169" spans="1:9" x14ac:dyDescent="0.25">
      <c r="A169" t="s">
        <v>1123</v>
      </c>
      <c r="B169" t="s">
        <v>773</v>
      </c>
      <c r="C169">
        <v>81</v>
      </c>
      <c r="D169" t="s">
        <v>957</v>
      </c>
      <c r="E169">
        <v>339</v>
      </c>
      <c r="F169" s="36">
        <v>53.4</v>
      </c>
      <c r="G169">
        <v>2</v>
      </c>
      <c r="H16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24.03</v>
      </c>
      <c r="I169" s="37">
        <f>Tableau2[[#This Row],[Facture_Mensuelle $]]*Tableau2[[#This Row],[Remise taux]]</f>
        <v>1283.202</v>
      </c>
    </row>
    <row r="170" spans="1:9" x14ac:dyDescent="0.25">
      <c r="A170" t="s">
        <v>1124</v>
      </c>
      <c r="B170" t="s">
        <v>776</v>
      </c>
      <c r="C170">
        <v>21</v>
      </c>
      <c r="D170" t="s">
        <v>953</v>
      </c>
      <c r="E170">
        <v>475</v>
      </c>
      <c r="F170" s="36">
        <v>15.12</v>
      </c>
      <c r="G170">
        <v>2</v>
      </c>
      <c r="H17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6.8039999999999994</v>
      </c>
      <c r="I170" s="37">
        <f>Tableau2[[#This Row],[Facture_Mensuelle $]]*Tableau2[[#This Row],[Remise taux]]</f>
        <v>102.87647999999999</v>
      </c>
    </row>
    <row r="171" spans="1:9" x14ac:dyDescent="0.25">
      <c r="A171" t="s">
        <v>1125</v>
      </c>
      <c r="B171" t="s">
        <v>784</v>
      </c>
      <c r="C171">
        <v>19</v>
      </c>
      <c r="D171" t="s">
        <v>957</v>
      </c>
      <c r="E171">
        <v>450</v>
      </c>
      <c r="F171" s="36">
        <v>37.43</v>
      </c>
      <c r="G171">
        <v>2</v>
      </c>
      <c r="H17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16.843499999999999</v>
      </c>
      <c r="I171" s="37">
        <f>Tableau2[[#This Row],[Facture_Mensuelle $]]*Tableau2[[#This Row],[Remise taux]]</f>
        <v>630.45220499999994</v>
      </c>
    </row>
    <row r="172" spans="1:9" x14ac:dyDescent="0.25">
      <c r="A172" t="s">
        <v>1126</v>
      </c>
      <c r="B172" t="s">
        <v>780</v>
      </c>
      <c r="C172">
        <v>64</v>
      </c>
      <c r="D172" t="s">
        <v>955</v>
      </c>
      <c r="E172">
        <v>6</v>
      </c>
      <c r="F172" s="36">
        <v>40.58</v>
      </c>
      <c r="G172">
        <v>5</v>
      </c>
      <c r="H17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172" s="37">
        <f>Tableau2[[#This Row],[Facture_Mensuelle $]]*Tableau2[[#This Row],[Remise taux]]</f>
        <v>0</v>
      </c>
    </row>
    <row r="173" spans="1:9" x14ac:dyDescent="0.25">
      <c r="A173" t="s">
        <v>1127</v>
      </c>
      <c r="B173" t="s">
        <v>762</v>
      </c>
      <c r="C173">
        <v>82</v>
      </c>
      <c r="D173" t="s">
        <v>953</v>
      </c>
      <c r="E173">
        <v>132</v>
      </c>
      <c r="F173" s="36">
        <v>50.14</v>
      </c>
      <c r="G173">
        <v>5</v>
      </c>
      <c r="H17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173" s="37">
        <f>Tableau2[[#This Row],[Facture_Mensuelle $]]*Tableau2[[#This Row],[Remise taux]]</f>
        <v>0</v>
      </c>
    </row>
    <row r="174" spans="1:9" x14ac:dyDescent="0.25">
      <c r="A174" t="s">
        <v>1128</v>
      </c>
      <c r="B174" t="s">
        <v>773</v>
      </c>
      <c r="C174">
        <v>74</v>
      </c>
      <c r="D174" t="s">
        <v>955</v>
      </c>
      <c r="E174">
        <v>371</v>
      </c>
      <c r="F174" s="36">
        <v>53.27</v>
      </c>
      <c r="G174">
        <v>3</v>
      </c>
      <c r="H17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23.971500000000002</v>
      </c>
      <c r="I174" s="37">
        <f>Tableau2[[#This Row],[Facture_Mensuelle $]]*Tableau2[[#This Row],[Remise taux]]</f>
        <v>1276.9618050000001</v>
      </c>
    </row>
    <row r="175" spans="1:9" x14ac:dyDescent="0.25">
      <c r="A175" t="s">
        <v>1129</v>
      </c>
      <c r="B175" t="s">
        <v>782</v>
      </c>
      <c r="C175">
        <v>116</v>
      </c>
      <c r="D175" t="s">
        <v>955</v>
      </c>
      <c r="E175">
        <v>486</v>
      </c>
      <c r="F175" s="36">
        <v>92.96</v>
      </c>
      <c r="G175">
        <v>5</v>
      </c>
      <c r="H17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41.832000000000001</v>
      </c>
      <c r="I175" s="37">
        <f>Tableau2[[#This Row],[Facture_Mensuelle $]]*Tableau2[[#This Row],[Remise taux]]</f>
        <v>3888.7027199999998</v>
      </c>
    </row>
    <row r="176" spans="1:9" x14ac:dyDescent="0.25">
      <c r="A176" t="s">
        <v>1130</v>
      </c>
      <c r="B176" t="s">
        <v>770</v>
      </c>
      <c r="C176">
        <v>29</v>
      </c>
      <c r="D176" t="s">
        <v>955</v>
      </c>
      <c r="E176">
        <v>34</v>
      </c>
      <c r="F176" s="36">
        <v>86.68</v>
      </c>
      <c r="G176">
        <v>1</v>
      </c>
      <c r="H17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176" s="37">
        <f>Tableau2[[#This Row],[Facture_Mensuelle $]]*Tableau2[[#This Row],[Remise taux]]</f>
        <v>0</v>
      </c>
    </row>
    <row r="177" spans="1:9" x14ac:dyDescent="0.25">
      <c r="A177" t="s">
        <v>1131</v>
      </c>
      <c r="B177" t="s">
        <v>771</v>
      </c>
      <c r="C177">
        <v>113</v>
      </c>
      <c r="D177" t="s">
        <v>955</v>
      </c>
      <c r="E177">
        <v>152</v>
      </c>
      <c r="F177" s="36">
        <v>51.28</v>
      </c>
      <c r="G177">
        <v>4</v>
      </c>
      <c r="H17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177" s="37">
        <f>Tableau2[[#This Row],[Facture_Mensuelle $]]*Tableau2[[#This Row],[Remise taux]]</f>
        <v>0</v>
      </c>
    </row>
    <row r="178" spans="1:9" x14ac:dyDescent="0.25">
      <c r="A178" t="s">
        <v>1132</v>
      </c>
      <c r="B178" t="s">
        <v>771</v>
      </c>
      <c r="C178">
        <v>16</v>
      </c>
      <c r="D178" t="s">
        <v>957</v>
      </c>
      <c r="E178">
        <v>390</v>
      </c>
      <c r="F178" s="36">
        <v>52.64</v>
      </c>
      <c r="G178">
        <v>0</v>
      </c>
      <c r="H17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23.688000000000002</v>
      </c>
      <c r="I178" s="37">
        <f>Tableau2[[#This Row],[Facture_Mensuelle $]]*Tableau2[[#This Row],[Remise taux]]</f>
        <v>1246.9363200000003</v>
      </c>
    </row>
    <row r="179" spans="1:9" x14ac:dyDescent="0.25">
      <c r="A179" t="s">
        <v>1133</v>
      </c>
      <c r="B179" t="s">
        <v>771</v>
      </c>
      <c r="C179">
        <v>72</v>
      </c>
      <c r="D179" t="s">
        <v>955</v>
      </c>
      <c r="E179">
        <v>442</v>
      </c>
      <c r="F179" s="36">
        <v>59.2</v>
      </c>
      <c r="G179">
        <v>1</v>
      </c>
      <c r="H17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26.64</v>
      </c>
      <c r="I179" s="37">
        <f>Tableau2[[#This Row],[Facture_Mensuelle $]]*Tableau2[[#This Row],[Remise taux]]</f>
        <v>1577.0880000000002</v>
      </c>
    </row>
    <row r="180" spans="1:9" x14ac:dyDescent="0.25">
      <c r="A180" t="s">
        <v>1134</v>
      </c>
      <c r="B180" t="s">
        <v>773</v>
      </c>
      <c r="C180">
        <v>59</v>
      </c>
      <c r="D180" t="s">
        <v>953</v>
      </c>
      <c r="E180">
        <v>196</v>
      </c>
      <c r="F180" s="36">
        <v>62.53</v>
      </c>
      <c r="G180">
        <v>0</v>
      </c>
      <c r="H18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180" s="37">
        <f>Tableau2[[#This Row],[Facture_Mensuelle $]]*Tableau2[[#This Row],[Remise taux]]</f>
        <v>0</v>
      </c>
    </row>
    <row r="181" spans="1:9" x14ac:dyDescent="0.25">
      <c r="A181" t="s">
        <v>1135</v>
      </c>
      <c r="B181" t="s">
        <v>773</v>
      </c>
      <c r="C181">
        <v>38</v>
      </c>
      <c r="D181" t="s">
        <v>961</v>
      </c>
      <c r="E181">
        <v>60</v>
      </c>
      <c r="F181" s="36">
        <v>58.28</v>
      </c>
      <c r="G181">
        <v>4</v>
      </c>
      <c r="H18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26.226000000000003</v>
      </c>
      <c r="I181" s="37">
        <f>Tableau2[[#This Row],[Facture_Mensuelle $]]*Tableau2[[#This Row],[Remise taux]]</f>
        <v>1528.4512800000002</v>
      </c>
    </row>
    <row r="182" spans="1:9" x14ac:dyDescent="0.25">
      <c r="A182" t="s">
        <v>1136</v>
      </c>
      <c r="B182" t="s">
        <v>766</v>
      </c>
      <c r="C182">
        <v>118</v>
      </c>
      <c r="D182" t="s">
        <v>953</v>
      </c>
      <c r="E182">
        <v>186</v>
      </c>
      <c r="F182" s="36">
        <v>46.88</v>
      </c>
      <c r="G182">
        <v>1</v>
      </c>
      <c r="H18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182" s="37">
        <f>Tableau2[[#This Row],[Facture_Mensuelle $]]*Tableau2[[#This Row],[Remise taux]]</f>
        <v>0</v>
      </c>
    </row>
    <row r="183" spans="1:9" x14ac:dyDescent="0.25">
      <c r="A183" t="s">
        <v>1137</v>
      </c>
      <c r="B183" t="s">
        <v>775</v>
      </c>
      <c r="C183">
        <v>42</v>
      </c>
      <c r="D183" t="s">
        <v>957</v>
      </c>
      <c r="E183">
        <v>453</v>
      </c>
      <c r="F183" s="36">
        <v>36.700000000000003</v>
      </c>
      <c r="G183">
        <v>4</v>
      </c>
      <c r="H18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16.515000000000001</v>
      </c>
      <c r="I183" s="37">
        <f>Tableau2[[#This Row],[Facture_Mensuelle $]]*Tableau2[[#This Row],[Remise taux]]</f>
        <v>606.10050000000012</v>
      </c>
    </row>
    <row r="184" spans="1:9" x14ac:dyDescent="0.25">
      <c r="A184" t="s">
        <v>1138</v>
      </c>
      <c r="B184" t="s">
        <v>766</v>
      </c>
      <c r="C184">
        <v>80</v>
      </c>
      <c r="D184" t="s">
        <v>953</v>
      </c>
      <c r="E184">
        <v>260</v>
      </c>
      <c r="F184" s="36">
        <v>65.87</v>
      </c>
      <c r="G184">
        <v>3</v>
      </c>
      <c r="H18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29.641500000000004</v>
      </c>
      <c r="I184" s="37">
        <f>Tableau2[[#This Row],[Facture_Mensuelle $]]*Tableau2[[#This Row],[Remise taux]]</f>
        <v>1952.4856050000003</v>
      </c>
    </row>
    <row r="185" spans="1:9" x14ac:dyDescent="0.25">
      <c r="A185" t="s">
        <v>1139</v>
      </c>
      <c r="B185" t="s">
        <v>774</v>
      </c>
      <c r="C185">
        <v>7</v>
      </c>
      <c r="D185" t="s">
        <v>961</v>
      </c>
      <c r="E185">
        <v>303</v>
      </c>
      <c r="F185" s="36">
        <v>60.95</v>
      </c>
      <c r="G185">
        <v>0</v>
      </c>
      <c r="H18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27.427500000000002</v>
      </c>
      <c r="I185" s="37">
        <f>Tableau2[[#This Row],[Facture_Mensuelle $]]*Tableau2[[#This Row],[Remise taux]]</f>
        <v>1671.7061250000002</v>
      </c>
    </row>
    <row r="186" spans="1:9" x14ac:dyDescent="0.25">
      <c r="A186" t="s">
        <v>1140</v>
      </c>
      <c r="B186" t="s">
        <v>781</v>
      </c>
      <c r="C186">
        <v>14</v>
      </c>
      <c r="D186" t="s">
        <v>955</v>
      </c>
      <c r="E186">
        <v>345</v>
      </c>
      <c r="F186" s="36">
        <v>39.57</v>
      </c>
      <c r="G186">
        <v>3</v>
      </c>
      <c r="H18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17.8065</v>
      </c>
      <c r="I186" s="37">
        <f>Tableau2[[#This Row],[Facture_Mensuelle $]]*Tableau2[[#This Row],[Remise taux]]</f>
        <v>704.603205</v>
      </c>
    </row>
    <row r="187" spans="1:9" x14ac:dyDescent="0.25">
      <c r="A187" t="s">
        <v>1141</v>
      </c>
      <c r="B187" t="s">
        <v>777</v>
      </c>
      <c r="C187">
        <v>83</v>
      </c>
      <c r="D187" t="s">
        <v>961</v>
      </c>
      <c r="E187">
        <v>284</v>
      </c>
      <c r="F187" s="36">
        <v>73.7</v>
      </c>
      <c r="G187">
        <v>0</v>
      </c>
      <c r="H18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33.164999999999999</v>
      </c>
      <c r="I187" s="37">
        <f>Tableau2[[#This Row],[Facture_Mensuelle $]]*Tableau2[[#This Row],[Remise taux]]</f>
        <v>2444.2604999999999</v>
      </c>
    </row>
    <row r="188" spans="1:9" x14ac:dyDescent="0.25">
      <c r="A188" t="s">
        <v>1142</v>
      </c>
      <c r="B188" t="s">
        <v>761</v>
      </c>
      <c r="C188">
        <v>56</v>
      </c>
      <c r="D188" t="s">
        <v>961</v>
      </c>
      <c r="E188">
        <v>123</v>
      </c>
      <c r="F188" s="36">
        <v>29.76</v>
      </c>
      <c r="G188">
        <v>5</v>
      </c>
      <c r="H18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13.392000000000001</v>
      </c>
      <c r="I188" s="37">
        <f>Tableau2[[#This Row],[Facture_Mensuelle $]]*Tableau2[[#This Row],[Remise taux]]</f>
        <v>398.54592000000008</v>
      </c>
    </row>
    <row r="189" spans="1:9" x14ac:dyDescent="0.25">
      <c r="A189" t="s">
        <v>1143</v>
      </c>
      <c r="B189" t="s">
        <v>765</v>
      </c>
      <c r="C189">
        <v>33</v>
      </c>
      <c r="D189" t="s">
        <v>955</v>
      </c>
      <c r="E189">
        <v>207</v>
      </c>
      <c r="F189" s="36">
        <v>38.49</v>
      </c>
      <c r="G189">
        <v>4</v>
      </c>
      <c r="H18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189" s="37">
        <f>Tableau2[[#This Row],[Facture_Mensuelle $]]*Tableau2[[#This Row],[Remise taux]]</f>
        <v>0</v>
      </c>
    </row>
    <row r="190" spans="1:9" x14ac:dyDescent="0.25">
      <c r="A190" t="s">
        <v>1144</v>
      </c>
      <c r="B190" t="s">
        <v>778</v>
      </c>
      <c r="C190">
        <v>113</v>
      </c>
      <c r="D190" t="s">
        <v>961</v>
      </c>
      <c r="E190">
        <v>207</v>
      </c>
      <c r="F190" s="36">
        <v>21.55</v>
      </c>
      <c r="G190">
        <v>0</v>
      </c>
      <c r="H19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190" s="37">
        <f>Tableau2[[#This Row],[Facture_Mensuelle $]]*Tableau2[[#This Row],[Remise taux]]</f>
        <v>0</v>
      </c>
    </row>
    <row r="191" spans="1:9" x14ac:dyDescent="0.25">
      <c r="A191" t="s">
        <v>1145</v>
      </c>
      <c r="B191" t="s">
        <v>783</v>
      </c>
      <c r="C191">
        <v>89</v>
      </c>
      <c r="D191" t="s">
        <v>957</v>
      </c>
      <c r="E191">
        <v>418</v>
      </c>
      <c r="F191" s="36">
        <v>86.63</v>
      </c>
      <c r="G191">
        <v>4</v>
      </c>
      <c r="H19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38.983499999999999</v>
      </c>
      <c r="I191" s="37">
        <f>Tableau2[[#This Row],[Facture_Mensuelle $]]*Tableau2[[#This Row],[Remise taux]]</f>
        <v>3377.1406049999996</v>
      </c>
    </row>
    <row r="192" spans="1:9" x14ac:dyDescent="0.25">
      <c r="A192" t="s">
        <v>1146</v>
      </c>
      <c r="B192" t="s">
        <v>785</v>
      </c>
      <c r="C192">
        <v>35</v>
      </c>
      <c r="D192" t="s">
        <v>955</v>
      </c>
      <c r="E192">
        <v>465</v>
      </c>
      <c r="F192" s="36">
        <v>58.59</v>
      </c>
      <c r="G192">
        <v>5</v>
      </c>
      <c r="H19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26.365500000000001</v>
      </c>
      <c r="I192" s="37">
        <f>Tableau2[[#This Row],[Facture_Mensuelle $]]*Tableau2[[#This Row],[Remise taux]]</f>
        <v>1544.7546450000002</v>
      </c>
    </row>
    <row r="193" spans="1:9" x14ac:dyDescent="0.25">
      <c r="A193" t="s">
        <v>1147</v>
      </c>
      <c r="B193" t="s">
        <v>772</v>
      </c>
      <c r="C193">
        <v>79</v>
      </c>
      <c r="D193" t="s">
        <v>957</v>
      </c>
      <c r="E193">
        <v>139</v>
      </c>
      <c r="F193" s="36">
        <v>16.25</v>
      </c>
      <c r="G193">
        <v>4</v>
      </c>
      <c r="H19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193" s="37">
        <f>Tableau2[[#This Row],[Facture_Mensuelle $]]*Tableau2[[#This Row],[Remise taux]]</f>
        <v>0</v>
      </c>
    </row>
    <row r="194" spans="1:9" x14ac:dyDescent="0.25">
      <c r="A194" t="s">
        <v>1148</v>
      </c>
      <c r="B194" t="s">
        <v>775</v>
      </c>
      <c r="C194">
        <v>82</v>
      </c>
      <c r="D194" t="s">
        <v>961</v>
      </c>
      <c r="E194">
        <v>32</v>
      </c>
      <c r="F194" s="36">
        <v>77.63</v>
      </c>
      <c r="G194">
        <v>1</v>
      </c>
      <c r="H19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194" s="37">
        <f>Tableau2[[#This Row],[Facture_Mensuelle $]]*Tableau2[[#This Row],[Remise taux]]</f>
        <v>0</v>
      </c>
    </row>
    <row r="195" spans="1:9" x14ac:dyDescent="0.25">
      <c r="A195" t="s">
        <v>1149</v>
      </c>
      <c r="B195" t="s">
        <v>779</v>
      </c>
      <c r="C195">
        <v>21</v>
      </c>
      <c r="D195" t="s">
        <v>953</v>
      </c>
      <c r="E195">
        <v>307</v>
      </c>
      <c r="F195" s="36">
        <v>39.81</v>
      </c>
      <c r="G195">
        <v>5</v>
      </c>
      <c r="H19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17.9145</v>
      </c>
      <c r="I195" s="37">
        <f>Tableau2[[#This Row],[Facture_Mensuelle $]]*Tableau2[[#This Row],[Remise taux]]</f>
        <v>713.17624500000011</v>
      </c>
    </row>
    <row r="196" spans="1:9" x14ac:dyDescent="0.25">
      <c r="A196" t="s">
        <v>1150</v>
      </c>
      <c r="B196" t="s">
        <v>782</v>
      </c>
      <c r="C196">
        <v>74</v>
      </c>
      <c r="D196" t="s">
        <v>961</v>
      </c>
      <c r="E196">
        <v>213</v>
      </c>
      <c r="F196" s="36">
        <v>35.54</v>
      </c>
      <c r="G196">
        <v>3</v>
      </c>
      <c r="H19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196" s="37">
        <f>Tableau2[[#This Row],[Facture_Mensuelle $]]*Tableau2[[#This Row],[Remise taux]]</f>
        <v>0</v>
      </c>
    </row>
    <row r="197" spans="1:9" x14ac:dyDescent="0.25">
      <c r="A197" t="s">
        <v>1151</v>
      </c>
      <c r="B197" t="s">
        <v>774</v>
      </c>
      <c r="C197">
        <v>99</v>
      </c>
      <c r="D197" t="s">
        <v>955</v>
      </c>
      <c r="E197">
        <v>325</v>
      </c>
      <c r="F197" s="36">
        <v>88.35</v>
      </c>
      <c r="G197">
        <v>4</v>
      </c>
      <c r="H19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39.7575</v>
      </c>
      <c r="I197" s="37">
        <f>Tableau2[[#This Row],[Facture_Mensuelle $]]*Tableau2[[#This Row],[Remise taux]]</f>
        <v>3512.5751249999998</v>
      </c>
    </row>
    <row r="198" spans="1:9" x14ac:dyDescent="0.25">
      <c r="A198" t="s">
        <v>1152</v>
      </c>
      <c r="B198" t="s">
        <v>776</v>
      </c>
      <c r="C198">
        <v>15</v>
      </c>
      <c r="D198" t="s">
        <v>957</v>
      </c>
      <c r="E198">
        <v>81</v>
      </c>
      <c r="F198" s="36" t="s">
        <v>1153</v>
      </c>
      <c r="G198">
        <v>4</v>
      </c>
      <c r="H19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198" s="37">
        <f>Tableau2[[#This Row],[Facture_Mensuelle $]]*Tableau2[[#This Row],[Remise taux]]</f>
        <v>0</v>
      </c>
    </row>
    <row r="199" spans="1:9" x14ac:dyDescent="0.25">
      <c r="A199" t="s">
        <v>1154</v>
      </c>
      <c r="B199" t="s">
        <v>768</v>
      </c>
      <c r="C199">
        <v>36</v>
      </c>
      <c r="D199" t="s">
        <v>953</v>
      </c>
      <c r="E199">
        <v>303</v>
      </c>
      <c r="F199" s="36">
        <v>89.56</v>
      </c>
      <c r="G199">
        <v>1</v>
      </c>
      <c r="H19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40.302</v>
      </c>
      <c r="I199" s="37">
        <f>Tableau2[[#This Row],[Facture_Mensuelle $]]*Tableau2[[#This Row],[Remise taux]]</f>
        <v>3609.4471200000003</v>
      </c>
    </row>
    <row r="200" spans="1:9" x14ac:dyDescent="0.25">
      <c r="A200" t="s">
        <v>1155</v>
      </c>
      <c r="B200" t="s">
        <v>771</v>
      </c>
      <c r="C200">
        <v>15</v>
      </c>
      <c r="D200" t="s">
        <v>955</v>
      </c>
      <c r="E200">
        <v>203</v>
      </c>
      <c r="F200" s="36">
        <v>55.29</v>
      </c>
      <c r="G200">
        <v>2</v>
      </c>
      <c r="H20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200" s="37">
        <f>Tableau2[[#This Row],[Facture_Mensuelle $]]*Tableau2[[#This Row],[Remise taux]]</f>
        <v>0</v>
      </c>
    </row>
    <row r="201" spans="1:9" x14ac:dyDescent="0.25">
      <c r="A201" t="s">
        <v>1156</v>
      </c>
      <c r="B201" t="s">
        <v>777</v>
      </c>
      <c r="C201">
        <v>25</v>
      </c>
      <c r="D201" t="s">
        <v>955</v>
      </c>
      <c r="E201">
        <v>218</v>
      </c>
      <c r="F201" s="36">
        <v>68.790000000000006</v>
      </c>
      <c r="G201">
        <v>0</v>
      </c>
      <c r="H20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201" s="37">
        <f>Tableau2[[#This Row],[Facture_Mensuelle $]]*Tableau2[[#This Row],[Remise taux]]</f>
        <v>0</v>
      </c>
    </row>
    <row r="202" spans="1:9" x14ac:dyDescent="0.25">
      <c r="A202" t="s">
        <v>1157</v>
      </c>
      <c r="B202" t="s">
        <v>769</v>
      </c>
      <c r="C202">
        <v>49</v>
      </c>
      <c r="D202" t="s">
        <v>953</v>
      </c>
      <c r="E202">
        <v>288</v>
      </c>
      <c r="F202" s="36">
        <v>91.32</v>
      </c>
      <c r="G202">
        <v>4</v>
      </c>
      <c r="H20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41.094000000000001</v>
      </c>
      <c r="I202" s="37">
        <f>Tableau2[[#This Row],[Facture_Mensuelle $]]*Tableau2[[#This Row],[Remise taux]]</f>
        <v>3752.70408</v>
      </c>
    </row>
    <row r="203" spans="1:9" x14ac:dyDescent="0.25">
      <c r="A203" t="s">
        <v>1158</v>
      </c>
      <c r="B203" t="s">
        <v>765</v>
      </c>
      <c r="C203">
        <v>58</v>
      </c>
      <c r="D203" t="s">
        <v>955</v>
      </c>
      <c r="E203">
        <v>352</v>
      </c>
      <c r="F203" s="36">
        <v>72.94</v>
      </c>
      <c r="G203">
        <v>0</v>
      </c>
      <c r="H20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32.823</v>
      </c>
      <c r="I203" s="37">
        <f>Tableau2[[#This Row],[Facture_Mensuelle $]]*Tableau2[[#This Row],[Remise taux]]</f>
        <v>2394.1096200000002</v>
      </c>
    </row>
    <row r="204" spans="1:9" x14ac:dyDescent="0.25">
      <c r="A204" t="s">
        <v>1159</v>
      </c>
      <c r="B204" t="s">
        <v>762</v>
      </c>
      <c r="C204">
        <v>102</v>
      </c>
      <c r="D204" t="s">
        <v>957</v>
      </c>
      <c r="E204">
        <v>240</v>
      </c>
      <c r="F204" s="36">
        <v>12.52</v>
      </c>
      <c r="G204">
        <v>2</v>
      </c>
      <c r="H20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5.6340000000000003</v>
      </c>
      <c r="I204" s="37">
        <f>Tableau2[[#This Row],[Facture_Mensuelle $]]*Tableau2[[#This Row],[Remise taux]]</f>
        <v>70.537680000000009</v>
      </c>
    </row>
    <row r="205" spans="1:9" x14ac:dyDescent="0.25">
      <c r="A205" t="s">
        <v>1160</v>
      </c>
      <c r="B205" t="s">
        <v>774</v>
      </c>
      <c r="C205">
        <v>99</v>
      </c>
      <c r="D205" t="s">
        <v>953</v>
      </c>
      <c r="E205">
        <v>369</v>
      </c>
      <c r="F205" s="36">
        <v>67.209999999999994</v>
      </c>
      <c r="G205">
        <v>3</v>
      </c>
      <c r="H20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30.244499999999999</v>
      </c>
      <c r="I205" s="37">
        <f>Tableau2[[#This Row],[Facture_Mensuelle $]]*Tableau2[[#This Row],[Remise taux]]</f>
        <v>2032.7328449999998</v>
      </c>
    </row>
    <row r="206" spans="1:9" x14ac:dyDescent="0.25">
      <c r="A206" t="s">
        <v>1161</v>
      </c>
      <c r="B206" t="s">
        <v>770</v>
      </c>
      <c r="C206">
        <v>82</v>
      </c>
      <c r="D206" t="s">
        <v>961</v>
      </c>
      <c r="E206">
        <v>264</v>
      </c>
      <c r="F206" s="36">
        <v>88.03</v>
      </c>
      <c r="G206">
        <v>1</v>
      </c>
      <c r="H20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39.613500000000002</v>
      </c>
      <c r="I206" s="37">
        <f>Tableau2[[#This Row],[Facture_Mensuelle $]]*Tableau2[[#This Row],[Remise taux]]</f>
        <v>3487.1764050000002</v>
      </c>
    </row>
    <row r="207" spans="1:9" x14ac:dyDescent="0.25">
      <c r="A207" t="s">
        <v>1162</v>
      </c>
      <c r="B207" t="s">
        <v>765</v>
      </c>
      <c r="C207">
        <v>72</v>
      </c>
      <c r="D207" t="s">
        <v>957</v>
      </c>
      <c r="E207">
        <v>51</v>
      </c>
      <c r="F207" s="36">
        <v>95.09</v>
      </c>
      <c r="G207">
        <v>0</v>
      </c>
      <c r="H20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207" s="37">
        <f>Tableau2[[#This Row],[Facture_Mensuelle $]]*Tableau2[[#This Row],[Remise taux]]</f>
        <v>0</v>
      </c>
    </row>
    <row r="208" spans="1:9" x14ac:dyDescent="0.25">
      <c r="A208" t="s">
        <v>1163</v>
      </c>
      <c r="B208" t="s">
        <v>784</v>
      </c>
      <c r="C208">
        <v>110</v>
      </c>
      <c r="D208" t="s">
        <v>955</v>
      </c>
      <c r="E208">
        <v>423</v>
      </c>
      <c r="F208" s="36">
        <v>37.35</v>
      </c>
      <c r="G208">
        <v>4</v>
      </c>
      <c r="H20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16.807500000000001</v>
      </c>
      <c r="I208" s="37">
        <f>Tableau2[[#This Row],[Facture_Mensuelle $]]*Tableau2[[#This Row],[Remise taux]]</f>
        <v>627.76012500000002</v>
      </c>
    </row>
    <row r="209" spans="1:9" x14ac:dyDescent="0.25">
      <c r="A209" t="s">
        <v>1164</v>
      </c>
      <c r="B209" t="s">
        <v>765</v>
      </c>
      <c r="C209">
        <v>104</v>
      </c>
      <c r="D209" t="s">
        <v>955</v>
      </c>
      <c r="E209">
        <v>60</v>
      </c>
      <c r="F209" s="36">
        <v>45.51</v>
      </c>
      <c r="G209">
        <v>1</v>
      </c>
      <c r="H20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209" s="37">
        <f>Tableau2[[#This Row],[Facture_Mensuelle $]]*Tableau2[[#This Row],[Remise taux]]</f>
        <v>0</v>
      </c>
    </row>
    <row r="210" spans="1:9" x14ac:dyDescent="0.25">
      <c r="A210" t="s">
        <v>1165</v>
      </c>
      <c r="B210" t="s">
        <v>778</v>
      </c>
      <c r="C210">
        <v>96</v>
      </c>
      <c r="D210" t="s">
        <v>957</v>
      </c>
      <c r="E210">
        <v>290</v>
      </c>
      <c r="F210" s="36">
        <v>29</v>
      </c>
      <c r="G210">
        <v>3</v>
      </c>
      <c r="H21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13.05</v>
      </c>
      <c r="I210" s="37">
        <f>Tableau2[[#This Row],[Facture_Mensuelle $]]*Tableau2[[#This Row],[Remise taux]]</f>
        <v>378.45000000000005</v>
      </c>
    </row>
    <row r="211" spans="1:9" x14ac:dyDescent="0.25">
      <c r="A211" t="s">
        <v>1166</v>
      </c>
      <c r="B211" t="s">
        <v>765</v>
      </c>
      <c r="C211">
        <v>17</v>
      </c>
      <c r="D211" t="s">
        <v>957</v>
      </c>
      <c r="E211">
        <v>483</v>
      </c>
      <c r="F211" s="36">
        <v>77.08</v>
      </c>
      <c r="G211">
        <v>0</v>
      </c>
      <c r="H21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34.686</v>
      </c>
      <c r="I211" s="37">
        <f>Tableau2[[#This Row],[Facture_Mensuelle $]]*Tableau2[[#This Row],[Remise taux]]</f>
        <v>2673.5968800000001</v>
      </c>
    </row>
    <row r="212" spans="1:9" x14ac:dyDescent="0.25">
      <c r="A212" t="s">
        <v>1167</v>
      </c>
      <c r="B212" t="s">
        <v>775</v>
      </c>
      <c r="C212">
        <v>43</v>
      </c>
      <c r="D212" t="s">
        <v>961</v>
      </c>
      <c r="E212">
        <v>193</v>
      </c>
      <c r="F212" s="36">
        <v>35.81</v>
      </c>
      <c r="G212">
        <v>0</v>
      </c>
      <c r="H21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16.114500000000003</v>
      </c>
      <c r="I212" s="37">
        <f>Tableau2[[#This Row],[Facture_Mensuelle $]]*Tableau2[[#This Row],[Remise taux]]</f>
        <v>577.06024500000012</v>
      </c>
    </row>
    <row r="213" spans="1:9" x14ac:dyDescent="0.25">
      <c r="A213" t="s">
        <v>1168</v>
      </c>
      <c r="B213" t="s">
        <v>786</v>
      </c>
      <c r="C213">
        <v>104</v>
      </c>
      <c r="D213" t="s">
        <v>955</v>
      </c>
      <c r="E213">
        <v>125</v>
      </c>
      <c r="F213" s="36">
        <v>29.7</v>
      </c>
      <c r="G213">
        <v>2</v>
      </c>
      <c r="H21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213" s="37">
        <f>Tableau2[[#This Row],[Facture_Mensuelle $]]*Tableau2[[#This Row],[Remise taux]]</f>
        <v>0</v>
      </c>
    </row>
    <row r="214" spans="1:9" x14ac:dyDescent="0.25">
      <c r="A214" t="s">
        <v>1169</v>
      </c>
      <c r="B214" t="s">
        <v>776</v>
      </c>
      <c r="C214">
        <v>6</v>
      </c>
      <c r="D214" t="s">
        <v>955</v>
      </c>
      <c r="E214">
        <v>342</v>
      </c>
      <c r="F214" s="36">
        <v>50.55</v>
      </c>
      <c r="G214">
        <v>5</v>
      </c>
      <c r="H21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22.747499999999999</v>
      </c>
      <c r="I214" s="37">
        <f>Tableau2[[#This Row],[Facture_Mensuelle $]]*Tableau2[[#This Row],[Remise taux]]</f>
        <v>1149.8861249999998</v>
      </c>
    </row>
    <row r="215" spans="1:9" x14ac:dyDescent="0.25">
      <c r="A215" t="s">
        <v>1170</v>
      </c>
      <c r="B215" t="s">
        <v>784</v>
      </c>
      <c r="C215">
        <v>109</v>
      </c>
      <c r="D215" t="s">
        <v>957</v>
      </c>
      <c r="E215">
        <v>347</v>
      </c>
      <c r="F215" s="36">
        <v>43.06</v>
      </c>
      <c r="G215">
        <v>4</v>
      </c>
      <c r="H21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19.377000000000002</v>
      </c>
      <c r="I215" s="37">
        <f>Tableau2[[#This Row],[Facture_Mensuelle $]]*Tableau2[[#This Row],[Remise taux]]</f>
        <v>834.37362000000019</v>
      </c>
    </row>
    <row r="216" spans="1:9" x14ac:dyDescent="0.25">
      <c r="A216" t="s">
        <v>1171</v>
      </c>
      <c r="B216" t="s">
        <v>775</v>
      </c>
      <c r="C216">
        <v>110</v>
      </c>
      <c r="D216" t="s">
        <v>961</v>
      </c>
      <c r="E216">
        <v>321</v>
      </c>
      <c r="F216" s="36">
        <v>81.569999999999993</v>
      </c>
      <c r="G216">
        <v>2</v>
      </c>
      <c r="H21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36.706499999999998</v>
      </c>
      <c r="I216" s="37">
        <f>Tableau2[[#This Row],[Facture_Mensuelle $]]*Tableau2[[#This Row],[Remise taux]]</f>
        <v>2994.1492049999997</v>
      </c>
    </row>
    <row r="217" spans="1:9" x14ac:dyDescent="0.25">
      <c r="A217" t="s">
        <v>1172</v>
      </c>
      <c r="B217" t="s">
        <v>773</v>
      </c>
      <c r="C217">
        <v>17</v>
      </c>
      <c r="D217" t="s">
        <v>957</v>
      </c>
      <c r="E217">
        <v>310</v>
      </c>
      <c r="F217" s="36">
        <v>19.68</v>
      </c>
      <c r="G217">
        <v>5</v>
      </c>
      <c r="H21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8.8559999999999999</v>
      </c>
      <c r="I217" s="37">
        <f>Tableau2[[#This Row],[Facture_Mensuelle $]]*Tableau2[[#This Row],[Remise taux]]</f>
        <v>174.28608</v>
      </c>
    </row>
    <row r="218" spans="1:9" x14ac:dyDescent="0.25">
      <c r="A218" t="s">
        <v>1173</v>
      </c>
      <c r="B218" t="s">
        <v>781</v>
      </c>
      <c r="C218">
        <v>75</v>
      </c>
      <c r="D218" t="s">
        <v>953</v>
      </c>
      <c r="E218">
        <v>370</v>
      </c>
      <c r="F218" s="36">
        <v>21.67</v>
      </c>
      <c r="G218">
        <v>0</v>
      </c>
      <c r="H21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9.7515000000000018</v>
      </c>
      <c r="I218" s="37">
        <f>Tableau2[[#This Row],[Facture_Mensuelle $]]*Tableau2[[#This Row],[Remise taux]]</f>
        <v>211.31500500000007</v>
      </c>
    </row>
    <row r="219" spans="1:9" x14ac:dyDescent="0.25">
      <c r="A219" t="s">
        <v>1174</v>
      </c>
      <c r="B219" t="s">
        <v>762</v>
      </c>
      <c r="C219">
        <v>12</v>
      </c>
      <c r="D219" t="s">
        <v>953</v>
      </c>
      <c r="E219">
        <v>62</v>
      </c>
      <c r="F219" s="36">
        <v>36.1</v>
      </c>
      <c r="G219">
        <v>5</v>
      </c>
      <c r="H21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219" s="37">
        <f>Tableau2[[#This Row],[Facture_Mensuelle $]]*Tableau2[[#This Row],[Remise taux]]</f>
        <v>0</v>
      </c>
    </row>
    <row r="220" spans="1:9" x14ac:dyDescent="0.25">
      <c r="A220" t="s">
        <v>1175</v>
      </c>
      <c r="B220" t="s">
        <v>771</v>
      </c>
      <c r="C220">
        <v>71</v>
      </c>
      <c r="D220" t="s">
        <v>955</v>
      </c>
      <c r="E220">
        <v>111</v>
      </c>
      <c r="F220" s="36">
        <v>95.53</v>
      </c>
      <c r="G220">
        <v>3</v>
      </c>
      <c r="H22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220" s="37">
        <f>Tableau2[[#This Row],[Facture_Mensuelle $]]*Tableau2[[#This Row],[Remise taux]]</f>
        <v>0</v>
      </c>
    </row>
    <row r="221" spans="1:9" x14ac:dyDescent="0.25">
      <c r="A221" t="s">
        <v>1176</v>
      </c>
      <c r="B221" t="s">
        <v>782</v>
      </c>
      <c r="C221">
        <v>67</v>
      </c>
      <c r="D221" t="s">
        <v>961</v>
      </c>
      <c r="E221">
        <v>241</v>
      </c>
      <c r="F221" s="36">
        <v>47.72</v>
      </c>
      <c r="G221">
        <v>0</v>
      </c>
      <c r="H22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21.474</v>
      </c>
      <c r="I221" s="37">
        <f>Tableau2[[#This Row],[Facture_Mensuelle $]]*Tableau2[[#This Row],[Remise taux]]</f>
        <v>1024.73928</v>
      </c>
    </row>
    <row r="222" spans="1:9" x14ac:dyDescent="0.25">
      <c r="A222" t="s">
        <v>1177</v>
      </c>
      <c r="B222" t="s">
        <v>766</v>
      </c>
      <c r="C222">
        <v>79</v>
      </c>
      <c r="D222" t="s">
        <v>961</v>
      </c>
      <c r="E222">
        <v>226</v>
      </c>
      <c r="F222" s="36">
        <v>94.38</v>
      </c>
      <c r="G222">
        <v>3</v>
      </c>
      <c r="H22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222" s="37">
        <f>Tableau2[[#This Row],[Facture_Mensuelle $]]*Tableau2[[#This Row],[Remise taux]]</f>
        <v>0</v>
      </c>
    </row>
    <row r="223" spans="1:9" x14ac:dyDescent="0.25">
      <c r="A223" t="s">
        <v>1178</v>
      </c>
      <c r="B223" t="s">
        <v>780</v>
      </c>
      <c r="C223">
        <v>53</v>
      </c>
      <c r="D223" t="s">
        <v>955</v>
      </c>
      <c r="E223">
        <v>27</v>
      </c>
      <c r="F223" s="36">
        <v>18.77</v>
      </c>
      <c r="G223">
        <v>0</v>
      </c>
      <c r="H22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223" s="37">
        <f>Tableau2[[#This Row],[Facture_Mensuelle $]]*Tableau2[[#This Row],[Remise taux]]</f>
        <v>0</v>
      </c>
    </row>
    <row r="224" spans="1:9" x14ac:dyDescent="0.25">
      <c r="A224" t="s">
        <v>1179</v>
      </c>
      <c r="B224" t="s">
        <v>776</v>
      </c>
      <c r="C224">
        <v>101</v>
      </c>
      <c r="D224" t="s">
        <v>953</v>
      </c>
      <c r="E224">
        <v>262</v>
      </c>
      <c r="F224" s="36">
        <v>83.74</v>
      </c>
      <c r="G224">
        <v>5</v>
      </c>
      <c r="H22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37.683</v>
      </c>
      <c r="I224" s="37">
        <f>Tableau2[[#This Row],[Facture_Mensuelle $]]*Tableau2[[#This Row],[Remise taux]]</f>
        <v>3155.5744199999999</v>
      </c>
    </row>
    <row r="225" spans="1:9" x14ac:dyDescent="0.25">
      <c r="A225" t="s">
        <v>1180</v>
      </c>
      <c r="B225" t="s">
        <v>763</v>
      </c>
      <c r="C225">
        <v>83</v>
      </c>
      <c r="D225" t="s">
        <v>955</v>
      </c>
      <c r="E225">
        <v>420</v>
      </c>
      <c r="F225" s="36">
        <v>94.9</v>
      </c>
      <c r="G225">
        <v>1</v>
      </c>
      <c r="H22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42.705000000000005</v>
      </c>
      <c r="I225" s="37">
        <f>Tableau2[[#This Row],[Facture_Mensuelle $]]*Tableau2[[#This Row],[Remise taux]]</f>
        <v>4052.7045000000007</v>
      </c>
    </row>
    <row r="226" spans="1:9" x14ac:dyDescent="0.25">
      <c r="A226" t="s">
        <v>1181</v>
      </c>
      <c r="B226" t="s">
        <v>786</v>
      </c>
      <c r="C226">
        <v>23</v>
      </c>
      <c r="D226" t="s">
        <v>961</v>
      </c>
      <c r="E226">
        <v>268</v>
      </c>
      <c r="F226" s="36">
        <v>26.75</v>
      </c>
      <c r="G226">
        <v>3</v>
      </c>
      <c r="H22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12.0375</v>
      </c>
      <c r="I226" s="37">
        <f>Tableau2[[#This Row],[Facture_Mensuelle $]]*Tableau2[[#This Row],[Remise taux]]</f>
        <v>322.00312500000001</v>
      </c>
    </row>
    <row r="227" spans="1:9" x14ac:dyDescent="0.25">
      <c r="A227" t="s">
        <v>1182</v>
      </c>
      <c r="B227" t="s">
        <v>763</v>
      </c>
      <c r="C227">
        <v>67</v>
      </c>
      <c r="D227" t="s">
        <v>961</v>
      </c>
      <c r="E227">
        <v>262</v>
      </c>
      <c r="F227" s="36">
        <v>28.46</v>
      </c>
      <c r="G227">
        <v>3</v>
      </c>
      <c r="H22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12.807</v>
      </c>
      <c r="I227" s="37">
        <f>Tableau2[[#This Row],[Facture_Mensuelle $]]*Tableau2[[#This Row],[Remise taux]]</f>
        <v>364.48722000000004</v>
      </c>
    </row>
    <row r="228" spans="1:9" x14ac:dyDescent="0.25">
      <c r="A228" t="s">
        <v>1183</v>
      </c>
      <c r="B228" t="s">
        <v>763</v>
      </c>
      <c r="C228">
        <v>2</v>
      </c>
      <c r="D228" t="s">
        <v>955</v>
      </c>
      <c r="E228">
        <v>142</v>
      </c>
      <c r="F228" s="36">
        <v>37.799999999999997</v>
      </c>
      <c r="G228">
        <v>0</v>
      </c>
      <c r="H22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228" s="37">
        <f>Tableau2[[#This Row],[Facture_Mensuelle $]]*Tableau2[[#This Row],[Remise taux]]</f>
        <v>0</v>
      </c>
    </row>
    <row r="229" spans="1:9" x14ac:dyDescent="0.25">
      <c r="A229" t="s">
        <v>1184</v>
      </c>
      <c r="B229" t="s">
        <v>762</v>
      </c>
      <c r="C229">
        <v>109</v>
      </c>
      <c r="D229" t="s">
        <v>955</v>
      </c>
      <c r="E229">
        <v>480</v>
      </c>
      <c r="F229" s="36">
        <v>31.36</v>
      </c>
      <c r="G229">
        <v>0</v>
      </c>
      <c r="H22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14.112</v>
      </c>
      <c r="I229" s="37">
        <f>Tableau2[[#This Row],[Facture_Mensuelle $]]*Tableau2[[#This Row],[Remise taux]]</f>
        <v>442.55232000000001</v>
      </c>
    </row>
    <row r="230" spans="1:9" x14ac:dyDescent="0.25">
      <c r="A230" t="s">
        <v>1185</v>
      </c>
      <c r="B230" t="s">
        <v>780</v>
      </c>
      <c r="C230">
        <v>54</v>
      </c>
      <c r="D230" t="s">
        <v>953</v>
      </c>
      <c r="E230">
        <v>99</v>
      </c>
      <c r="F230" s="36">
        <v>39.58</v>
      </c>
      <c r="G230">
        <v>0</v>
      </c>
      <c r="H23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230" s="37">
        <f>Tableau2[[#This Row],[Facture_Mensuelle $]]*Tableau2[[#This Row],[Remise taux]]</f>
        <v>0</v>
      </c>
    </row>
    <row r="231" spans="1:9" x14ac:dyDescent="0.25">
      <c r="A231" t="s">
        <v>1186</v>
      </c>
      <c r="B231" t="s">
        <v>777</v>
      </c>
      <c r="C231">
        <v>118</v>
      </c>
      <c r="D231" t="s">
        <v>953</v>
      </c>
      <c r="E231">
        <v>461</v>
      </c>
      <c r="F231" s="36">
        <v>47.82</v>
      </c>
      <c r="G231">
        <v>5</v>
      </c>
      <c r="H23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21.519000000000002</v>
      </c>
      <c r="I231" s="37">
        <f>Tableau2[[#This Row],[Facture_Mensuelle $]]*Tableau2[[#This Row],[Remise taux]]</f>
        <v>1029.0385800000001</v>
      </c>
    </row>
    <row r="232" spans="1:9" x14ac:dyDescent="0.25">
      <c r="A232" t="s">
        <v>1187</v>
      </c>
      <c r="B232" t="s">
        <v>785</v>
      </c>
      <c r="C232">
        <v>86</v>
      </c>
      <c r="D232" t="s">
        <v>955</v>
      </c>
      <c r="E232">
        <v>237</v>
      </c>
      <c r="F232" s="36">
        <v>85.82</v>
      </c>
      <c r="G232">
        <v>5</v>
      </c>
      <c r="H23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232" s="37">
        <f>Tableau2[[#This Row],[Facture_Mensuelle $]]*Tableau2[[#This Row],[Remise taux]]</f>
        <v>0</v>
      </c>
    </row>
    <row r="233" spans="1:9" x14ac:dyDescent="0.25">
      <c r="A233" t="s">
        <v>1188</v>
      </c>
      <c r="B233" t="s">
        <v>775</v>
      </c>
      <c r="C233">
        <v>14</v>
      </c>
      <c r="D233" t="s">
        <v>955</v>
      </c>
      <c r="E233">
        <v>316</v>
      </c>
      <c r="F233" s="36">
        <v>62.34</v>
      </c>
      <c r="G233">
        <v>4</v>
      </c>
      <c r="H23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28.053000000000001</v>
      </c>
      <c r="I233" s="37">
        <f>Tableau2[[#This Row],[Facture_Mensuelle $]]*Tableau2[[#This Row],[Remise taux]]</f>
        <v>1748.8240200000002</v>
      </c>
    </row>
    <row r="234" spans="1:9" x14ac:dyDescent="0.25">
      <c r="A234" t="s">
        <v>1189</v>
      </c>
      <c r="B234" t="s">
        <v>762</v>
      </c>
      <c r="C234">
        <v>41</v>
      </c>
      <c r="D234" t="s">
        <v>957</v>
      </c>
      <c r="E234">
        <v>404</v>
      </c>
      <c r="F234" s="36">
        <v>98.67</v>
      </c>
      <c r="G234">
        <v>5</v>
      </c>
      <c r="H23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44.401499999999999</v>
      </c>
      <c r="I234" s="37">
        <f>Tableau2[[#This Row],[Facture_Mensuelle $]]*Tableau2[[#This Row],[Remise taux]]</f>
        <v>4381.0960050000003</v>
      </c>
    </row>
    <row r="235" spans="1:9" x14ac:dyDescent="0.25">
      <c r="A235" t="s">
        <v>1190</v>
      </c>
      <c r="B235" t="s">
        <v>776</v>
      </c>
      <c r="C235">
        <v>79</v>
      </c>
      <c r="D235" t="s">
        <v>957</v>
      </c>
      <c r="E235">
        <v>403</v>
      </c>
      <c r="F235" s="36">
        <v>21.49</v>
      </c>
      <c r="G235">
        <v>0</v>
      </c>
      <c r="H23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9.6704999999999988</v>
      </c>
      <c r="I235" s="37">
        <f>Tableau2[[#This Row],[Facture_Mensuelle $]]*Tableau2[[#This Row],[Remise taux]]</f>
        <v>207.81904499999996</v>
      </c>
    </row>
    <row r="236" spans="1:9" x14ac:dyDescent="0.25">
      <c r="A236" t="s">
        <v>1191</v>
      </c>
      <c r="B236" t="s">
        <v>765</v>
      </c>
      <c r="C236">
        <v>89</v>
      </c>
      <c r="D236" t="s">
        <v>955</v>
      </c>
      <c r="E236">
        <v>203</v>
      </c>
      <c r="F236" s="36">
        <v>80.680000000000007</v>
      </c>
      <c r="G236">
        <v>5</v>
      </c>
      <c r="H23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236" s="37">
        <f>Tableau2[[#This Row],[Facture_Mensuelle $]]*Tableau2[[#This Row],[Remise taux]]</f>
        <v>0</v>
      </c>
    </row>
    <row r="237" spans="1:9" x14ac:dyDescent="0.25">
      <c r="A237" t="s">
        <v>1192</v>
      </c>
      <c r="B237" t="s">
        <v>771</v>
      </c>
      <c r="C237">
        <v>18</v>
      </c>
      <c r="D237" t="s">
        <v>953</v>
      </c>
      <c r="E237">
        <v>291</v>
      </c>
      <c r="F237" s="36">
        <v>97.98</v>
      </c>
      <c r="G237">
        <v>1</v>
      </c>
      <c r="H23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44.091000000000001</v>
      </c>
      <c r="I237" s="37">
        <f>Tableau2[[#This Row],[Facture_Mensuelle $]]*Tableau2[[#This Row],[Remise taux]]</f>
        <v>4320.0361800000001</v>
      </c>
    </row>
    <row r="238" spans="1:9" x14ac:dyDescent="0.25">
      <c r="A238" t="s">
        <v>1193</v>
      </c>
      <c r="B238" t="s">
        <v>772</v>
      </c>
      <c r="C238">
        <v>12</v>
      </c>
      <c r="D238" t="s">
        <v>957</v>
      </c>
      <c r="E238">
        <v>138</v>
      </c>
      <c r="F238" s="36">
        <v>17</v>
      </c>
      <c r="G238">
        <v>2</v>
      </c>
      <c r="H23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238" s="37">
        <f>Tableau2[[#This Row],[Facture_Mensuelle $]]*Tableau2[[#This Row],[Remise taux]]</f>
        <v>0</v>
      </c>
    </row>
    <row r="239" spans="1:9" x14ac:dyDescent="0.25">
      <c r="A239" t="s">
        <v>1194</v>
      </c>
      <c r="B239" t="s">
        <v>781</v>
      </c>
      <c r="C239">
        <v>96</v>
      </c>
      <c r="D239" t="s">
        <v>957</v>
      </c>
      <c r="E239">
        <v>381</v>
      </c>
      <c r="F239" s="36">
        <v>90.78</v>
      </c>
      <c r="G239">
        <v>2</v>
      </c>
      <c r="H23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40.850999999999999</v>
      </c>
      <c r="I239" s="37">
        <f>Tableau2[[#This Row],[Facture_Mensuelle $]]*Tableau2[[#This Row],[Remise taux]]</f>
        <v>3708.4537799999998</v>
      </c>
    </row>
    <row r="240" spans="1:9" x14ac:dyDescent="0.25">
      <c r="A240" t="s">
        <v>1195</v>
      </c>
      <c r="B240" t="s">
        <v>786</v>
      </c>
      <c r="C240">
        <v>120</v>
      </c>
      <c r="D240" t="s">
        <v>953</v>
      </c>
      <c r="E240">
        <v>27</v>
      </c>
      <c r="F240" s="36">
        <v>24.46</v>
      </c>
      <c r="G240">
        <v>3</v>
      </c>
      <c r="H24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240" s="37">
        <f>Tableau2[[#This Row],[Facture_Mensuelle $]]*Tableau2[[#This Row],[Remise taux]]</f>
        <v>0</v>
      </c>
    </row>
    <row r="241" spans="1:9" x14ac:dyDescent="0.25">
      <c r="A241" t="s">
        <v>1196</v>
      </c>
      <c r="B241" t="s">
        <v>769</v>
      </c>
      <c r="C241">
        <v>65</v>
      </c>
      <c r="D241" t="s">
        <v>953</v>
      </c>
      <c r="E241">
        <v>118</v>
      </c>
      <c r="F241" s="36">
        <v>72.430000000000007</v>
      </c>
      <c r="G241">
        <v>1</v>
      </c>
      <c r="H24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241" s="37">
        <f>Tableau2[[#This Row],[Facture_Mensuelle $]]*Tableau2[[#This Row],[Remise taux]]</f>
        <v>0</v>
      </c>
    </row>
    <row r="242" spans="1:9" x14ac:dyDescent="0.25">
      <c r="A242" t="s">
        <v>1197</v>
      </c>
      <c r="B242" t="s">
        <v>774</v>
      </c>
      <c r="C242">
        <v>13</v>
      </c>
      <c r="D242" t="s">
        <v>955</v>
      </c>
      <c r="E242">
        <v>347</v>
      </c>
      <c r="F242" s="36">
        <v>32.35</v>
      </c>
      <c r="G242">
        <v>2</v>
      </c>
      <c r="H24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14.557500000000001</v>
      </c>
      <c r="I242" s="37">
        <f>Tableau2[[#This Row],[Facture_Mensuelle $]]*Tableau2[[#This Row],[Remise taux]]</f>
        <v>470.93512500000003</v>
      </c>
    </row>
    <row r="243" spans="1:9" x14ac:dyDescent="0.25">
      <c r="A243" t="s">
        <v>1198</v>
      </c>
      <c r="B243" t="s">
        <v>780</v>
      </c>
      <c r="C243">
        <v>120</v>
      </c>
      <c r="D243" t="s">
        <v>955</v>
      </c>
      <c r="E243">
        <v>72</v>
      </c>
      <c r="F243" s="36">
        <v>29.07</v>
      </c>
      <c r="G243">
        <v>3</v>
      </c>
      <c r="H24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243" s="37">
        <f>Tableau2[[#This Row],[Facture_Mensuelle $]]*Tableau2[[#This Row],[Remise taux]]</f>
        <v>0</v>
      </c>
    </row>
    <row r="244" spans="1:9" x14ac:dyDescent="0.25">
      <c r="A244" t="s">
        <v>1199</v>
      </c>
      <c r="B244" t="s">
        <v>768</v>
      </c>
      <c r="C244">
        <v>114</v>
      </c>
      <c r="D244" t="s">
        <v>961</v>
      </c>
      <c r="E244">
        <v>283</v>
      </c>
      <c r="F244" s="36">
        <v>29.15</v>
      </c>
      <c r="G244">
        <v>3</v>
      </c>
      <c r="H24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13.1175</v>
      </c>
      <c r="I244" s="37">
        <f>Tableau2[[#This Row],[Facture_Mensuelle $]]*Tableau2[[#This Row],[Remise taux]]</f>
        <v>382.37512499999997</v>
      </c>
    </row>
    <row r="245" spans="1:9" x14ac:dyDescent="0.25">
      <c r="A245" t="s">
        <v>1200</v>
      </c>
      <c r="B245" t="s">
        <v>782</v>
      </c>
      <c r="C245">
        <v>58</v>
      </c>
      <c r="D245" t="s">
        <v>953</v>
      </c>
      <c r="E245">
        <v>405</v>
      </c>
      <c r="F245" s="36">
        <v>18.39</v>
      </c>
      <c r="G245">
        <v>0</v>
      </c>
      <c r="H24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8.275500000000001</v>
      </c>
      <c r="I245" s="37">
        <f>Tableau2[[#This Row],[Facture_Mensuelle $]]*Tableau2[[#This Row],[Remise taux]]</f>
        <v>152.18644500000002</v>
      </c>
    </row>
    <row r="246" spans="1:9" x14ac:dyDescent="0.25">
      <c r="A246" t="s">
        <v>1201</v>
      </c>
      <c r="B246" t="s">
        <v>780</v>
      </c>
      <c r="C246">
        <v>94</v>
      </c>
      <c r="D246" t="s">
        <v>957</v>
      </c>
      <c r="E246">
        <v>261</v>
      </c>
      <c r="F246" s="36">
        <v>70.09</v>
      </c>
      <c r="G246">
        <v>3</v>
      </c>
      <c r="H24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31.540500000000002</v>
      </c>
      <c r="I246" s="37">
        <f>Tableau2[[#This Row],[Facture_Mensuelle $]]*Tableau2[[#This Row],[Remise taux]]</f>
        <v>2210.6736450000003</v>
      </c>
    </row>
    <row r="247" spans="1:9" x14ac:dyDescent="0.25">
      <c r="A247" t="s">
        <v>1202</v>
      </c>
      <c r="B247" t="s">
        <v>782</v>
      </c>
      <c r="C247">
        <v>74</v>
      </c>
      <c r="D247" t="s">
        <v>957</v>
      </c>
      <c r="E247">
        <v>253</v>
      </c>
      <c r="F247" s="36">
        <v>36.94</v>
      </c>
      <c r="G247">
        <v>5</v>
      </c>
      <c r="H24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16.623000000000001</v>
      </c>
      <c r="I247" s="37">
        <f>Tableau2[[#This Row],[Facture_Mensuelle $]]*Tableau2[[#This Row],[Remise taux]]</f>
        <v>614.05362000000002</v>
      </c>
    </row>
    <row r="248" spans="1:9" x14ac:dyDescent="0.25">
      <c r="A248" t="s">
        <v>1203</v>
      </c>
      <c r="B248" t="s">
        <v>786</v>
      </c>
      <c r="C248">
        <v>50</v>
      </c>
      <c r="D248" t="s">
        <v>957</v>
      </c>
      <c r="E248">
        <v>177</v>
      </c>
      <c r="F248" s="36">
        <v>74.569999999999993</v>
      </c>
      <c r="G248">
        <v>4</v>
      </c>
      <c r="H24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248" s="37">
        <f>Tableau2[[#This Row],[Facture_Mensuelle $]]*Tableau2[[#This Row],[Remise taux]]</f>
        <v>0</v>
      </c>
    </row>
    <row r="249" spans="1:9" x14ac:dyDescent="0.25">
      <c r="A249" t="s">
        <v>1204</v>
      </c>
      <c r="B249" t="s">
        <v>765</v>
      </c>
      <c r="C249">
        <v>26</v>
      </c>
      <c r="D249" t="s">
        <v>957</v>
      </c>
      <c r="E249">
        <v>378</v>
      </c>
      <c r="F249" s="36">
        <v>88.59</v>
      </c>
      <c r="G249">
        <v>4</v>
      </c>
      <c r="H24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39.865500000000004</v>
      </c>
      <c r="I249" s="37">
        <f>Tableau2[[#This Row],[Facture_Mensuelle $]]*Tableau2[[#This Row],[Remise taux]]</f>
        <v>3531.6846450000007</v>
      </c>
    </row>
    <row r="250" spans="1:9" x14ac:dyDescent="0.25">
      <c r="A250" t="s">
        <v>1205</v>
      </c>
      <c r="B250" t="s">
        <v>774</v>
      </c>
      <c r="C250">
        <v>26</v>
      </c>
      <c r="D250" t="s">
        <v>961</v>
      </c>
      <c r="E250">
        <v>391</v>
      </c>
      <c r="F250" s="36">
        <v>18.28</v>
      </c>
      <c r="G250">
        <v>3</v>
      </c>
      <c r="H25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8.2260000000000009</v>
      </c>
      <c r="I250" s="37">
        <f>Tableau2[[#This Row],[Facture_Mensuelle $]]*Tableau2[[#This Row],[Remise taux]]</f>
        <v>150.37128000000001</v>
      </c>
    </row>
    <row r="251" spans="1:9" x14ac:dyDescent="0.25">
      <c r="A251" t="s">
        <v>1206</v>
      </c>
      <c r="B251" t="s">
        <v>783</v>
      </c>
      <c r="C251">
        <v>104</v>
      </c>
      <c r="D251" t="s">
        <v>955</v>
      </c>
      <c r="E251">
        <v>421</v>
      </c>
      <c r="F251" s="36">
        <v>26.24</v>
      </c>
      <c r="G251">
        <v>3</v>
      </c>
      <c r="H25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11.808</v>
      </c>
      <c r="I251" s="37">
        <f>Tableau2[[#This Row],[Facture_Mensuelle $]]*Tableau2[[#This Row],[Remise taux]]</f>
        <v>309.84191999999996</v>
      </c>
    </row>
    <row r="252" spans="1:9" x14ac:dyDescent="0.25">
      <c r="A252" t="s">
        <v>1207</v>
      </c>
      <c r="B252" t="s">
        <v>767</v>
      </c>
      <c r="C252">
        <v>108</v>
      </c>
      <c r="D252" t="s">
        <v>961</v>
      </c>
      <c r="E252">
        <v>230</v>
      </c>
      <c r="F252" s="36">
        <v>16.3</v>
      </c>
      <c r="G252">
        <v>5</v>
      </c>
      <c r="H25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252" s="37">
        <f>Tableau2[[#This Row],[Facture_Mensuelle $]]*Tableau2[[#This Row],[Remise taux]]</f>
        <v>0</v>
      </c>
    </row>
    <row r="253" spans="1:9" x14ac:dyDescent="0.25">
      <c r="A253" t="s">
        <v>1208</v>
      </c>
      <c r="B253" t="s">
        <v>767</v>
      </c>
      <c r="C253">
        <v>103</v>
      </c>
      <c r="D253" t="s">
        <v>955</v>
      </c>
      <c r="E253">
        <v>270</v>
      </c>
      <c r="F253" s="36">
        <v>67.87</v>
      </c>
      <c r="G253">
        <v>3</v>
      </c>
      <c r="H25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30.541500000000003</v>
      </c>
      <c r="I253" s="37">
        <f>Tableau2[[#This Row],[Facture_Mensuelle $]]*Tableau2[[#This Row],[Remise taux]]</f>
        <v>2072.8516050000003</v>
      </c>
    </row>
    <row r="254" spans="1:9" x14ac:dyDescent="0.25">
      <c r="A254" t="s">
        <v>1209</v>
      </c>
      <c r="B254" t="s">
        <v>766</v>
      </c>
      <c r="C254">
        <v>93</v>
      </c>
      <c r="D254" t="s">
        <v>955</v>
      </c>
      <c r="E254">
        <v>56</v>
      </c>
      <c r="F254" s="36">
        <v>96.31</v>
      </c>
      <c r="G254">
        <v>4</v>
      </c>
      <c r="H25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254" s="37">
        <f>Tableau2[[#This Row],[Facture_Mensuelle $]]*Tableau2[[#This Row],[Remise taux]]</f>
        <v>0</v>
      </c>
    </row>
    <row r="255" spans="1:9" x14ac:dyDescent="0.25">
      <c r="A255" t="s">
        <v>1210</v>
      </c>
      <c r="B255" t="s">
        <v>778</v>
      </c>
      <c r="C255">
        <v>86</v>
      </c>
      <c r="D255" t="s">
        <v>961</v>
      </c>
      <c r="E255">
        <v>452</v>
      </c>
      <c r="F255" s="36">
        <v>75.680000000000007</v>
      </c>
      <c r="G255">
        <v>0</v>
      </c>
      <c r="H25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34.056000000000004</v>
      </c>
      <c r="I255" s="37">
        <f>Tableau2[[#This Row],[Facture_Mensuelle $]]*Tableau2[[#This Row],[Remise taux]]</f>
        <v>2577.3580800000004</v>
      </c>
    </row>
    <row r="256" spans="1:9" x14ac:dyDescent="0.25">
      <c r="A256" t="s">
        <v>1211</v>
      </c>
      <c r="B256" t="s">
        <v>780</v>
      </c>
      <c r="C256">
        <v>47</v>
      </c>
      <c r="D256" t="s">
        <v>957</v>
      </c>
      <c r="E256">
        <v>385</v>
      </c>
      <c r="F256" s="36">
        <v>41.33</v>
      </c>
      <c r="G256">
        <v>0</v>
      </c>
      <c r="H25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18.598500000000001</v>
      </c>
      <c r="I256" s="37">
        <f>Tableau2[[#This Row],[Facture_Mensuelle $]]*Tableau2[[#This Row],[Remise taux]]</f>
        <v>768.67600500000003</v>
      </c>
    </row>
    <row r="257" spans="1:9" x14ac:dyDescent="0.25">
      <c r="A257" t="s">
        <v>1212</v>
      </c>
      <c r="B257" t="s">
        <v>762</v>
      </c>
      <c r="C257">
        <v>83</v>
      </c>
      <c r="D257" t="s">
        <v>961</v>
      </c>
      <c r="E257">
        <v>105</v>
      </c>
      <c r="F257" s="36">
        <v>20.46</v>
      </c>
      <c r="G257">
        <v>1</v>
      </c>
      <c r="H25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257" s="37">
        <f>Tableau2[[#This Row],[Facture_Mensuelle $]]*Tableau2[[#This Row],[Remise taux]]</f>
        <v>0</v>
      </c>
    </row>
    <row r="258" spans="1:9" x14ac:dyDescent="0.25">
      <c r="A258" t="s">
        <v>1213</v>
      </c>
      <c r="B258" t="s">
        <v>768</v>
      </c>
      <c r="C258">
        <v>84</v>
      </c>
      <c r="D258" t="s">
        <v>953</v>
      </c>
      <c r="E258">
        <v>317</v>
      </c>
      <c r="F258" s="36">
        <v>36.200000000000003</v>
      </c>
      <c r="G258">
        <v>3</v>
      </c>
      <c r="H25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16.290000000000003</v>
      </c>
      <c r="I258" s="37">
        <f>Tableau2[[#This Row],[Facture_Mensuelle $]]*Tableau2[[#This Row],[Remise taux]]</f>
        <v>589.69800000000009</v>
      </c>
    </row>
    <row r="259" spans="1:9" x14ac:dyDescent="0.25">
      <c r="A259" t="s">
        <v>1214</v>
      </c>
      <c r="B259" t="s">
        <v>764</v>
      </c>
      <c r="C259">
        <v>6</v>
      </c>
      <c r="D259" t="s">
        <v>961</v>
      </c>
      <c r="E259">
        <v>207</v>
      </c>
      <c r="F259" s="36">
        <v>61.55</v>
      </c>
      <c r="G259">
        <v>0</v>
      </c>
      <c r="H25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27.697499999999998</v>
      </c>
      <c r="I259" s="37">
        <f>Tableau2[[#This Row],[Facture_Mensuelle $]]*Tableau2[[#This Row],[Remise taux]]</f>
        <v>1704.7811249999997</v>
      </c>
    </row>
    <row r="260" spans="1:9" x14ac:dyDescent="0.25">
      <c r="A260" t="s">
        <v>1215</v>
      </c>
      <c r="B260" t="s">
        <v>778</v>
      </c>
      <c r="C260">
        <v>40</v>
      </c>
      <c r="D260" t="s">
        <v>961</v>
      </c>
      <c r="E260">
        <v>102</v>
      </c>
      <c r="F260" s="36">
        <v>96.59</v>
      </c>
      <c r="G260">
        <v>5</v>
      </c>
      <c r="H26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43.465500000000006</v>
      </c>
      <c r="I260" s="37">
        <f>Tableau2[[#This Row],[Facture_Mensuelle $]]*Tableau2[[#This Row],[Remise taux]]</f>
        <v>4198.3326450000004</v>
      </c>
    </row>
    <row r="261" spans="1:9" x14ac:dyDescent="0.25">
      <c r="A261" t="s">
        <v>1216</v>
      </c>
      <c r="B261" t="s">
        <v>786</v>
      </c>
      <c r="C261">
        <v>42</v>
      </c>
      <c r="D261" t="s">
        <v>957</v>
      </c>
      <c r="E261">
        <v>173</v>
      </c>
      <c r="F261" s="36">
        <v>69.19</v>
      </c>
      <c r="G261">
        <v>4</v>
      </c>
      <c r="H26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261" s="37">
        <f>Tableau2[[#This Row],[Facture_Mensuelle $]]*Tableau2[[#This Row],[Remise taux]]</f>
        <v>0</v>
      </c>
    </row>
    <row r="262" spans="1:9" x14ac:dyDescent="0.25">
      <c r="A262" t="s">
        <v>1217</v>
      </c>
      <c r="B262" t="s">
        <v>769</v>
      </c>
      <c r="C262">
        <v>51</v>
      </c>
      <c r="D262" t="s">
        <v>953</v>
      </c>
      <c r="E262">
        <v>337</v>
      </c>
      <c r="F262" s="36">
        <v>68.67</v>
      </c>
      <c r="G262">
        <v>5</v>
      </c>
      <c r="H26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30.901500000000002</v>
      </c>
      <c r="I262" s="37">
        <f>Tableau2[[#This Row],[Facture_Mensuelle $]]*Tableau2[[#This Row],[Remise taux]]</f>
        <v>2122.0060050000002</v>
      </c>
    </row>
    <row r="263" spans="1:9" x14ac:dyDescent="0.25">
      <c r="A263" t="s">
        <v>1218</v>
      </c>
      <c r="B263" t="s">
        <v>762</v>
      </c>
      <c r="C263">
        <v>108</v>
      </c>
      <c r="D263" t="s">
        <v>957</v>
      </c>
      <c r="E263">
        <v>123</v>
      </c>
      <c r="F263" s="36">
        <v>83.1</v>
      </c>
      <c r="G263">
        <v>1</v>
      </c>
      <c r="H26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263" s="37">
        <f>Tableau2[[#This Row],[Facture_Mensuelle $]]*Tableau2[[#This Row],[Remise taux]]</f>
        <v>0</v>
      </c>
    </row>
    <row r="264" spans="1:9" x14ac:dyDescent="0.25">
      <c r="A264" t="s">
        <v>1219</v>
      </c>
      <c r="B264" t="s">
        <v>771</v>
      </c>
      <c r="C264">
        <v>113</v>
      </c>
      <c r="D264" t="s">
        <v>961</v>
      </c>
      <c r="E264">
        <v>89</v>
      </c>
      <c r="F264" s="36">
        <v>54.28</v>
      </c>
      <c r="G264">
        <v>0</v>
      </c>
      <c r="H26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264" s="37">
        <f>Tableau2[[#This Row],[Facture_Mensuelle $]]*Tableau2[[#This Row],[Remise taux]]</f>
        <v>0</v>
      </c>
    </row>
    <row r="265" spans="1:9" x14ac:dyDescent="0.25">
      <c r="A265" t="s">
        <v>1220</v>
      </c>
      <c r="B265" t="s">
        <v>767</v>
      </c>
      <c r="C265">
        <v>101</v>
      </c>
      <c r="D265" t="s">
        <v>953</v>
      </c>
      <c r="E265">
        <v>416</v>
      </c>
      <c r="F265" s="36">
        <v>83.49</v>
      </c>
      <c r="G265">
        <v>2</v>
      </c>
      <c r="H26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37.570499999999996</v>
      </c>
      <c r="I265" s="37">
        <f>Tableau2[[#This Row],[Facture_Mensuelle $]]*Tableau2[[#This Row],[Remise taux]]</f>
        <v>3136.7610449999993</v>
      </c>
    </row>
    <row r="266" spans="1:9" x14ac:dyDescent="0.25">
      <c r="A266" t="s">
        <v>1221</v>
      </c>
      <c r="B266" t="s">
        <v>764</v>
      </c>
      <c r="C266">
        <v>74</v>
      </c>
      <c r="D266" t="s">
        <v>961</v>
      </c>
      <c r="E266">
        <v>208</v>
      </c>
      <c r="F266" s="36">
        <v>39.56</v>
      </c>
      <c r="G266">
        <v>0</v>
      </c>
      <c r="H26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266" s="37">
        <f>Tableau2[[#This Row],[Facture_Mensuelle $]]*Tableau2[[#This Row],[Remise taux]]</f>
        <v>0</v>
      </c>
    </row>
    <row r="267" spans="1:9" x14ac:dyDescent="0.25">
      <c r="A267" t="s">
        <v>1222</v>
      </c>
      <c r="B267" t="s">
        <v>782</v>
      </c>
      <c r="C267">
        <v>10</v>
      </c>
      <c r="D267" t="s">
        <v>953</v>
      </c>
      <c r="E267">
        <v>93</v>
      </c>
      <c r="F267" s="36">
        <v>78.12</v>
      </c>
      <c r="G267">
        <v>4</v>
      </c>
      <c r="H26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267" s="37">
        <f>Tableau2[[#This Row],[Facture_Mensuelle $]]*Tableau2[[#This Row],[Remise taux]]</f>
        <v>0</v>
      </c>
    </row>
    <row r="268" spans="1:9" x14ac:dyDescent="0.25">
      <c r="A268" t="s">
        <v>1223</v>
      </c>
      <c r="B268" t="s">
        <v>763</v>
      </c>
      <c r="C268">
        <v>16</v>
      </c>
      <c r="D268" t="s">
        <v>961</v>
      </c>
      <c r="E268">
        <v>391</v>
      </c>
      <c r="F268" s="36">
        <v>90.12</v>
      </c>
      <c r="G268">
        <v>5</v>
      </c>
      <c r="H26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40.554000000000002</v>
      </c>
      <c r="I268" s="37">
        <f>Tableau2[[#This Row],[Facture_Mensuelle $]]*Tableau2[[#This Row],[Remise taux]]</f>
        <v>3654.7264800000003</v>
      </c>
    </row>
    <row r="269" spans="1:9" x14ac:dyDescent="0.25">
      <c r="A269" t="s">
        <v>1224</v>
      </c>
      <c r="B269" t="s">
        <v>761</v>
      </c>
      <c r="C269">
        <v>59</v>
      </c>
      <c r="D269" t="s">
        <v>955</v>
      </c>
      <c r="E269">
        <v>72</v>
      </c>
      <c r="F269" s="36">
        <v>94.51</v>
      </c>
      <c r="G269">
        <v>2</v>
      </c>
      <c r="H26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269" s="37">
        <f>Tableau2[[#This Row],[Facture_Mensuelle $]]*Tableau2[[#This Row],[Remise taux]]</f>
        <v>0</v>
      </c>
    </row>
    <row r="270" spans="1:9" x14ac:dyDescent="0.25">
      <c r="A270" t="s">
        <v>1225</v>
      </c>
      <c r="B270" t="s">
        <v>765</v>
      </c>
      <c r="C270">
        <v>41</v>
      </c>
      <c r="D270" t="s">
        <v>955</v>
      </c>
      <c r="E270">
        <v>474</v>
      </c>
      <c r="F270" s="36">
        <v>54.03</v>
      </c>
      <c r="G270">
        <v>4</v>
      </c>
      <c r="H27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24.313500000000001</v>
      </c>
      <c r="I270" s="37">
        <f>Tableau2[[#This Row],[Facture_Mensuelle $]]*Tableau2[[#This Row],[Remise taux]]</f>
        <v>1313.6584050000001</v>
      </c>
    </row>
    <row r="271" spans="1:9" x14ac:dyDescent="0.25">
      <c r="A271" t="s">
        <v>1226</v>
      </c>
      <c r="B271" t="s">
        <v>769</v>
      </c>
      <c r="C271">
        <v>5</v>
      </c>
      <c r="D271" t="s">
        <v>957</v>
      </c>
      <c r="E271">
        <v>337</v>
      </c>
      <c r="F271" s="36">
        <v>21.07</v>
      </c>
      <c r="G271">
        <v>4</v>
      </c>
      <c r="H27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9.4815000000000005</v>
      </c>
      <c r="I271" s="37">
        <f>Tableau2[[#This Row],[Facture_Mensuelle $]]*Tableau2[[#This Row],[Remise taux]]</f>
        <v>199.775205</v>
      </c>
    </row>
    <row r="272" spans="1:9" x14ac:dyDescent="0.25">
      <c r="A272" t="s">
        <v>1227</v>
      </c>
      <c r="B272" t="s">
        <v>770</v>
      </c>
      <c r="C272">
        <v>118</v>
      </c>
      <c r="D272" t="s">
        <v>957</v>
      </c>
      <c r="E272">
        <v>430</v>
      </c>
      <c r="F272" s="36">
        <v>36.97</v>
      </c>
      <c r="G272">
        <v>2</v>
      </c>
      <c r="H27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16.636500000000002</v>
      </c>
      <c r="I272" s="37">
        <f>Tableau2[[#This Row],[Facture_Mensuelle $]]*Tableau2[[#This Row],[Remise taux]]</f>
        <v>615.05140500000005</v>
      </c>
    </row>
    <row r="273" spans="1:9" x14ac:dyDescent="0.25">
      <c r="A273" t="s">
        <v>1228</v>
      </c>
      <c r="B273" t="s">
        <v>762</v>
      </c>
      <c r="C273">
        <v>53</v>
      </c>
      <c r="D273" t="s">
        <v>961</v>
      </c>
      <c r="E273">
        <v>243</v>
      </c>
      <c r="F273" s="36">
        <v>55.19</v>
      </c>
      <c r="G273">
        <v>4</v>
      </c>
      <c r="H27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24.8355</v>
      </c>
      <c r="I273" s="37">
        <f>Tableau2[[#This Row],[Facture_Mensuelle $]]*Tableau2[[#This Row],[Remise taux]]</f>
        <v>1370.671245</v>
      </c>
    </row>
    <row r="274" spans="1:9" x14ac:dyDescent="0.25">
      <c r="A274" t="s">
        <v>1229</v>
      </c>
      <c r="B274" t="s">
        <v>766</v>
      </c>
      <c r="C274">
        <v>95</v>
      </c>
      <c r="D274" t="s">
        <v>955</v>
      </c>
      <c r="E274">
        <v>95</v>
      </c>
      <c r="F274" s="36">
        <v>82.65</v>
      </c>
      <c r="G274">
        <v>2</v>
      </c>
      <c r="H27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274" s="37">
        <f>Tableau2[[#This Row],[Facture_Mensuelle $]]*Tableau2[[#This Row],[Remise taux]]</f>
        <v>0</v>
      </c>
    </row>
    <row r="275" spans="1:9" x14ac:dyDescent="0.25">
      <c r="A275" t="s">
        <v>1230</v>
      </c>
      <c r="B275" t="s">
        <v>766</v>
      </c>
      <c r="C275">
        <v>83</v>
      </c>
      <c r="D275" t="s">
        <v>957</v>
      </c>
      <c r="E275">
        <v>14</v>
      </c>
      <c r="F275" s="36">
        <v>58.07</v>
      </c>
      <c r="G275">
        <v>3</v>
      </c>
      <c r="H27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275" s="37">
        <f>Tableau2[[#This Row],[Facture_Mensuelle $]]*Tableau2[[#This Row],[Remise taux]]</f>
        <v>0</v>
      </c>
    </row>
    <row r="276" spans="1:9" x14ac:dyDescent="0.25">
      <c r="A276" t="s">
        <v>1231</v>
      </c>
      <c r="B276" t="s">
        <v>769</v>
      </c>
      <c r="C276">
        <v>4</v>
      </c>
      <c r="D276" t="s">
        <v>953</v>
      </c>
      <c r="E276">
        <v>21</v>
      </c>
      <c r="F276" s="36">
        <v>45.8</v>
      </c>
      <c r="G276">
        <v>1</v>
      </c>
      <c r="H27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276" s="37">
        <f>Tableau2[[#This Row],[Facture_Mensuelle $]]*Tableau2[[#This Row],[Remise taux]]</f>
        <v>0</v>
      </c>
    </row>
    <row r="277" spans="1:9" x14ac:dyDescent="0.25">
      <c r="A277" t="s">
        <v>1232</v>
      </c>
      <c r="B277" t="s">
        <v>777</v>
      </c>
      <c r="C277">
        <v>35</v>
      </c>
      <c r="D277" t="s">
        <v>955</v>
      </c>
      <c r="E277">
        <v>299</v>
      </c>
      <c r="F277" s="36">
        <v>96.32</v>
      </c>
      <c r="G277">
        <v>4</v>
      </c>
      <c r="H27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43.344000000000001</v>
      </c>
      <c r="I277" s="37">
        <f>Tableau2[[#This Row],[Facture_Mensuelle $]]*Tableau2[[#This Row],[Remise taux]]</f>
        <v>4174.89408</v>
      </c>
    </row>
    <row r="278" spans="1:9" x14ac:dyDescent="0.25">
      <c r="A278" t="s">
        <v>1233</v>
      </c>
      <c r="B278" t="s">
        <v>772</v>
      </c>
      <c r="C278">
        <v>97</v>
      </c>
      <c r="D278" t="s">
        <v>953</v>
      </c>
      <c r="E278">
        <v>484</v>
      </c>
      <c r="F278" s="36">
        <v>61.98</v>
      </c>
      <c r="G278">
        <v>1</v>
      </c>
      <c r="H27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27.890999999999998</v>
      </c>
      <c r="I278" s="37">
        <f>Tableau2[[#This Row],[Facture_Mensuelle $]]*Tableau2[[#This Row],[Remise taux]]</f>
        <v>1728.6841799999997</v>
      </c>
    </row>
    <row r="279" spans="1:9" x14ac:dyDescent="0.25">
      <c r="A279" t="s">
        <v>1234</v>
      </c>
      <c r="B279" t="s">
        <v>780</v>
      </c>
      <c r="C279">
        <v>76</v>
      </c>
      <c r="D279" t="s">
        <v>957</v>
      </c>
      <c r="E279">
        <v>383</v>
      </c>
      <c r="F279" s="36">
        <v>53.73</v>
      </c>
      <c r="G279">
        <v>2</v>
      </c>
      <c r="H27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24.1785</v>
      </c>
      <c r="I279" s="37">
        <f>Tableau2[[#This Row],[Facture_Mensuelle $]]*Tableau2[[#This Row],[Remise taux]]</f>
        <v>1299.1108049999998</v>
      </c>
    </row>
    <row r="280" spans="1:9" x14ac:dyDescent="0.25">
      <c r="A280" t="s">
        <v>1235</v>
      </c>
      <c r="B280" t="s">
        <v>769</v>
      </c>
      <c r="C280">
        <v>10</v>
      </c>
      <c r="D280" t="s">
        <v>961</v>
      </c>
      <c r="E280">
        <v>425</v>
      </c>
      <c r="F280" s="36">
        <v>85.75</v>
      </c>
      <c r="G280">
        <v>0</v>
      </c>
      <c r="H28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38.587499999999999</v>
      </c>
      <c r="I280" s="37">
        <f>Tableau2[[#This Row],[Facture_Mensuelle $]]*Tableau2[[#This Row],[Remise taux]]</f>
        <v>3308.8781249999997</v>
      </c>
    </row>
    <row r="281" spans="1:9" x14ac:dyDescent="0.25">
      <c r="A281" t="s">
        <v>1236</v>
      </c>
      <c r="B281" t="s">
        <v>768</v>
      </c>
      <c r="C281">
        <v>68</v>
      </c>
      <c r="D281" t="s">
        <v>955</v>
      </c>
      <c r="E281">
        <v>462</v>
      </c>
      <c r="F281" s="36">
        <v>41.91</v>
      </c>
      <c r="G281">
        <v>1</v>
      </c>
      <c r="H28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18.859500000000001</v>
      </c>
      <c r="I281" s="37">
        <f>Tableau2[[#This Row],[Facture_Mensuelle $]]*Tableau2[[#This Row],[Remise taux]]</f>
        <v>790.40164499999992</v>
      </c>
    </row>
    <row r="282" spans="1:9" x14ac:dyDescent="0.25">
      <c r="A282" t="s">
        <v>1237</v>
      </c>
      <c r="B282" t="s">
        <v>778</v>
      </c>
      <c r="C282">
        <v>16</v>
      </c>
      <c r="D282" t="s">
        <v>953</v>
      </c>
      <c r="E282">
        <v>43</v>
      </c>
      <c r="F282" s="36">
        <v>56.48</v>
      </c>
      <c r="G282">
        <v>0</v>
      </c>
      <c r="H28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282" s="37">
        <f>Tableau2[[#This Row],[Facture_Mensuelle $]]*Tableau2[[#This Row],[Remise taux]]</f>
        <v>0</v>
      </c>
    </row>
    <row r="283" spans="1:9" x14ac:dyDescent="0.25">
      <c r="A283" t="s">
        <v>1238</v>
      </c>
      <c r="B283" t="s">
        <v>770</v>
      </c>
      <c r="C283">
        <v>109</v>
      </c>
      <c r="D283" t="s">
        <v>955</v>
      </c>
      <c r="E283">
        <v>397</v>
      </c>
      <c r="F283" s="36">
        <v>63.92</v>
      </c>
      <c r="G283">
        <v>1</v>
      </c>
      <c r="H28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28.764000000000003</v>
      </c>
      <c r="I283" s="37">
        <f>Tableau2[[#This Row],[Facture_Mensuelle $]]*Tableau2[[#This Row],[Remise taux]]</f>
        <v>1838.5948800000003</v>
      </c>
    </row>
    <row r="284" spans="1:9" x14ac:dyDescent="0.25">
      <c r="A284" t="s">
        <v>1239</v>
      </c>
      <c r="B284" t="s">
        <v>780</v>
      </c>
      <c r="C284">
        <v>61</v>
      </c>
      <c r="D284" t="s">
        <v>961</v>
      </c>
      <c r="E284">
        <v>140</v>
      </c>
      <c r="F284" s="36">
        <v>76.3</v>
      </c>
      <c r="G284">
        <v>4</v>
      </c>
      <c r="H28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284" s="37">
        <f>Tableau2[[#This Row],[Facture_Mensuelle $]]*Tableau2[[#This Row],[Remise taux]]</f>
        <v>0</v>
      </c>
    </row>
    <row r="285" spans="1:9" x14ac:dyDescent="0.25">
      <c r="A285" t="s">
        <v>1240</v>
      </c>
      <c r="B285" t="s">
        <v>770</v>
      </c>
      <c r="C285">
        <v>96</v>
      </c>
      <c r="D285" t="s">
        <v>955</v>
      </c>
      <c r="E285">
        <v>280</v>
      </c>
      <c r="F285" s="36">
        <v>80.36</v>
      </c>
      <c r="G285">
        <v>5</v>
      </c>
      <c r="H28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36.161999999999999</v>
      </c>
      <c r="I285" s="37">
        <f>Tableau2[[#This Row],[Facture_Mensuelle $]]*Tableau2[[#This Row],[Remise taux]]</f>
        <v>2905.9783199999997</v>
      </c>
    </row>
    <row r="286" spans="1:9" x14ac:dyDescent="0.25">
      <c r="A286" t="s">
        <v>1241</v>
      </c>
      <c r="B286" t="s">
        <v>770</v>
      </c>
      <c r="C286">
        <v>25</v>
      </c>
      <c r="D286" t="s">
        <v>953</v>
      </c>
      <c r="E286">
        <v>33</v>
      </c>
      <c r="F286" s="36">
        <v>30.93</v>
      </c>
      <c r="G286">
        <v>1</v>
      </c>
      <c r="H28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286" s="37">
        <f>Tableau2[[#This Row],[Facture_Mensuelle $]]*Tableau2[[#This Row],[Remise taux]]</f>
        <v>0</v>
      </c>
    </row>
    <row r="287" spans="1:9" x14ac:dyDescent="0.25">
      <c r="A287" t="s">
        <v>1242</v>
      </c>
      <c r="B287" t="s">
        <v>785</v>
      </c>
      <c r="C287">
        <v>45</v>
      </c>
      <c r="D287" t="s">
        <v>957</v>
      </c>
      <c r="E287">
        <v>43</v>
      </c>
      <c r="F287" s="36">
        <v>12.31</v>
      </c>
      <c r="G287">
        <v>0</v>
      </c>
      <c r="H28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287" s="37">
        <f>Tableau2[[#This Row],[Facture_Mensuelle $]]*Tableau2[[#This Row],[Remise taux]]</f>
        <v>0</v>
      </c>
    </row>
    <row r="288" spans="1:9" x14ac:dyDescent="0.25">
      <c r="A288" t="s">
        <v>1243</v>
      </c>
      <c r="B288" t="s">
        <v>769</v>
      </c>
      <c r="C288">
        <v>63</v>
      </c>
      <c r="D288" t="s">
        <v>957</v>
      </c>
      <c r="E288">
        <v>109</v>
      </c>
      <c r="F288" s="36">
        <v>10.33</v>
      </c>
      <c r="G288">
        <v>3</v>
      </c>
      <c r="H28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288" s="37">
        <f>Tableau2[[#This Row],[Facture_Mensuelle $]]*Tableau2[[#This Row],[Remise taux]]</f>
        <v>0</v>
      </c>
    </row>
    <row r="289" spans="1:9" x14ac:dyDescent="0.25">
      <c r="A289" t="s">
        <v>1244</v>
      </c>
      <c r="B289" t="s">
        <v>776</v>
      </c>
      <c r="C289">
        <v>41</v>
      </c>
      <c r="D289" t="s">
        <v>957</v>
      </c>
      <c r="E289">
        <v>90</v>
      </c>
      <c r="F289" s="36">
        <v>97.26</v>
      </c>
      <c r="G289">
        <v>1</v>
      </c>
      <c r="H28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289" s="37">
        <f>Tableau2[[#This Row],[Facture_Mensuelle $]]*Tableau2[[#This Row],[Remise taux]]</f>
        <v>0</v>
      </c>
    </row>
    <row r="290" spans="1:9" x14ac:dyDescent="0.25">
      <c r="A290" t="s">
        <v>1245</v>
      </c>
      <c r="B290" t="s">
        <v>783</v>
      </c>
      <c r="C290">
        <v>35</v>
      </c>
      <c r="D290" t="s">
        <v>957</v>
      </c>
      <c r="E290">
        <v>107</v>
      </c>
      <c r="F290" s="36">
        <v>66.69</v>
      </c>
      <c r="G290">
        <v>4</v>
      </c>
      <c r="H29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290" s="37">
        <f>Tableau2[[#This Row],[Facture_Mensuelle $]]*Tableau2[[#This Row],[Remise taux]]</f>
        <v>0</v>
      </c>
    </row>
    <row r="291" spans="1:9" x14ac:dyDescent="0.25">
      <c r="A291" t="s">
        <v>1246</v>
      </c>
      <c r="B291" t="s">
        <v>774</v>
      </c>
      <c r="C291">
        <v>106</v>
      </c>
      <c r="D291" t="s">
        <v>953</v>
      </c>
      <c r="E291">
        <v>400</v>
      </c>
      <c r="F291" s="36">
        <v>70.02</v>
      </c>
      <c r="G291">
        <v>4</v>
      </c>
      <c r="H29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31.509</v>
      </c>
      <c r="I291" s="37">
        <f>Tableau2[[#This Row],[Facture_Mensuelle $]]*Tableau2[[#This Row],[Remise taux]]</f>
        <v>2206.2601799999998</v>
      </c>
    </row>
    <row r="292" spans="1:9" x14ac:dyDescent="0.25">
      <c r="A292" t="s">
        <v>1247</v>
      </c>
      <c r="B292" t="s">
        <v>769</v>
      </c>
      <c r="C292">
        <v>16</v>
      </c>
      <c r="D292" t="s">
        <v>953</v>
      </c>
      <c r="E292">
        <v>390</v>
      </c>
      <c r="F292" s="36">
        <v>98.17</v>
      </c>
      <c r="G292">
        <v>5</v>
      </c>
      <c r="H29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44.176500000000004</v>
      </c>
      <c r="I292" s="37">
        <f>Tableau2[[#This Row],[Facture_Mensuelle $]]*Tableau2[[#This Row],[Remise taux]]</f>
        <v>4336.8070050000006</v>
      </c>
    </row>
    <row r="293" spans="1:9" x14ac:dyDescent="0.25">
      <c r="A293" t="s">
        <v>1248</v>
      </c>
      <c r="B293" t="s">
        <v>775</v>
      </c>
      <c r="C293">
        <v>92</v>
      </c>
      <c r="D293" t="s">
        <v>953</v>
      </c>
      <c r="E293">
        <v>472</v>
      </c>
      <c r="F293" s="36">
        <v>78.44</v>
      </c>
      <c r="G293">
        <v>1</v>
      </c>
      <c r="H29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35.298000000000002</v>
      </c>
      <c r="I293" s="37">
        <f>Tableau2[[#This Row],[Facture_Mensuelle $]]*Tableau2[[#This Row],[Remise taux]]</f>
        <v>2768.7751200000002</v>
      </c>
    </row>
    <row r="294" spans="1:9" x14ac:dyDescent="0.25">
      <c r="A294" t="s">
        <v>1249</v>
      </c>
      <c r="B294" t="s">
        <v>783</v>
      </c>
      <c r="C294">
        <v>115</v>
      </c>
      <c r="D294" t="s">
        <v>953</v>
      </c>
      <c r="E294">
        <v>236</v>
      </c>
      <c r="F294" s="36">
        <v>50.64</v>
      </c>
      <c r="G294">
        <v>1</v>
      </c>
      <c r="H29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294" s="37">
        <f>Tableau2[[#This Row],[Facture_Mensuelle $]]*Tableau2[[#This Row],[Remise taux]]</f>
        <v>0</v>
      </c>
    </row>
    <row r="295" spans="1:9" x14ac:dyDescent="0.25">
      <c r="A295" t="s">
        <v>1250</v>
      </c>
      <c r="B295" t="s">
        <v>781</v>
      </c>
      <c r="C295">
        <v>63</v>
      </c>
      <c r="D295" t="s">
        <v>957</v>
      </c>
      <c r="E295">
        <v>95</v>
      </c>
      <c r="F295" s="36">
        <v>56.81</v>
      </c>
      <c r="G295">
        <v>0</v>
      </c>
      <c r="H29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295" s="37">
        <f>Tableau2[[#This Row],[Facture_Mensuelle $]]*Tableau2[[#This Row],[Remise taux]]</f>
        <v>0</v>
      </c>
    </row>
    <row r="296" spans="1:9" x14ac:dyDescent="0.25">
      <c r="A296" t="s">
        <v>1251</v>
      </c>
      <c r="B296" t="s">
        <v>784</v>
      </c>
      <c r="C296">
        <v>119</v>
      </c>
      <c r="D296" t="s">
        <v>953</v>
      </c>
      <c r="E296">
        <v>133</v>
      </c>
      <c r="F296" s="36">
        <v>30.27</v>
      </c>
      <c r="G296">
        <v>5</v>
      </c>
      <c r="H29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296" s="37">
        <f>Tableau2[[#This Row],[Facture_Mensuelle $]]*Tableau2[[#This Row],[Remise taux]]</f>
        <v>0</v>
      </c>
    </row>
    <row r="297" spans="1:9" x14ac:dyDescent="0.25">
      <c r="A297" t="s">
        <v>1252</v>
      </c>
      <c r="B297" t="s">
        <v>766</v>
      </c>
      <c r="C297">
        <v>14</v>
      </c>
      <c r="D297" t="s">
        <v>957</v>
      </c>
      <c r="E297">
        <v>304</v>
      </c>
      <c r="F297" s="36">
        <v>48.13</v>
      </c>
      <c r="G297">
        <v>2</v>
      </c>
      <c r="H29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21.6585</v>
      </c>
      <c r="I297" s="37">
        <f>Tableau2[[#This Row],[Facture_Mensuelle $]]*Tableau2[[#This Row],[Remise taux]]</f>
        <v>1042.423605</v>
      </c>
    </row>
    <row r="298" spans="1:9" x14ac:dyDescent="0.25">
      <c r="A298" t="s">
        <v>1253</v>
      </c>
      <c r="B298" t="s">
        <v>784</v>
      </c>
      <c r="C298">
        <v>18</v>
      </c>
      <c r="D298" t="s">
        <v>953</v>
      </c>
      <c r="E298">
        <v>463</v>
      </c>
      <c r="F298" s="36">
        <v>41.66</v>
      </c>
      <c r="G298">
        <v>4</v>
      </c>
      <c r="H29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18.747</v>
      </c>
      <c r="I298" s="37">
        <f>Tableau2[[#This Row],[Facture_Mensuelle $]]*Tableau2[[#This Row],[Remise taux]]</f>
        <v>781.00001999999995</v>
      </c>
    </row>
    <row r="299" spans="1:9" x14ac:dyDescent="0.25">
      <c r="A299" t="s">
        <v>1254</v>
      </c>
      <c r="B299" t="s">
        <v>781</v>
      </c>
      <c r="C299">
        <v>76</v>
      </c>
      <c r="D299" t="s">
        <v>957</v>
      </c>
      <c r="E299">
        <v>332</v>
      </c>
      <c r="F299" s="36">
        <v>68.010000000000005</v>
      </c>
      <c r="G299">
        <v>4</v>
      </c>
      <c r="H29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30.604500000000002</v>
      </c>
      <c r="I299" s="37">
        <f>Tableau2[[#This Row],[Facture_Mensuelle $]]*Tableau2[[#This Row],[Remise taux]]</f>
        <v>2081.4120450000005</v>
      </c>
    </row>
    <row r="300" spans="1:9" x14ac:dyDescent="0.25">
      <c r="A300" t="s">
        <v>1255</v>
      </c>
      <c r="B300" t="s">
        <v>772</v>
      </c>
      <c r="C300">
        <v>48</v>
      </c>
      <c r="D300" t="s">
        <v>953</v>
      </c>
      <c r="E300">
        <v>436</v>
      </c>
      <c r="F300" s="36">
        <v>15.17</v>
      </c>
      <c r="G300">
        <v>0</v>
      </c>
      <c r="H30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6.8265000000000002</v>
      </c>
      <c r="I300" s="37">
        <f>Tableau2[[#This Row],[Facture_Mensuelle $]]*Tableau2[[#This Row],[Remise taux]]</f>
        <v>103.55800500000001</v>
      </c>
    </row>
    <row r="301" spans="1:9" x14ac:dyDescent="0.25">
      <c r="A301" t="s">
        <v>1256</v>
      </c>
      <c r="B301" t="s">
        <v>786</v>
      </c>
      <c r="C301">
        <v>34</v>
      </c>
      <c r="D301" t="s">
        <v>955</v>
      </c>
      <c r="E301">
        <v>453</v>
      </c>
      <c r="F301" s="36">
        <v>56.84</v>
      </c>
      <c r="G301">
        <v>0</v>
      </c>
      <c r="H30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25.578000000000003</v>
      </c>
      <c r="I301" s="37">
        <f>Tableau2[[#This Row],[Facture_Mensuelle $]]*Tableau2[[#This Row],[Remise taux]]</f>
        <v>1453.8535200000003</v>
      </c>
    </row>
    <row r="302" spans="1:9" x14ac:dyDescent="0.25">
      <c r="A302" t="s">
        <v>1257</v>
      </c>
      <c r="B302" t="s">
        <v>780</v>
      </c>
      <c r="C302">
        <v>31</v>
      </c>
      <c r="D302" t="s">
        <v>953</v>
      </c>
      <c r="E302">
        <v>160</v>
      </c>
      <c r="F302" s="36">
        <v>59.76</v>
      </c>
      <c r="G302">
        <v>4</v>
      </c>
      <c r="H30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02" s="37">
        <f>Tableau2[[#This Row],[Facture_Mensuelle $]]*Tableau2[[#This Row],[Remise taux]]</f>
        <v>0</v>
      </c>
    </row>
    <row r="303" spans="1:9" x14ac:dyDescent="0.25">
      <c r="A303" t="s">
        <v>1258</v>
      </c>
      <c r="B303" t="s">
        <v>778</v>
      </c>
      <c r="C303">
        <v>74</v>
      </c>
      <c r="D303" t="s">
        <v>957</v>
      </c>
      <c r="E303">
        <v>9</v>
      </c>
      <c r="F303" s="36">
        <v>99.89</v>
      </c>
      <c r="G303">
        <v>0</v>
      </c>
      <c r="H30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03" s="37">
        <f>Tableau2[[#This Row],[Facture_Mensuelle $]]*Tableau2[[#This Row],[Remise taux]]</f>
        <v>0</v>
      </c>
    </row>
    <row r="304" spans="1:9" x14ac:dyDescent="0.25">
      <c r="A304" t="s">
        <v>1259</v>
      </c>
      <c r="B304" t="s">
        <v>777</v>
      </c>
      <c r="C304">
        <v>88</v>
      </c>
      <c r="D304" t="s">
        <v>957</v>
      </c>
      <c r="E304">
        <v>319</v>
      </c>
      <c r="F304" s="36">
        <v>56.18</v>
      </c>
      <c r="G304">
        <v>0</v>
      </c>
      <c r="H30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25.280999999999999</v>
      </c>
      <c r="I304" s="37">
        <f>Tableau2[[#This Row],[Facture_Mensuelle $]]*Tableau2[[#This Row],[Remise taux]]</f>
        <v>1420.28658</v>
      </c>
    </row>
    <row r="305" spans="1:9" x14ac:dyDescent="0.25">
      <c r="A305" t="s">
        <v>1260</v>
      </c>
      <c r="B305" t="s">
        <v>776</v>
      </c>
      <c r="C305">
        <v>81</v>
      </c>
      <c r="D305" t="s">
        <v>957</v>
      </c>
      <c r="E305">
        <v>64</v>
      </c>
      <c r="F305" s="36">
        <v>43.45</v>
      </c>
      <c r="G305">
        <v>2</v>
      </c>
      <c r="H30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05" s="37">
        <f>Tableau2[[#This Row],[Facture_Mensuelle $]]*Tableau2[[#This Row],[Remise taux]]</f>
        <v>0</v>
      </c>
    </row>
    <row r="306" spans="1:9" x14ac:dyDescent="0.25">
      <c r="A306" t="s">
        <v>1261</v>
      </c>
      <c r="B306" t="s">
        <v>771</v>
      </c>
      <c r="C306">
        <v>74</v>
      </c>
      <c r="D306" t="s">
        <v>957</v>
      </c>
      <c r="E306">
        <v>16</v>
      </c>
      <c r="F306" s="36">
        <v>93.01</v>
      </c>
      <c r="G306">
        <v>3</v>
      </c>
      <c r="H30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06" s="37">
        <f>Tableau2[[#This Row],[Facture_Mensuelle $]]*Tableau2[[#This Row],[Remise taux]]</f>
        <v>0</v>
      </c>
    </row>
    <row r="307" spans="1:9" x14ac:dyDescent="0.25">
      <c r="A307" t="s">
        <v>1262</v>
      </c>
      <c r="B307" t="s">
        <v>782</v>
      </c>
      <c r="C307">
        <v>108</v>
      </c>
      <c r="D307" t="s">
        <v>953</v>
      </c>
      <c r="E307">
        <v>460</v>
      </c>
      <c r="F307" s="36">
        <v>88.95</v>
      </c>
      <c r="G307">
        <v>3</v>
      </c>
      <c r="H30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40.027500000000003</v>
      </c>
      <c r="I307" s="37">
        <f>Tableau2[[#This Row],[Facture_Mensuelle $]]*Tableau2[[#This Row],[Remise taux]]</f>
        <v>3560.4461250000004</v>
      </c>
    </row>
    <row r="308" spans="1:9" x14ac:dyDescent="0.25">
      <c r="A308" t="s">
        <v>1263</v>
      </c>
      <c r="B308" t="s">
        <v>785</v>
      </c>
      <c r="C308">
        <v>91</v>
      </c>
      <c r="D308" t="s">
        <v>957</v>
      </c>
      <c r="E308">
        <v>63</v>
      </c>
      <c r="F308" s="36">
        <v>57.76</v>
      </c>
      <c r="G308">
        <v>5</v>
      </c>
      <c r="H30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08" s="37">
        <f>Tableau2[[#This Row],[Facture_Mensuelle $]]*Tableau2[[#This Row],[Remise taux]]</f>
        <v>0</v>
      </c>
    </row>
    <row r="309" spans="1:9" x14ac:dyDescent="0.25">
      <c r="A309" t="s">
        <v>1264</v>
      </c>
      <c r="B309" t="s">
        <v>773</v>
      </c>
      <c r="C309">
        <v>7</v>
      </c>
      <c r="D309" t="s">
        <v>957</v>
      </c>
      <c r="E309">
        <v>94</v>
      </c>
      <c r="F309" s="36">
        <v>68.38</v>
      </c>
      <c r="G309">
        <v>3</v>
      </c>
      <c r="H30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09" s="37">
        <f>Tableau2[[#This Row],[Facture_Mensuelle $]]*Tableau2[[#This Row],[Remise taux]]</f>
        <v>0</v>
      </c>
    </row>
    <row r="310" spans="1:9" x14ac:dyDescent="0.25">
      <c r="A310" t="s">
        <v>1265</v>
      </c>
      <c r="B310" t="s">
        <v>770</v>
      </c>
      <c r="C310">
        <v>47</v>
      </c>
      <c r="D310" t="s">
        <v>961</v>
      </c>
      <c r="E310">
        <v>49</v>
      </c>
      <c r="F310" s="36">
        <v>55.88</v>
      </c>
      <c r="G310">
        <v>3</v>
      </c>
      <c r="H31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25.146000000000001</v>
      </c>
      <c r="I310" s="37">
        <f>Tableau2[[#This Row],[Facture_Mensuelle $]]*Tableau2[[#This Row],[Remise taux]]</f>
        <v>1405.1584800000001</v>
      </c>
    </row>
    <row r="311" spans="1:9" x14ac:dyDescent="0.25">
      <c r="A311" t="s">
        <v>1266</v>
      </c>
      <c r="B311" t="s">
        <v>769</v>
      </c>
      <c r="C311">
        <v>54</v>
      </c>
      <c r="D311" t="s">
        <v>957</v>
      </c>
      <c r="E311">
        <v>215</v>
      </c>
      <c r="F311" s="36">
        <v>54.69</v>
      </c>
      <c r="G311">
        <v>0</v>
      </c>
      <c r="H31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11" s="37">
        <f>Tableau2[[#This Row],[Facture_Mensuelle $]]*Tableau2[[#This Row],[Remise taux]]</f>
        <v>0</v>
      </c>
    </row>
    <row r="312" spans="1:9" x14ac:dyDescent="0.25">
      <c r="A312" t="s">
        <v>1267</v>
      </c>
      <c r="B312" t="s">
        <v>786</v>
      </c>
      <c r="C312">
        <v>80</v>
      </c>
      <c r="D312" t="s">
        <v>955</v>
      </c>
      <c r="E312">
        <v>458</v>
      </c>
      <c r="F312" s="36">
        <v>98.11</v>
      </c>
      <c r="G312">
        <v>0</v>
      </c>
      <c r="H31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44.149500000000003</v>
      </c>
      <c r="I312" s="37">
        <f>Tableau2[[#This Row],[Facture_Mensuelle $]]*Tableau2[[#This Row],[Remise taux]]</f>
        <v>4331.5074450000002</v>
      </c>
    </row>
    <row r="313" spans="1:9" x14ac:dyDescent="0.25">
      <c r="A313" t="s">
        <v>1268</v>
      </c>
      <c r="B313" t="s">
        <v>773</v>
      </c>
      <c r="C313">
        <v>115</v>
      </c>
      <c r="D313" t="s">
        <v>957</v>
      </c>
      <c r="E313">
        <v>467</v>
      </c>
      <c r="F313" s="36">
        <v>24.57</v>
      </c>
      <c r="G313">
        <v>3</v>
      </c>
      <c r="H31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11.0565</v>
      </c>
      <c r="I313" s="37">
        <f>Tableau2[[#This Row],[Facture_Mensuelle $]]*Tableau2[[#This Row],[Remise taux]]</f>
        <v>271.65820500000001</v>
      </c>
    </row>
    <row r="314" spans="1:9" x14ac:dyDescent="0.25">
      <c r="A314" t="s">
        <v>1269</v>
      </c>
      <c r="B314" t="s">
        <v>769</v>
      </c>
      <c r="C314">
        <v>104</v>
      </c>
      <c r="D314" t="s">
        <v>957</v>
      </c>
      <c r="E314">
        <v>50</v>
      </c>
      <c r="F314" s="36" t="s">
        <v>1270</v>
      </c>
      <c r="G314">
        <v>4</v>
      </c>
      <c r="H31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14" s="37">
        <f>Tableau2[[#This Row],[Facture_Mensuelle $]]*Tableau2[[#This Row],[Remise taux]]</f>
        <v>0</v>
      </c>
    </row>
    <row r="315" spans="1:9" x14ac:dyDescent="0.25">
      <c r="A315" t="s">
        <v>1271</v>
      </c>
      <c r="B315" t="s">
        <v>777</v>
      </c>
      <c r="C315">
        <v>103</v>
      </c>
      <c r="D315" t="s">
        <v>961</v>
      </c>
      <c r="E315">
        <v>310</v>
      </c>
      <c r="F315" s="36">
        <v>49.25</v>
      </c>
      <c r="G315">
        <v>2</v>
      </c>
      <c r="H31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22.162500000000001</v>
      </c>
      <c r="I315" s="37">
        <f>Tableau2[[#This Row],[Facture_Mensuelle $]]*Tableau2[[#This Row],[Remise taux]]</f>
        <v>1091.5031250000002</v>
      </c>
    </row>
    <row r="316" spans="1:9" x14ac:dyDescent="0.25">
      <c r="A316" t="s">
        <v>1272</v>
      </c>
      <c r="B316" t="s">
        <v>768</v>
      </c>
      <c r="C316">
        <v>32</v>
      </c>
      <c r="D316" t="s">
        <v>955</v>
      </c>
      <c r="E316">
        <v>4</v>
      </c>
      <c r="F316" s="36">
        <v>39</v>
      </c>
      <c r="G316">
        <v>0</v>
      </c>
      <c r="H31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16" s="37">
        <f>Tableau2[[#This Row],[Facture_Mensuelle $]]*Tableau2[[#This Row],[Remise taux]]</f>
        <v>0</v>
      </c>
    </row>
    <row r="317" spans="1:9" x14ac:dyDescent="0.25">
      <c r="A317" t="s">
        <v>1273</v>
      </c>
      <c r="B317" t="s">
        <v>782</v>
      </c>
      <c r="C317">
        <v>54</v>
      </c>
      <c r="D317" t="s">
        <v>953</v>
      </c>
      <c r="E317">
        <v>450</v>
      </c>
      <c r="F317" s="36">
        <v>90.85</v>
      </c>
      <c r="G317">
        <v>1</v>
      </c>
      <c r="H31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40.8825</v>
      </c>
      <c r="I317" s="37">
        <f>Tableau2[[#This Row],[Facture_Mensuelle $]]*Tableau2[[#This Row],[Remise taux]]</f>
        <v>3714.1751249999998</v>
      </c>
    </row>
    <row r="318" spans="1:9" x14ac:dyDescent="0.25">
      <c r="A318" t="s">
        <v>1274</v>
      </c>
      <c r="B318" t="s">
        <v>767</v>
      </c>
      <c r="C318">
        <v>63</v>
      </c>
      <c r="D318" t="s">
        <v>955</v>
      </c>
      <c r="E318">
        <v>205</v>
      </c>
      <c r="F318" s="36">
        <v>89.19</v>
      </c>
      <c r="G318">
        <v>0</v>
      </c>
      <c r="H31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18" s="37">
        <f>Tableau2[[#This Row],[Facture_Mensuelle $]]*Tableau2[[#This Row],[Remise taux]]</f>
        <v>0</v>
      </c>
    </row>
    <row r="319" spans="1:9" x14ac:dyDescent="0.25">
      <c r="A319" t="s">
        <v>1275</v>
      </c>
      <c r="B319" t="s">
        <v>782</v>
      </c>
      <c r="C319">
        <v>16</v>
      </c>
      <c r="D319" t="s">
        <v>961</v>
      </c>
      <c r="E319">
        <v>274</v>
      </c>
      <c r="F319" s="36">
        <v>27.97</v>
      </c>
      <c r="G319">
        <v>4</v>
      </c>
      <c r="H31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12.586499999999999</v>
      </c>
      <c r="I319" s="37">
        <f>Tableau2[[#This Row],[Facture_Mensuelle $]]*Tableau2[[#This Row],[Remise taux]]</f>
        <v>352.04440499999998</v>
      </c>
    </row>
    <row r="320" spans="1:9" x14ac:dyDescent="0.25">
      <c r="A320" t="s">
        <v>1276</v>
      </c>
      <c r="B320" t="s">
        <v>779</v>
      </c>
      <c r="C320">
        <v>95</v>
      </c>
      <c r="D320" t="s">
        <v>961</v>
      </c>
      <c r="E320">
        <v>313</v>
      </c>
      <c r="F320" s="36">
        <v>32.49</v>
      </c>
      <c r="G320">
        <v>1</v>
      </c>
      <c r="H32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14.620500000000002</v>
      </c>
      <c r="I320" s="37">
        <f>Tableau2[[#This Row],[Facture_Mensuelle $]]*Tableau2[[#This Row],[Remise taux]]</f>
        <v>475.0200450000001</v>
      </c>
    </row>
    <row r="321" spans="1:9" x14ac:dyDescent="0.25">
      <c r="A321" t="s">
        <v>1277</v>
      </c>
      <c r="B321" t="s">
        <v>763</v>
      </c>
      <c r="C321">
        <v>48</v>
      </c>
      <c r="D321" t="s">
        <v>955</v>
      </c>
      <c r="E321">
        <v>76</v>
      </c>
      <c r="F321" s="36">
        <v>39.35</v>
      </c>
      <c r="G321">
        <v>2</v>
      </c>
      <c r="H32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21" s="37">
        <f>Tableau2[[#This Row],[Facture_Mensuelle $]]*Tableau2[[#This Row],[Remise taux]]</f>
        <v>0</v>
      </c>
    </row>
    <row r="322" spans="1:9" x14ac:dyDescent="0.25">
      <c r="A322" t="s">
        <v>1278</v>
      </c>
      <c r="B322" t="s">
        <v>782</v>
      </c>
      <c r="C322">
        <v>83</v>
      </c>
      <c r="D322" t="s">
        <v>953</v>
      </c>
      <c r="E322">
        <v>126</v>
      </c>
      <c r="F322" s="36">
        <v>67.17</v>
      </c>
      <c r="G322">
        <v>1</v>
      </c>
      <c r="H32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22" s="37">
        <f>Tableau2[[#This Row],[Facture_Mensuelle $]]*Tableau2[[#This Row],[Remise taux]]</f>
        <v>0</v>
      </c>
    </row>
    <row r="323" spans="1:9" x14ac:dyDescent="0.25">
      <c r="A323" t="s">
        <v>1279</v>
      </c>
      <c r="B323" t="s">
        <v>786</v>
      </c>
      <c r="C323">
        <v>96</v>
      </c>
      <c r="D323" t="s">
        <v>957</v>
      </c>
      <c r="E323">
        <v>155</v>
      </c>
      <c r="F323" s="36">
        <v>69.16</v>
      </c>
      <c r="G323">
        <v>4</v>
      </c>
      <c r="H32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23" s="37">
        <f>Tableau2[[#This Row],[Facture_Mensuelle $]]*Tableau2[[#This Row],[Remise taux]]</f>
        <v>0</v>
      </c>
    </row>
    <row r="324" spans="1:9" x14ac:dyDescent="0.25">
      <c r="A324" t="s">
        <v>1280</v>
      </c>
      <c r="B324" t="s">
        <v>769</v>
      </c>
      <c r="C324">
        <v>13</v>
      </c>
      <c r="D324" t="s">
        <v>957</v>
      </c>
      <c r="E324">
        <v>482</v>
      </c>
      <c r="F324" s="36">
        <v>50.15</v>
      </c>
      <c r="G324">
        <v>0</v>
      </c>
      <c r="H32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22.567499999999999</v>
      </c>
      <c r="I324" s="37">
        <f>Tableau2[[#This Row],[Facture_Mensuelle $]]*Tableau2[[#This Row],[Remise taux]]</f>
        <v>1131.760125</v>
      </c>
    </row>
    <row r="325" spans="1:9" x14ac:dyDescent="0.25">
      <c r="A325" t="s">
        <v>1281</v>
      </c>
      <c r="B325" t="s">
        <v>767</v>
      </c>
      <c r="C325">
        <v>4</v>
      </c>
      <c r="D325" t="s">
        <v>953</v>
      </c>
      <c r="E325">
        <v>227</v>
      </c>
      <c r="F325" s="36">
        <v>83.32</v>
      </c>
      <c r="G325">
        <v>2</v>
      </c>
      <c r="H32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25" s="37">
        <f>Tableau2[[#This Row],[Facture_Mensuelle $]]*Tableau2[[#This Row],[Remise taux]]</f>
        <v>0</v>
      </c>
    </row>
    <row r="326" spans="1:9" x14ac:dyDescent="0.25">
      <c r="A326" t="s">
        <v>1282</v>
      </c>
      <c r="B326" t="s">
        <v>761</v>
      </c>
      <c r="C326">
        <v>49</v>
      </c>
      <c r="D326" t="s">
        <v>957</v>
      </c>
      <c r="E326">
        <v>6</v>
      </c>
      <c r="F326" s="36">
        <v>44.41</v>
      </c>
      <c r="G326">
        <v>3</v>
      </c>
      <c r="H32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26" s="37">
        <f>Tableau2[[#This Row],[Facture_Mensuelle $]]*Tableau2[[#This Row],[Remise taux]]</f>
        <v>0</v>
      </c>
    </row>
    <row r="327" spans="1:9" x14ac:dyDescent="0.25">
      <c r="A327" t="s">
        <v>1283</v>
      </c>
      <c r="B327" t="s">
        <v>778</v>
      </c>
      <c r="C327">
        <v>37</v>
      </c>
      <c r="D327" t="s">
        <v>961</v>
      </c>
      <c r="E327">
        <v>420</v>
      </c>
      <c r="F327" s="36">
        <v>67.260000000000005</v>
      </c>
      <c r="G327">
        <v>4</v>
      </c>
      <c r="H32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30.267000000000003</v>
      </c>
      <c r="I327" s="37">
        <f>Tableau2[[#This Row],[Facture_Mensuelle $]]*Tableau2[[#This Row],[Remise taux]]</f>
        <v>2035.7584200000003</v>
      </c>
    </row>
    <row r="328" spans="1:9" x14ac:dyDescent="0.25">
      <c r="A328" t="s">
        <v>1284</v>
      </c>
      <c r="B328" t="s">
        <v>777</v>
      </c>
      <c r="C328">
        <v>88</v>
      </c>
      <c r="D328" t="s">
        <v>953</v>
      </c>
      <c r="E328">
        <v>246</v>
      </c>
      <c r="F328" s="36">
        <v>90.7</v>
      </c>
      <c r="G328">
        <v>3</v>
      </c>
      <c r="H32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40.815000000000005</v>
      </c>
      <c r="I328" s="37">
        <f>Tableau2[[#This Row],[Facture_Mensuelle $]]*Tableau2[[#This Row],[Remise taux]]</f>
        <v>3701.9205000000006</v>
      </c>
    </row>
    <row r="329" spans="1:9" x14ac:dyDescent="0.25">
      <c r="A329" t="s">
        <v>1285</v>
      </c>
      <c r="B329" t="s">
        <v>776</v>
      </c>
      <c r="C329">
        <v>26</v>
      </c>
      <c r="D329" t="s">
        <v>953</v>
      </c>
      <c r="E329">
        <v>413</v>
      </c>
      <c r="F329" s="36">
        <v>10.9</v>
      </c>
      <c r="G329">
        <v>5</v>
      </c>
      <c r="H32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4.9050000000000002</v>
      </c>
      <c r="I329" s="37">
        <f>Tableau2[[#This Row],[Facture_Mensuelle $]]*Tableau2[[#This Row],[Remise taux]]</f>
        <v>53.464500000000001</v>
      </c>
    </row>
    <row r="330" spans="1:9" x14ac:dyDescent="0.25">
      <c r="A330" t="s">
        <v>1286</v>
      </c>
      <c r="B330" t="s">
        <v>782</v>
      </c>
      <c r="C330">
        <v>86</v>
      </c>
      <c r="D330" t="s">
        <v>955</v>
      </c>
      <c r="E330">
        <v>353</v>
      </c>
      <c r="F330" s="36">
        <v>25.37</v>
      </c>
      <c r="G330">
        <v>1</v>
      </c>
      <c r="H33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11.416500000000001</v>
      </c>
      <c r="I330" s="37">
        <f>Tableau2[[#This Row],[Facture_Mensuelle $]]*Tableau2[[#This Row],[Remise taux]]</f>
        <v>289.63660500000003</v>
      </c>
    </row>
    <row r="331" spans="1:9" x14ac:dyDescent="0.25">
      <c r="A331" t="s">
        <v>1287</v>
      </c>
      <c r="B331" t="s">
        <v>765</v>
      </c>
      <c r="C331">
        <v>101</v>
      </c>
      <c r="D331" t="s">
        <v>955</v>
      </c>
      <c r="E331">
        <v>108</v>
      </c>
      <c r="F331" s="36">
        <v>76.05</v>
      </c>
      <c r="G331">
        <v>3</v>
      </c>
      <c r="H33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31" s="37">
        <f>Tableau2[[#This Row],[Facture_Mensuelle $]]*Tableau2[[#This Row],[Remise taux]]</f>
        <v>0</v>
      </c>
    </row>
    <row r="332" spans="1:9" x14ac:dyDescent="0.25">
      <c r="A332" t="s">
        <v>1288</v>
      </c>
      <c r="B332" t="s">
        <v>776</v>
      </c>
      <c r="C332">
        <v>105</v>
      </c>
      <c r="D332" t="s">
        <v>961</v>
      </c>
      <c r="E332">
        <v>17</v>
      </c>
      <c r="F332" s="36">
        <v>60.05</v>
      </c>
      <c r="G332">
        <v>4</v>
      </c>
      <c r="H33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32" s="37">
        <f>Tableau2[[#This Row],[Facture_Mensuelle $]]*Tableau2[[#This Row],[Remise taux]]</f>
        <v>0</v>
      </c>
    </row>
    <row r="333" spans="1:9" x14ac:dyDescent="0.25">
      <c r="A333" t="s">
        <v>1289</v>
      </c>
      <c r="B333" t="s">
        <v>784</v>
      </c>
      <c r="C333">
        <v>61</v>
      </c>
      <c r="D333" t="s">
        <v>957</v>
      </c>
      <c r="E333">
        <v>87</v>
      </c>
      <c r="F333" s="36">
        <v>68.319999999999993</v>
      </c>
      <c r="G333">
        <v>2</v>
      </c>
      <c r="H33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33" s="37">
        <f>Tableau2[[#This Row],[Facture_Mensuelle $]]*Tableau2[[#This Row],[Remise taux]]</f>
        <v>0</v>
      </c>
    </row>
    <row r="334" spans="1:9" x14ac:dyDescent="0.25">
      <c r="A334" t="s">
        <v>1290</v>
      </c>
      <c r="B334" t="s">
        <v>764</v>
      </c>
      <c r="C334">
        <v>94</v>
      </c>
      <c r="D334" t="s">
        <v>957</v>
      </c>
      <c r="E334">
        <v>6</v>
      </c>
      <c r="F334" s="36">
        <v>67.459999999999994</v>
      </c>
      <c r="G334">
        <v>5</v>
      </c>
      <c r="H33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34" s="37">
        <f>Tableau2[[#This Row],[Facture_Mensuelle $]]*Tableau2[[#This Row],[Remise taux]]</f>
        <v>0</v>
      </c>
    </row>
    <row r="335" spans="1:9" x14ac:dyDescent="0.25">
      <c r="A335" t="s">
        <v>1291</v>
      </c>
      <c r="B335" t="s">
        <v>772</v>
      </c>
      <c r="C335">
        <v>6</v>
      </c>
      <c r="D335" t="s">
        <v>955</v>
      </c>
      <c r="E335">
        <v>109</v>
      </c>
      <c r="F335" s="36">
        <v>39.880000000000003</v>
      </c>
      <c r="G335">
        <v>4</v>
      </c>
      <c r="H33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35" s="37">
        <f>Tableau2[[#This Row],[Facture_Mensuelle $]]*Tableau2[[#This Row],[Remise taux]]</f>
        <v>0</v>
      </c>
    </row>
    <row r="336" spans="1:9" x14ac:dyDescent="0.25">
      <c r="A336" t="s">
        <v>1292</v>
      </c>
      <c r="B336" t="s">
        <v>766</v>
      </c>
      <c r="C336">
        <v>62</v>
      </c>
      <c r="D336" t="s">
        <v>957</v>
      </c>
      <c r="E336">
        <v>136</v>
      </c>
      <c r="F336" s="36">
        <v>88.61</v>
      </c>
      <c r="G336">
        <v>2</v>
      </c>
      <c r="H33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36" s="37">
        <f>Tableau2[[#This Row],[Facture_Mensuelle $]]*Tableau2[[#This Row],[Remise taux]]</f>
        <v>0</v>
      </c>
    </row>
    <row r="337" spans="1:9" x14ac:dyDescent="0.25">
      <c r="A337" t="s">
        <v>1293</v>
      </c>
      <c r="B337" t="s">
        <v>785</v>
      </c>
      <c r="C337">
        <v>34</v>
      </c>
      <c r="D337" t="s">
        <v>957</v>
      </c>
      <c r="E337">
        <v>181</v>
      </c>
      <c r="F337" s="36">
        <v>35.92</v>
      </c>
      <c r="G337">
        <v>2</v>
      </c>
      <c r="H33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37" s="37">
        <f>Tableau2[[#This Row],[Facture_Mensuelle $]]*Tableau2[[#This Row],[Remise taux]]</f>
        <v>0</v>
      </c>
    </row>
    <row r="338" spans="1:9" x14ac:dyDescent="0.25">
      <c r="A338" t="s">
        <v>1294</v>
      </c>
      <c r="B338" t="s">
        <v>786</v>
      </c>
      <c r="C338">
        <v>99</v>
      </c>
      <c r="D338" t="s">
        <v>955</v>
      </c>
      <c r="E338">
        <v>138</v>
      </c>
      <c r="F338" s="36">
        <v>54.64</v>
      </c>
      <c r="G338">
        <v>5</v>
      </c>
      <c r="H33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38" s="37">
        <f>Tableau2[[#This Row],[Facture_Mensuelle $]]*Tableau2[[#This Row],[Remise taux]]</f>
        <v>0</v>
      </c>
    </row>
    <row r="339" spans="1:9" x14ac:dyDescent="0.25">
      <c r="A339" t="s">
        <v>1295</v>
      </c>
      <c r="B339" t="s">
        <v>784</v>
      </c>
      <c r="C339">
        <v>59</v>
      </c>
      <c r="D339" t="s">
        <v>961</v>
      </c>
      <c r="E339">
        <v>352</v>
      </c>
      <c r="F339" s="36">
        <v>74.239999999999995</v>
      </c>
      <c r="G339">
        <v>0</v>
      </c>
      <c r="H33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33.408000000000001</v>
      </c>
      <c r="I339" s="37">
        <f>Tableau2[[#This Row],[Facture_Mensuelle $]]*Tableau2[[#This Row],[Remise taux]]</f>
        <v>2480.2099199999998</v>
      </c>
    </row>
    <row r="340" spans="1:9" x14ac:dyDescent="0.25">
      <c r="A340" t="s">
        <v>1296</v>
      </c>
      <c r="B340" t="s">
        <v>762</v>
      </c>
      <c r="C340">
        <v>19</v>
      </c>
      <c r="D340" t="s">
        <v>953</v>
      </c>
      <c r="E340">
        <v>71</v>
      </c>
      <c r="F340" s="36">
        <v>68.2</v>
      </c>
      <c r="G340">
        <v>0</v>
      </c>
      <c r="H34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40" s="37">
        <f>Tableau2[[#This Row],[Facture_Mensuelle $]]*Tableau2[[#This Row],[Remise taux]]</f>
        <v>0</v>
      </c>
    </row>
    <row r="341" spans="1:9" x14ac:dyDescent="0.25">
      <c r="A341" t="s">
        <v>1297</v>
      </c>
      <c r="B341" t="s">
        <v>775</v>
      </c>
      <c r="C341">
        <v>56</v>
      </c>
      <c r="D341" t="s">
        <v>955</v>
      </c>
      <c r="E341">
        <v>55</v>
      </c>
      <c r="F341" s="36">
        <v>82.56</v>
      </c>
      <c r="G341">
        <v>2</v>
      </c>
      <c r="H34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41" s="37">
        <f>Tableau2[[#This Row],[Facture_Mensuelle $]]*Tableau2[[#This Row],[Remise taux]]</f>
        <v>0</v>
      </c>
    </row>
    <row r="342" spans="1:9" x14ac:dyDescent="0.25">
      <c r="A342" t="s">
        <v>1298</v>
      </c>
      <c r="B342" t="s">
        <v>763</v>
      </c>
      <c r="C342">
        <v>94</v>
      </c>
      <c r="D342" t="s">
        <v>955</v>
      </c>
      <c r="E342">
        <v>247</v>
      </c>
      <c r="F342" s="36">
        <v>96.57</v>
      </c>
      <c r="G342">
        <v>0</v>
      </c>
      <c r="H34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43.456499999999998</v>
      </c>
      <c r="I342" s="37">
        <f>Tableau2[[#This Row],[Facture_Mensuelle $]]*Tableau2[[#This Row],[Remise taux]]</f>
        <v>4196.5942049999994</v>
      </c>
    </row>
    <row r="343" spans="1:9" x14ac:dyDescent="0.25">
      <c r="A343" t="s">
        <v>1299</v>
      </c>
      <c r="B343" t="s">
        <v>766</v>
      </c>
      <c r="C343">
        <v>14</v>
      </c>
      <c r="D343" t="s">
        <v>955</v>
      </c>
      <c r="E343">
        <v>236</v>
      </c>
      <c r="F343" s="36">
        <v>54.43</v>
      </c>
      <c r="G343">
        <v>3</v>
      </c>
      <c r="H34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43" s="37">
        <f>Tableau2[[#This Row],[Facture_Mensuelle $]]*Tableau2[[#This Row],[Remise taux]]</f>
        <v>0</v>
      </c>
    </row>
    <row r="344" spans="1:9" x14ac:dyDescent="0.25">
      <c r="A344" t="s">
        <v>1300</v>
      </c>
      <c r="B344" t="s">
        <v>766</v>
      </c>
      <c r="C344">
        <v>63</v>
      </c>
      <c r="D344" t="s">
        <v>955</v>
      </c>
      <c r="E344">
        <v>121</v>
      </c>
      <c r="F344" s="36">
        <v>39.18</v>
      </c>
      <c r="G344">
        <v>2</v>
      </c>
      <c r="H34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44" s="37">
        <f>Tableau2[[#This Row],[Facture_Mensuelle $]]*Tableau2[[#This Row],[Remise taux]]</f>
        <v>0</v>
      </c>
    </row>
    <row r="345" spans="1:9" x14ac:dyDescent="0.25">
      <c r="A345" t="s">
        <v>1301</v>
      </c>
      <c r="B345" t="s">
        <v>778</v>
      </c>
      <c r="C345">
        <v>111</v>
      </c>
      <c r="D345" t="s">
        <v>953</v>
      </c>
      <c r="E345">
        <v>194</v>
      </c>
      <c r="F345" s="36">
        <v>48.55</v>
      </c>
      <c r="G345">
        <v>2</v>
      </c>
      <c r="H34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45" s="37">
        <f>Tableau2[[#This Row],[Facture_Mensuelle $]]*Tableau2[[#This Row],[Remise taux]]</f>
        <v>0</v>
      </c>
    </row>
    <row r="346" spans="1:9" x14ac:dyDescent="0.25">
      <c r="A346" t="s">
        <v>1302</v>
      </c>
      <c r="B346" t="s">
        <v>762</v>
      </c>
      <c r="C346">
        <v>25</v>
      </c>
      <c r="D346" t="s">
        <v>955</v>
      </c>
      <c r="E346">
        <v>66</v>
      </c>
      <c r="F346" s="36">
        <v>90.14</v>
      </c>
      <c r="G346">
        <v>5</v>
      </c>
      <c r="H34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46" s="37">
        <f>Tableau2[[#This Row],[Facture_Mensuelle $]]*Tableau2[[#This Row],[Remise taux]]</f>
        <v>0</v>
      </c>
    </row>
    <row r="347" spans="1:9" x14ac:dyDescent="0.25">
      <c r="A347" t="s">
        <v>1303</v>
      </c>
      <c r="B347" t="s">
        <v>770</v>
      </c>
      <c r="C347">
        <v>37</v>
      </c>
      <c r="D347" t="s">
        <v>955</v>
      </c>
      <c r="E347">
        <v>88</v>
      </c>
      <c r="F347" s="36">
        <v>77.77</v>
      </c>
      <c r="G347">
        <v>1</v>
      </c>
      <c r="H34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47" s="37">
        <f>Tableau2[[#This Row],[Facture_Mensuelle $]]*Tableau2[[#This Row],[Remise taux]]</f>
        <v>0</v>
      </c>
    </row>
    <row r="348" spans="1:9" x14ac:dyDescent="0.25">
      <c r="A348" t="s">
        <v>1304</v>
      </c>
      <c r="B348" t="s">
        <v>777</v>
      </c>
      <c r="C348">
        <v>29</v>
      </c>
      <c r="D348" t="s">
        <v>953</v>
      </c>
      <c r="E348">
        <v>306</v>
      </c>
      <c r="F348" s="36">
        <v>82.16</v>
      </c>
      <c r="G348">
        <v>1</v>
      </c>
      <c r="H34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36.972000000000001</v>
      </c>
      <c r="I348" s="37">
        <f>Tableau2[[#This Row],[Facture_Mensuelle $]]*Tableau2[[#This Row],[Remise taux]]</f>
        <v>3037.6195200000002</v>
      </c>
    </row>
    <row r="349" spans="1:9" x14ac:dyDescent="0.25">
      <c r="A349" t="s">
        <v>1305</v>
      </c>
      <c r="B349" t="s">
        <v>773</v>
      </c>
      <c r="C349">
        <v>13</v>
      </c>
      <c r="D349" t="s">
        <v>955</v>
      </c>
      <c r="E349">
        <v>87</v>
      </c>
      <c r="F349" s="36">
        <v>66.36</v>
      </c>
      <c r="G349">
        <v>0</v>
      </c>
      <c r="H34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49" s="37">
        <f>Tableau2[[#This Row],[Facture_Mensuelle $]]*Tableau2[[#This Row],[Remise taux]]</f>
        <v>0</v>
      </c>
    </row>
    <row r="350" spans="1:9" x14ac:dyDescent="0.25">
      <c r="A350" t="s">
        <v>1306</v>
      </c>
      <c r="B350" t="s">
        <v>765</v>
      </c>
      <c r="C350">
        <v>27</v>
      </c>
      <c r="D350" t="s">
        <v>961</v>
      </c>
      <c r="E350">
        <v>369</v>
      </c>
      <c r="F350" s="36">
        <v>19.78</v>
      </c>
      <c r="G350">
        <v>1</v>
      </c>
      <c r="H35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8.9010000000000016</v>
      </c>
      <c r="I350" s="37">
        <f>Tableau2[[#This Row],[Facture_Mensuelle $]]*Tableau2[[#This Row],[Remise taux]]</f>
        <v>176.06178000000003</v>
      </c>
    </row>
    <row r="351" spans="1:9" x14ac:dyDescent="0.25">
      <c r="A351" t="s">
        <v>1307</v>
      </c>
      <c r="B351" t="s">
        <v>761</v>
      </c>
      <c r="C351">
        <v>110</v>
      </c>
      <c r="D351" t="s">
        <v>961</v>
      </c>
      <c r="E351">
        <v>289</v>
      </c>
      <c r="F351" s="36">
        <v>83.67</v>
      </c>
      <c r="G351">
        <v>4</v>
      </c>
      <c r="H35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37.651499999999999</v>
      </c>
      <c r="I351" s="37">
        <f>Tableau2[[#This Row],[Facture_Mensuelle $]]*Tableau2[[#This Row],[Remise taux]]</f>
        <v>3150.3010049999998</v>
      </c>
    </row>
    <row r="352" spans="1:9" x14ac:dyDescent="0.25">
      <c r="A352" t="s">
        <v>1308</v>
      </c>
      <c r="B352" t="s">
        <v>783</v>
      </c>
      <c r="C352">
        <v>82</v>
      </c>
      <c r="D352" t="s">
        <v>955</v>
      </c>
      <c r="E352">
        <v>312</v>
      </c>
      <c r="F352" s="36">
        <v>40.880000000000003</v>
      </c>
      <c r="G352">
        <v>0</v>
      </c>
      <c r="H35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18.396000000000001</v>
      </c>
      <c r="I352" s="37">
        <f>Tableau2[[#This Row],[Facture_Mensuelle $]]*Tableau2[[#This Row],[Remise taux]]</f>
        <v>752.02848000000006</v>
      </c>
    </row>
    <row r="353" spans="1:9" x14ac:dyDescent="0.25">
      <c r="A353" t="s">
        <v>1309</v>
      </c>
      <c r="B353" t="s">
        <v>770</v>
      </c>
      <c r="C353">
        <v>1</v>
      </c>
      <c r="D353" t="s">
        <v>955</v>
      </c>
      <c r="E353">
        <v>424</v>
      </c>
      <c r="F353" s="36">
        <v>59.2</v>
      </c>
      <c r="G353">
        <v>2</v>
      </c>
      <c r="H35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26.64</v>
      </c>
      <c r="I353" s="37">
        <f>Tableau2[[#This Row],[Facture_Mensuelle $]]*Tableau2[[#This Row],[Remise taux]]</f>
        <v>1577.0880000000002</v>
      </c>
    </row>
    <row r="354" spans="1:9" x14ac:dyDescent="0.25">
      <c r="A354" t="s">
        <v>1310</v>
      </c>
      <c r="B354" t="s">
        <v>771</v>
      </c>
      <c r="C354">
        <v>72</v>
      </c>
      <c r="D354" t="s">
        <v>961</v>
      </c>
      <c r="E354">
        <v>5</v>
      </c>
      <c r="F354" s="36">
        <v>68.650000000000006</v>
      </c>
      <c r="G354">
        <v>0</v>
      </c>
      <c r="H35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54" s="37">
        <f>Tableau2[[#This Row],[Facture_Mensuelle $]]*Tableau2[[#This Row],[Remise taux]]</f>
        <v>0</v>
      </c>
    </row>
    <row r="355" spans="1:9" x14ac:dyDescent="0.25">
      <c r="A355" t="s">
        <v>1311</v>
      </c>
      <c r="B355" t="s">
        <v>766</v>
      </c>
      <c r="C355">
        <v>7</v>
      </c>
      <c r="D355" t="s">
        <v>961</v>
      </c>
      <c r="E355">
        <v>317</v>
      </c>
      <c r="F355" s="36">
        <v>97.32</v>
      </c>
      <c r="G355">
        <v>1</v>
      </c>
      <c r="H35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43.793999999999997</v>
      </c>
      <c r="I355" s="37">
        <f>Tableau2[[#This Row],[Facture_Mensuelle $]]*Tableau2[[#This Row],[Remise taux]]</f>
        <v>4262.032079999999</v>
      </c>
    </row>
    <row r="356" spans="1:9" x14ac:dyDescent="0.25">
      <c r="A356" t="s">
        <v>1312</v>
      </c>
      <c r="B356" t="s">
        <v>761</v>
      </c>
      <c r="C356">
        <v>65</v>
      </c>
      <c r="D356" t="s">
        <v>955</v>
      </c>
      <c r="E356">
        <v>274</v>
      </c>
      <c r="F356" s="36">
        <v>88.1</v>
      </c>
      <c r="G356">
        <v>4</v>
      </c>
      <c r="H35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39.644999999999996</v>
      </c>
      <c r="I356" s="37">
        <f>Tableau2[[#This Row],[Facture_Mensuelle $]]*Tableau2[[#This Row],[Remise taux]]</f>
        <v>3492.7244999999994</v>
      </c>
    </row>
    <row r="357" spans="1:9" x14ac:dyDescent="0.25">
      <c r="A357" t="s">
        <v>1313</v>
      </c>
      <c r="B357" t="s">
        <v>762</v>
      </c>
      <c r="C357">
        <v>16</v>
      </c>
      <c r="D357" t="s">
        <v>961</v>
      </c>
      <c r="E357">
        <v>96</v>
      </c>
      <c r="F357" s="36">
        <v>86.78</v>
      </c>
      <c r="G357">
        <v>1</v>
      </c>
      <c r="H35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39.051000000000002</v>
      </c>
      <c r="I357" s="37">
        <f>Tableau2[[#This Row],[Facture_Mensuelle $]]*Tableau2[[#This Row],[Remise taux]]</f>
        <v>3388.8457800000001</v>
      </c>
    </row>
    <row r="358" spans="1:9" x14ac:dyDescent="0.25">
      <c r="A358" t="s">
        <v>1314</v>
      </c>
      <c r="B358" t="s">
        <v>767</v>
      </c>
      <c r="C358">
        <v>74</v>
      </c>
      <c r="D358" t="s">
        <v>953</v>
      </c>
      <c r="E358">
        <v>265</v>
      </c>
      <c r="F358" s="36">
        <v>90.81</v>
      </c>
      <c r="G358">
        <v>3</v>
      </c>
      <c r="H35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40.8645</v>
      </c>
      <c r="I358" s="37">
        <f>Tableau2[[#This Row],[Facture_Mensuelle $]]*Tableau2[[#This Row],[Remise taux]]</f>
        <v>3710.9052449999999</v>
      </c>
    </row>
    <row r="359" spans="1:9" x14ac:dyDescent="0.25">
      <c r="A359" t="s">
        <v>1315</v>
      </c>
      <c r="B359" t="s">
        <v>779</v>
      </c>
      <c r="C359">
        <v>106</v>
      </c>
      <c r="D359" t="s">
        <v>957</v>
      </c>
      <c r="E359">
        <v>128</v>
      </c>
      <c r="F359" s="36">
        <v>35.96</v>
      </c>
      <c r="G359">
        <v>2</v>
      </c>
      <c r="H35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59" s="37">
        <f>Tableau2[[#This Row],[Facture_Mensuelle $]]*Tableau2[[#This Row],[Remise taux]]</f>
        <v>0</v>
      </c>
    </row>
    <row r="360" spans="1:9" x14ac:dyDescent="0.25">
      <c r="A360" t="s">
        <v>1316</v>
      </c>
      <c r="B360" t="s">
        <v>784</v>
      </c>
      <c r="C360">
        <v>50</v>
      </c>
      <c r="D360" t="s">
        <v>957</v>
      </c>
      <c r="E360">
        <v>357</v>
      </c>
      <c r="F360" s="36">
        <v>17</v>
      </c>
      <c r="G360">
        <v>3</v>
      </c>
      <c r="H36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7.65</v>
      </c>
      <c r="I360" s="37">
        <f>Tableau2[[#This Row],[Facture_Mensuelle $]]*Tableau2[[#This Row],[Remise taux]]</f>
        <v>130.05000000000001</v>
      </c>
    </row>
    <row r="361" spans="1:9" x14ac:dyDescent="0.25">
      <c r="A361" t="s">
        <v>1317</v>
      </c>
      <c r="B361" t="s">
        <v>774</v>
      </c>
      <c r="C361">
        <v>37</v>
      </c>
      <c r="D361" t="s">
        <v>957</v>
      </c>
      <c r="E361">
        <v>3</v>
      </c>
      <c r="F361" s="36">
        <v>20.89</v>
      </c>
      <c r="G361">
        <v>5</v>
      </c>
      <c r="H36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61" s="37">
        <f>Tableau2[[#This Row],[Facture_Mensuelle $]]*Tableau2[[#This Row],[Remise taux]]</f>
        <v>0</v>
      </c>
    </row>
    <row r="362" spans="1:9" x14ac:dyDescent="0.25">
      <c r="A362" t="s">
        <v>1318</v>
      </c>
      <c r="B362" t="s">
        <v>763</v>
      </c>
      <c r="C362">
        <v>71</v>
      </c>
      <c r="D362" t="s">
        <v>957</v>
      </c>
      <c r="E362">
        <v>68</v>
      </c>
      <c r="F362" s="36">
        <v>53.11</v>
      </c>
      <c r="G362">
        <v>2</v>
      </c>
      <c r="H36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62" s="37">
        <f>Tableau2[[#This Row],[Facture_Mensuelle $]]*Tableau2[[#This Row],[Remise taux]]</f>
        <v>0</v>
      </c>
    </row>
    <row r="363" spans="1:9" x14ac:dyDescent="0.25">
      <c r="A363" t="s">
        <v>1319</v>
      </c>
      <c r="B363" t="s">
        <v>762</v>
      </c>
      <c r="C363">
        <v>119</v>
      </c>
      <c r="D363" t="s">
        <v>957</v>
      </c>
      <c r="E363">
        <v>228</v>
      </c>
      <c r="F363" s="36">
        <v>94.72</v>
      </c>
      <c r="G363">
        <v>3</v>
      </c>
      <c r="H36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63" s="37">
        <f>Tableau2[[#This Row],[Facture_Mensuelle $]]*Tableau2[[#This Row],[Remise taux]]</f>
        <v>0</v>
      </c>
    </row>
    <row r="364" spans="1:9" x14ac:dyDescent="0.25">
      <c r="A364" t="s">
        <v>1320</v>
      </c>
      <c r="B364" t="s">
        <v>781</v>
      </c>
      <c r="C364">
        <v>20</v>
      </c>
      <c r="D364" t="s">
        <v>953</v>
      </c>
      <c r="E364">
        <v>297</v>
      </c>
      <c r="F364" s="36">
        <v>14.77</v>
      </c>
      <c r="G364">
        <v>0</v>
      </c>
      <c r="H36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6.6464999999999996</v>
      </c>
      <c r="I364" s="37">
        <f>Tableau2[[#This Row],[Facture_Mensuelle $]]*Tableau2[[#This Row],[Remise taux]]</f>
        <v>98.168804999999992</v>
      </c>
    </row>
    <row r="365" spans="1:9" x14ac:dyDescent="0.25">
      <c r="A365" t="s">
        <v>1321</v>
      </c>
      <c r="B365" t="s">
        <v>774</v>
      </c>
      <c r="C365">
        <v>109</v>
      </c>
      <c r="D365" t="s">
        <v>957</v>
      </c>
      <c r="E365">
        <v>104</v>
      </c>
      <c r="F365" s="36">
        <v>12.37</v>
      </c>
      <c r="G365">
        <v>5</v>
      </c>
      <c r="H36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65" s="37">
        <f>Tableau2[[#This Row],[Facture_Mensuelle $]]*Tableau2[[#This Row],[Remise taux]]</f>
        <v>0</v>
      </c>
    </row>
    <row r="366" spans="1:9" x14ac:dyDescent="0.25">
      <c r="A366" t="s">
        <v>1322</v>
      </c>
      <c r="B366" t="s">
        <v>764</v>
      </c>
      <c r="C366">
        <v>78</v>
      </c>
      <c r="D366" t="s">
        <v>961</v>
      </c>
      <c r="E366">
        <v>387</v>
      </c>
      <c r="F366" s="36">
        <v>11.63</v>
      </c>
      <c r="G366">
        <v>2</v>
      </c>
      <c r="H36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5.2335000000000003</v>
      </c>
      <c r="I366" s="37">
        <f>Tableau2[[#This Row],[Facture_Mensuelle $]]*Tableau2[[#This Row],[Remise taux]]</f>
        <v>60.865605000000009</v>
      </c>
    </row>
    <row r="367" spans="1:9" x14ac:dyDescent="0.25">
      <c r="A367" t="s">
        <v>1323</v>
      </c>
      <c r="B367" t="s">
        <v>784</v>
      </c>
      <c r="C367">
        <v>11</v>
      </c>
      <c r="D367" t="s">
        <v>955</v>
      </c>
      <c r="E367">
        <v>214</v>
      </c>
      <c r="F367" s="36">
        <v>11.46</v>
      </c>
      <c r="G367">
        <v>5</v>
      </c>
      <c r="H36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67" s="37">
        <f>Tableau2[[#This Row],[Facture_Mensuelle $]]*Tableau2[[#This Row],[Remise taux]]</f>
        <v>0</v>
      </c>
    </row>
    <row r="368" spans="1:9" x14ac:dyDescent="0.25">
      <c r="A368" t="s">
        <v>1324</v>
      </c>
      <c r="B368" t="s">
        <v>779</v>
      </c>
      <c r="C368">
        <v>80</v>
      </c>
      <c r="D368" t="s">
        <v>957</v>
      </c>
      <c r="E368">
        <v>155</v>
      </c>
      <c r="F368" s="36">
        <v>28.96</v>
      </c>
      <c r="G368">
        <v>2</v>
      </c>
      <c r="H36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68" s="37">
        <f>Tableau2[[#This Row],[Facture_Mensuelle $]]*Tableau2[[#This Row],[Remise taux]]</f>
        <v>0</v>
      </c>
    </row>
    <row r="369" spans="1:9" x14ac:dyDescent="0.25">
      <c r="A369" t="s">
        <v>1325</v>
      </c>
      <c r="B369" t="s">
        <v>770</v>
      </c>
      <c r="C369">
        <v>110</v>
      </c>
      <c r="D369" t="s">
        <v>957</v>
      </c>
      <c r="E369">
        <v>47</v>
      </c>
      <c r="F369" s="36">
        <v>29.68</v>
      </c>
      <c r="G369">
        <v>0</v>
      </c>
      <c r="H36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69" s="37">
        <f>Tableau2[[#This Row],[Facture_Mensuelle $]]*Tableau2[[#This Row],[Remise taux]]</f>
        <v>0</v>
      </c>
    </row>
    <row r="370" spans="1:9" x14ac:dyDescent="0.25">
      <c r="A370" t="s">
        <v>1326</v>
      </c>
      <c r="B370" t="s">
        <v>780</v>
      </c>
      <c r="C370">
        <v>5</v>
      </c>
      <c r="D370" t="s">
        <v>953</v>
      </c>
      <c r="E370">
        <v>239</v>
      </c>
      <c r="F370" s="36">
        <v>26.95</v>
      </c>
      <c r="G370">
        <v>2</v>
      </c>
      <c r="H37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70" s="37">
        <f>Tableau2[[#This Row],[Facture_Mensuelle $]]*Tableau2[[#This Row],[Remise taux]]</f>
        <v>0</v>
      </c>
    </row>
    <row r="371" spans="1:9" x14ac:dyDescent="0.25">
      <c r="A371" t="s">
        <v>1327</v>
      </c>
      <c r="B371" t="s">
        <v>765</v>
      </c>
      <c r="C371">
        <v>90</v>
      </c>
      <c r="D371" t="s">
        <v>953</v>
      </c>
      <c r="E371">
        <v>216</v>
      </c>
      <c r="F371" s="36">
        <v>45.58</v>
      </c>
      <c r="G371">
        <v>0</v>
      </c>
      <c r="H37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71" s="37">
        <f>Tableau2[[#This Row],[Facture_Mensuelle $]]*Tableau2[[#This Row],[Remise taux]]</f>
        <v>0</v>
      </c>
    </row>
    <row r="372" spans="1:9" x14ac:dyDescent="0.25">
      <c r="A372" t="s">
        <v>1328</v>
      </c>
      <c r="B372" t="s">
        <v>781</v>
      </c>
      <c r="C372">
        <v>105</v>
      </c>
      <c r="D372" t="s">
        <v>957</v>
      </c>
      <c r="E372">
        <v>3</v>
      </c>
      <c r="F372" s="36">
        <v>71.010000000000005</v>
      </c>
      <c r="G372">
        <v>1</v>
      </c>
      <c r="H37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72" s="37">
        <f>Tableau2[[#This Row],[Facture_Mensuelle $]]*Tableau2[[#This Row],[Remise taux]]</f>
        <v>0</v>
      </c>
    </row>
    <row r="373" spans="1:9" x14ac:dyDescent="0.25">
      <c r="A373" t="s">
        <v>1329</v>
      </c>
      <c r="B373" t="s">
        <v>784</v>
      </c>
      <c r="C373">
        <v>39</v>
      </c>
      <c r="D373" t="s">
        <v>957</v>
      </c>
      <c r="E373">
        <v>327</v>
      </c>
      <c r="F373" s="36">
        <v>87.24</v>
      </c>
      <c r="G373">
        <v>4</v>
      </c>
      <c r="H37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39.257999999999996</v>
      </c>
      <c r="I373" s="37">
        <f>Tableau2[[#This Row],[Facture_Mensuelle $]]*Tableau2[[#This Row],[Remise taux]]</f>
        <v>3424.8679199999992</v>
      </c>
    </row>
    <row r="374" spans="1:9" x14ac:dyDescent="0.25">
      <c r="A374" t="s">
        <v>1330</v>
      </c>
      <c r="B374" t="s">
        <v>782</v>
      </c>
      <c r="C374">
        <v>21</v>
      </c>
      <c r="D374" t="s">
        <v>953</v>
      </c>
      <c r="E374">
        <v>267</v>
      </c>
      <c r="F374" s="36">
        <v>74.989999999999995</v>
      </c>
      <c r="G374">
        <v>1</v>
      </c>
      <c r="H37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33.7455</v>
      </c>
      <c r="I374" s="37">
        <f>Tableau2[[#This Row],[Facture_Mensuelle $]]*Tableau2[[#This Row],[Remise taux]]</f>
        <v>2530.5750449999996</v>
      </c>
    </row>
    <row r="375" spans="1:9" x14ac:dyDescent="0.25">
      <c r="A375" t="s">
        <v>1331</v>
      </c>
      <c r="B375" t="s">
        <v>786</v>
      </c>
      <c r="C375">
        <v>9</v>
      </c>
      <c r="D375" t="s">
        <v>957</v>
      </c>
      <c r="E375">
        <v>102</v>
      </c>
      <c r="F375" s="36">
        <v>41.52</v>
      </c>
      <c r="G375">
        <v>0</v>
      </c>
      <c r="H37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75" s="37">
        <f>Tableau2[[#This Row],[Facture_Mensuelle $]]*Tableau2[[#This Row],[Remise taux]]</f>
        <v>0</v>
      </c>
    </row>
    <row r="376" spans="1:9" x14ac:dyDescent="0.25">
      <c r="A376" t="s">
        <v>1332</v>
      </c>
      <c r="B376" t="s">
        <v>782</v>
      </c>
      <c r="C376">
        <v>53</v>
      </c>
      <c r="D376" t="s">
        <v>955</v>
      </c>
      <c r="E376">
        <v>385</v>
      </c>
      <c r="F376" s="36">
        <v>68.78</v>
      </c>
      <c r="G376">
        <v>3</v>
      </c>
      <c r="H37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30.951000000000001</v>
      </c>
      <c r="I376" s="37">
        <f>Tableau2[[#This Row],[Facture_Mensuelle $]]*Tableau2[[#This Row],[Remise taux]]</f>
        <v>2128.80978</v>
      </c>
    </row>
    <row r="377" spans="1:9" x14ac:dyDescent="0.25">
      <c r="A377" t="s">
        <v>1333</v>
      </c>
      <c r="B377" t="s">
        <v>776</v>
      </c>
      <c r="C377">
        <v>64</v>
      </c>
      <c r="D377" t="s">
        <v>955</v>
      </c>
      <c r="E377">
        <v>15</v>
      </c>
      <c r="F377" s="36">
        <v>56.94</v>
      </c>
      <c r="G377">
        <v>4</v>
      </c>
      <c r="H37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77" s="37">
        <f>Tableau2[[#This Row],[Facture_Mensuelle $]]*Tableau2[[#This Row],[Remise taux]]</f>
        <v>0</v>
      </c>
    </row>
    <row r="378" spans="1:9" x14ac:dyDescent="0.25">
      <c r="A378" t="s">
        <v>1334</v>
      </c>
      <c r="B378" t="s">
        <v>784</v>
      </c>
      <c r="C378">
        <v>45</v>
      </c>
      <c r="D378" t="s">
        <v>953</v>
      </c>
      <c r="E378">
        <v>439</v>
      </c>
      <c r="F378" s="36">
        <v>13.62</v>
      </c>
      <c r="G378">
        <v>4</v>
      </c>
      <c r="H37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6.1289999999999996</v>
      </c>
      <c r="I378" s="37">
        <f>Tableau2[[#This Row],[Facture_Mensuelle $]]*Tableau2[[#This Row],[Remise taux]]</f>
        <v>83.476979999999983</v>
      </c>
    </row>
    <row r="379" spans="1:9" x14ac:dyDescent="0.25">
      <c r="A379" t="s">
        <v>1335</v>
      </c>
      <c r="B379" t="s">
        <v>783</v>
      </c>
      <c r="C379">
        <v>86</v>
      </c>
      <c r="D379" t="s">
        <v>953</v>
      </c>
      <c r="E379">
        <v>460</v>
      </c>
      <c r="F379" s="36">
        <v>22.81</v>
      </c>
      <c r="G379">
        <v>4</v>
      </c>
      <c r="H37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10.2645</v>
      </c>
      <c r="I379" s="37">
        <f>Tableau2[[#This Row],[Facture_Mensuelle $]]*Tableau2[[#This Row],[Remise taux]]</f>
        <v>234.13324499999999</v>
      </c>
    </row>
    <row r="380" spans="1:9" x14ac:dyDescent="0.25">
      <c r="A380" t="s">
        <v>1336</v>
      </c>
      <c r="B380" t="s">
        <v>780</v>
      </c>
      <c r="C380">
        <v>45</v>
      </c>
      <c r="D380" t="s">
        <v>957</v>
      </c>
      <c r="E380">
        <v>26</v>
      </c>
      <c r="F380" s="36">
        <v>30.35</v>
      </c>
      <c r="G380">
        <v>1</v>
      </c>
      <c r="H38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80" s="37">
        <f>Tableau2[[#This Row],[Facture_Mensuelle $]]*Tableau2[[#This Row],[Remise taux]]</f>
        <v>0</v>
      </c>
    </row>
    <row r="381" spans="1:9" x14ac:dyDescent="0.25">
      <c r="A381" t="s">
        <v>1337</v>
      </c>
      <c r="B381" t="s">
        <v>773</v>
      </c>
      <c r="C381">
        <v>101</v>
      </c>
      <c r="D381" t="s">
        <v>961</v>
      </c>
      <c r="E381">
        <v>476</v>
      </c>
      <c r="F381" s="36">
        <v>41.85</v>
      </c>
      <c r="G381">
        <v>4</v>
      </c>
      <c r="H38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18.8325</v>
      </c>
      <c r="I381" s="37">
        <f>Tableau2[[#This Row],[Facture_Mensuelle $]]*Tableau2[[#This Row],[Remise taux]]</f>
        <v>788.14012500000001</v>
      </c>
    </row>
    <row r="382" spans="1:9" x14ac:dyDescent="0.25">
      <c r="A382" t="s">
        <v>1338</v>
      </c>
      <c r="B382" t="s">
        <v>777</v>
      </c>
      <c r="C382">
        <v>21</v>
      </c>
      <c r="D382" t="s">
        <v>957</v>
      </c>
      <c r="E382">
        <v>107</v>
      </c>
      <c r="F382" s="36">
        <v>30.97</v>
      </c>
      <c r="G382">
        <v>4</v>
      </c>
      <c r="H38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82" s="37">
        <f>Tableau2[[#This Row],[Facture_Mensuelle $]]*Tableau2[[#This Row],[Remise taux]]</f>
        <v>0</v>
      </c>
    </row>
    <row r="383" spans="1:9" x14ac:dyDescent="0.25">
      <c r="A383" t="s">
        <v>1339</v>
      </c>
      <c r="B383" t="s">
        <v>779</v>
      </c>
      <c r="C383">
        <v>56</v>
      </c>
      <c r="D383" t="s">
        <v>957</v>
      </c>
      <c r="E383">
        <v>41</v>
      </c>
      <c r="F383" s="36">
        <v>15.1</v>
      </c>
      <c r="G383">
        <v>5</v>
      </c>
      <c r="H38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83" s="37">
        <f>Tableau2[[#This Row],[Facture_Mensuelle $]]*Tableau2[[#This Row],[Remise taux]]</f>
        <v>0</v>
      </c>
    </row>
    <row r="384" spans="1:9" x14ac:dyDescent="0.25">
      <c r="A384" t="s">
        <v>1340</v>
      </c>
      <c r="B384" t="s">
        <v>775</v>
      </c>
      <c r="C384">
        <v>55</v>
      </c>
      <c r="D384" t="s">
        <v>957</v>
      </c>
      <c r="E384">
        <v>494</v>
      </c>
      <c r="F384" s="36">
        <v>77.599999999999994</v>
      </c>
      <c r="G384">
        <v>4</v>
      </c>
      <c r="H38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34.92</v>
      </c>
      <c r="I384" s="37">
        <f>Tableau2[[#This Row],[Facture_Mensuelle $]]*Tableau2[[#This Row],[Remise taux]]</f>
        <v>2709.7919999999999</v>
      </c>
    </row>
    <row r="385" spans="1:9" x14ac:dyDescent="0.25">
      <c r="A385" t="s">
        <v>1341</v>
      </c>
      <c r="B385" t="s">
        <v>778</v>
      </c>
      <c r="C385">
        <v>2</v>
      </c>
      <c r="D385" t="s">
        <v>955</v>
      </c>
      <c r="E385">
        <v>481</v>
      </c>
      <c r="F385" s="36">
        <v>29.37</v>
      </c>
      <c r="G385">
        <v>4</v>
      </c>
      <c r="H38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13.2165</v>
      </c>
      <c r="I385" s="37">
        <f>Tableau2[[#This Row],[Facture_Mensuelle $]]*Tableau2[[#This Row],[Remise taux]]</f>
        <v>388.16860500000001</v>
      </c>
    </row>
    <row r="386" spans="1:9" x14ac:dyDescent="0.25">
      <c r="A386" t="s">
        <v>1342</v>
      </c>
      <c r="B386" t="s">
        <v>782</v>
      </c>
      <c r="C386">
        <v>41</v>
      </c>
      <c r="D386" t="s">
        <v>961</v>
      </c>
      <c r="E386">
        <v>178</v>
      </c>
      <c r="F386" s="36">
        <v>11.29</v>
      </c>
      <c r="G386">
        <v>4</v>
      </c>
      <c r="H38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5.0804999999999998</v>
      </c>
      <c r="I386" s="37">
        <f>Tableau2[[#This Row],[Facture_Mensuelle $]]*Tableau2[[#This Row],[Remise taux]]</f>
        <v>57.358844999999995</v>
      </c>
    </row>
    <row r="387" spans="1:9" x14ac:dyDescent="0.25">
      <c r="A387" t="s">
        <v>1343</v>
      </c>
      <c r="B387" t="s">
        <v>778</v>
      </c>
      <c r="C387">
        <v>82</v>
      </c>
      <c r="D387" t="s">
        <v>957</v>
      </c>
      <c r="E387">
        <v>175</v>
      </c>
      <c r="F387" s="36">
        <v>86.14</v>
      </c>
      <c r="G387">
        <v>1</v>
      </c>
      <c r="H38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87" s="37">
        <f>Tableau2[[#This Row],[Facture_Mensuelle $]]*Tableau2[[#This Row],[Remise taux]]</f>
        <v>0</v>
      </c>
    </row>
    <row r="388" spans="1:9" x14ac:dyDescent="0.25">
      <c r="A388" t="s">
        <v>1344</v>
      </c>
      <c r="B388" t="s">
        <v>785</v>
      </c>
      <c r="C388">
        <v>86</v>
      </c>
      <c r="D388" t="s">
        <v>961</v>
      </c>
      <c r="E388">
        <v>111</v>
      </c>
      <c r="F388" s="36">
        <v>23.65</v>
      </c>
      <c r="G388">
        <v>0</v>
      </c>
      <c r="H38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88" s="37">
        <f>Tableau2[[#This Row],[Facture_Mensuelle $]]*Tableau2[[#This Row],[Remise taux]]</f>
        <v>0</v>
      </c>
    </row>
    <row r="389" spans="1:9" x14ac:dyDescent="0.25">
      <c r="A389" t="s">
        <v>1345</v>
      </c>
      <c r="B389" t="s">
        <v>777</v>
      </c>
      <c r="C389">
        <v>45</v>
      </c>
      <c r="D389" t="s">
        <v>957</v>
      </c>
      <c r="E389">
        <v>356</v>
      </c>
      <c r="F389" s="36">
        <v>33.76</v>
      </c>
      <c r="G389">
        <v>0</v>
      </c>
      <c r="H38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15.192</v>
      </c>
      <c r="I389" s="37">
        <f>Tableau2[[#This Row],[Facture_Mensuelle $]]*Tableau2[[#This Row],[Remise taux]]</f>
        <v>512.88191999999992</v>
      </c>
    </row>
    <row r="390" spans="1:9" x14ac:dyDescent="0.25">
      <c r="A390" t="s">
        <v>1346</v>
      </c>
      <c r="B390" t="s">
        <v>762</v>
      </c>
      <c r="C390">
        <v>111</v>
      </c>
      <c r="D390" t="s">
        <v>961</v>
      </c>
      <c r="E390">
        <v>103</v>
      </c>
      <c r="F390" s="36">
        <v>32.06</v>
      </c>
      <c r="G390">
        <v>0</v>
      </c>
      <c r="H39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90" s="37">
        <f>Tableau2[[#This Row],[Facture_Mensuelle $]]*Tableau2[[#This Row],[Remise taux]]</f>
        <v>0</v>
      </c>
    </row>
    <row r="391" spans="1:9" x14ac:dyDescent="0.25">
      <c r="A391" t="s">
        <v>1347</v>
      </c>
      <c r="B391" t="s">
        <v>780</v>
      </c>
      <c r="C391">
        <v>34</v>
      </c>
      <c r="D391" t="s">
        <v>955</v>
      </c>
      <c r="E391">
        <v>58</v>
      </c>
      <c r="F391" s="36">
        <v>64.349999999999994</v>
      </c>
      <c r="G391">
        <v>0</v>
      </c>
      <c r="H39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91" s="37">
        <f>Tableau2[[#This Row],[Facture_Mensuelle $]]*Tableau2[[#This Row],[Remise taux]]</f>
        <v>0</v>
      </c>
    </row>
    <row r="392" spans="1:9" x14ac:dyDescent="0.25">
      <c r="A392" t="s">
        <v>1348</v>
      </c>
      <c r="B392" t="s">
        <v>773</v>
      </c>
      <c r="C392">
        <v>91</v>
      </c>
      <c r="D392" t="s">
        <v>953</v>
      </c>
      <c r="E392">
        <v>62</v>
      </c>
      <c r="F392" s="36">
        <v>34.450000000000003</v>
      </c>
      <c r="G392">
        <v>5</v>
      </c>
      <c r="H39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92" s="37">
        <f>Tableau2[[#This Row],[Facture_Mensuelle $]]*Tableau2[[#This Row],[Remise taux]]</f>
        <v>0</v>
      </c>
    </row>
    <row r="393" spans="1:9" x14ac:dyDescent="0.25">
      <c r="A393" t="s">
        <v>1349</v>
      </c>
      <c r="B393" t="s">
        <v>777</v>
      </c>
      <c r="C393">
        <v>86</v>
      </c>
      <c r="D393" t="s">
        <v>955</v>
      </c>
      <c r="E393">
        <v>252</v>
      </c>
      <c r="F393" s="36">
        <v>96.5</v>
      </c>
      <c r="G393">
        <v>5</v>
      </c>
      <c r="H39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43.425000000000004</v>
      </c>
      <c r="I393" s="37">
        <f>Tableau2[[#This Row],[Facture_Mensuelle $]]*Tableau2[[#This Row],[Remise taux]]</f>
        <v>4190.5125000000007</v>
      </c>
    </row>
    <row r="394" spans="1:9" x14ac:dyDescent="0.25">
      <c r="A394" t="s">
        <v>1350</v>
      </c>
      <c r="B394" t="s">
        <v>780</v>
      </c>
      <c r="C394">
        <v>95</v>
      </c>
      <c r="D394" t="s">
        <v>961</v>
      </c>
      <c r="E394">
        <v>51</v>
      </c>
      <c r="F394" s="36">
        <v>94.77</v>
      </c>
      <c r="G394">
        <v>5</v>
      </c>
      <c r="H39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94" s="37">
        <f>Tableau2[[#This Row],[Facture_Mensuelle $]]*Tableau2[[#This Row],[Remise taux]]</f>
        <v>0</v>
      </c>
    </row>
    <row r="395" spans="1:9" x14ac:dyDescent="0.25">
      <c r="A395" t="s">
        <v>1351</v>
      </c>
      <c r="B395" t="s">
        <v>764</v>
      </c>
      <c r="C395">
        <v>37</v>
      </c>
      <c r="D395" t="s">
        <v>955</v>
      </c>
      <c r="E395">
        <v>37</v>
      </c>
      <c r="F395" s="36">
        <v>92.72</v>
      </c>
      <c r="G395">
        <v>0</v>
      </c>
      <c r="H39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95" s="37">
        <f>Tableau2[[#This Row],[Facture_Mensuelle $]]*Tableau2[[#This Row],[Remise taux]]</f>
        <v>0</v>
      </c>
    </row>
    <row r="396" spans="1:9" x14ac:dyDescent="0.25">
      <c r="A396" t="s">
        <v>1352</v>
      </c>
      <c r="B396" t="s">
        <v>776</v>
      </c>
      <c r="C396">
        <v>56</v>
      </c>
      <c r="D396" t="s">
        <v>953</v>
      </c>
      <c r="E396">
        <v>379</v>
      </c>
      <c r="F396" s="36">
        <v>49.01</v>
      </c>
      <c r="G396">
        <v>0</v>
      </c>
      <c r="H39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22.054500000000001</v>
      </c>
      <c r="I396" s="37">
        <f>Tableau2[[#This Row],[Facture_Mensuelle $]]*Tableau2[[#This Row],[Remise taux]]</f>
        <v>1080.8910450000001</v>
      </c>
    </row>
    <row r="397" spans="1:9" x14ac:dyDescent="0.25">
      <c r="A397" t="s">
        <v>1353</v>
      </c>
      <c r="B397" t="s">
        <v>763</v>
      </c>
      <c r="C397">
        <v>4</v>
      </c>
      <c r="D397" t="s">
        <v>955</v>
      </c>
      <c r="E397">
        <v>449</v>
      </c>
      <c r="F397" s="36">
        <v>43.95</v>
      </c>
      <c r="G397">
        <v>2</v>
      </c>
      <c r="H39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19.777500000000003</v>
      </c>
      <c r="I397" s="37">
        <f>Tableau2[[#This Row],[Facture_Mensuelle $]]*Tableau2[[#This Row],[Remise taux]]</f>
        <v>869.22112500000026</v>
      </c>
    </row>
    <row r="398" spans="1:9" x14ac:dyDescent="0.25">
      <c r="A398" t="s">
        <v>1354</v>
      </c>
      <c r="B398" t="s">
        <v>784</v>
      </c>
      <c r="C398">
        <v>13</v>
      </c>
      <c r="D398" t="s">
        <v>955</v>
      </c>
      <c r="E398">
        <v>173</v>
      </c>
      <c r="F398" s="36">
        <v>85.54</v>
      </c>
      <c r="G398">
        <v>3</v>
      </c>
      <c r="H39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398" s="37">
        <f>Tableau2[[#This Row],[Facture_Mensuelle $]]*Tableau2[[#This Row],[Remise taux]]</f>
        <v>0</v>
      </c>
    </row>
    <row r="399" spans="1:9" x14ac:dyDescent="0.25">
      <c r="A399" t="s">
        <v>1355</v>
      </c>
      <c r="B399" t="s">
        <v>780</v>
      </c>
      <c r="C399">
        <v>70</v>
      </c>
      <c r="D399" t="s">
        <v>955</v>
      </c>
      <c r="E399">
        <v>290</v>
      </c>
      <c r="F399" s="36">
        <v>96.31</v>
      </c>
      <c r="G399">
        <v>1</v>
      </c>
      <c r="H39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43.339500000000001</v>
      </c>
      <c r="I399" s="37">
        <f>Tableau2[[#This Row],[Facture_Mensuelle $]]*Tableau2[[#This Row],[Remise taux]]</f>
        <v>4174.0272450000002</v>
      </c>
    </row>
    <row r="400" spans="1:9" x14ac:dyDescent="0.25">
      <c r="A400" t="s">
        <v>1356</v>
      </c>
      <c r="B400" t="s">
        <v>785</v>
      </c>
      <c r="C400">
        <v>49</v>
      </c>
      <c r="D400" t="s">
        <v>957</v>
      </c>
      <c r="E400">
        <v>25</v>
      </c>
      <c r="F400" s="36">
        <v>22.77</v>
      </c>
      <c r="G400">
        <v>3</v>
      </c>
      <c r="H40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400" s="37">
        <f>Tableau2[[#This Row],[Facture_Mensuelle $]]*Tableau2[[#This Row],[Remise taux]]</f>
        <v>0</v>
      </c>
    </row>
    <row r="401" spans="1:9" x14ac:dyDescent="0.25">
      <c r="A401" t="s">
        <v>1357</v>
      </c>
      <c r="B401" t="s">
        <v>781</v>
      </c>
      <c r="C401">
        <v>11</v>
      </c>
      <c r="D401" t="s">
        <v>953</v>
      </c>
      <c r="E401">
        <v>215</v>
      </c>
      <c r="F401" s="36">
        <v>51.99</v>
      </c>
      <c r="G401">
        <v>1</v>
      </c>
      <c r="H40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401" s="37">
        <f>Tableau2[[#This Row],[Facture_Mensuelle $]]*Tableau2[[#This Row],[Remise taux]]</f>
        <v>0</v>
      </c>
    </row>
    <row r="402" spans="1:9" x14ac:dyDescent="0.25">
      <c r="A402" t="s">
        <v>1358</v>
      </c>
      <c r="B402" t="s">
        <v>770</v>
      </c>
      <c r="C402">
        <v>40</v>
      </c>
      <c r="D402" t="s">
        <v>961</v>
      </c>
      <c r="E402">
        <v>235</v>
      </c>
      <c r="F402" s="36">
        <v>15.01</v>
      </c>
      <c r="G402">
        <v>3</v>
      </c>
      <c r="H40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6.7545000000000002</v>
      </c>
      <c r="I402" s="37">
        <f>Tableau2[[#This Row],[Facture_Mensuelle $]]*Tableau2[[#This Row],[Remise taux]]</f>
        <v>101.38504500000001</v>
      </c>
    </row>
    <row r="403" spans="1:9" x14ac:dyDescent="0.25">
      <c r="A403" t="s">
        <v>1359</v>
      </c>
      <c r="B403" t="s">
        <v>776</v>
      </c>
      <c r="C403">
        <v>33</v>
      </c>
      <c r="D403" t="s">
        <v>957</v>
      </c>
      <c r="E403">
        <v>337</v>
      </c>
      <c r="F403" s="36">
        <v>62.61</v>
      </c>
      <c r="G403">
        <v>2</v>
      </c>
      <c r="H40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28.174500000000002</v>
      </c>
      <c r="I403" s="37">
        <f>Tableau2[[#This Row],[Facture_Mensuelle $]]*Tableau2[[#This Row],[Remise taux]]</f>
        <v>1764.005445</v>
      </c>
    </row>
    <row r="404" spans="1:9" x14ac:dyDescent="0.25">
      <c r="A404" t="s">
        <v>1360</v>
      </c>
      <c r="B404" t="s">
        <v>779</v>
      </c>
      <c r="C404">
        <v>91</v>
      </c>
      <c r="D404" t="s">
        <v>957</v>
      </c>
      <c r="E404">
        <v>90</v>
      </c>
      <c r="F404" s="36">
        <v>39.14</v>
      </c>
      <c r="G404">
        <v>3</v>
      </c>
      <c r="H40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404" s="37">
        <f>Tableau2[[#This Row],[Facture_Mensuelle $]]*Tableau2[[#This Row],[Remise taux]]</f>
        <v>0</v>
      </c>
    </row>
    <row r="405" spans="1:9" x14ac:dyDescent="0.25">
      <c r="A405" t="s">
        <v>1361</v>
      </c>
      <c r="B405" t="s">
        <v>769</v>
      </c>
      <c r="C405">
        <v>18</v>
      </c>
      <c r="D405" t="s">
        <v>955</v>
      </c>
      <c r="E405">
        <v>71</v>
      </c>
      <c r="F405" s="36">
        <v>46.98</v>
      </c>
      <c r="G405">
        <v>2</v>
      </c>
      <c r="H40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405" s="37">
        <f>Tableau2[[#This Row],[Facture_Mensuelle $]]*Tableau2[[#This Row],[Remise taux]]</f>
        <v>0</v>
      </c>
    </row>
    <row r="406" spans="1:9" x14ac:dyDescent="0.25">
      <c r="A406" t="s">
        <v>1362</v>
      </c>
      <c r="B406" t="s">
        <v>777</v>
      </c>
      <c r="C406">
        <v>112</v>
      </c>
      <c r="D406" t="s">
        <v>961</v>
      </c>
      <c r="E406">
        <v>460</v>
      </c>
      <c r="F406" s="36">
        <v>55.47</v>
      </c>
      <c r="G406">
        <v>4</v>
      </c>
      <c r="H40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24.961500000000001</v>
      </c>
      <c r="I406" s="37">
        <f>Tableau2[[#This Row],[Facture_Mensuelle $]]*Tableau2[[#This Row],[Remise taux]]</f>
        <v>1384.614405</v>
      </c>
    </row>
    <row r="407" spans="1:9" x14ac:dyDescent="0.25">
      <c r="A407" t="s">
        <v>1363</v>
      </c>
      <c r="B407" t="s">
        <v>772</v>
      </c>
      <c r="C407">
        <v>27</v>
      </c>
      <c r="D407" t="s">
        <v>953</v>
      </c>
      <c r="E407">
        <v>70</v>
      </c>
      <c r="F407" s="36">
        <v>20.32</v>
      </c>
      <c r="G407">
        <v>3</v>
      </c>
      <c r="H40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407" s="37">
        <f>Tableau2[[#This Row],[Facture_Mensuelle $]]*Tableau2[[#This Row],[Remise taux]]</f>
        <v>0</v>
      </c>
    </row>
    <row r="408" spans="1:9" hidden="1" x14ac:dyDescent="0.25">
      <c r="A408" t="s">
        <v>1364</v>
      </c>
      <c r="B408" t="s">
        <v>784</v>
      </c>
      <c r="C408">
        <v>-36</v>
      </c>
      <c r="D408" t="s">
        <v>953</v>
      </c>
      <c r="E408">
        <v>404</v>
      </c>
      <c r="F408" s="34">
        <v>40.21</v>
      </c>
      <c r="G408">
        <v>1</v>
      </c>
      <c r="H40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18.0945</v>
      </c>
      <c r="I408" s="35">
        <f>Tableau2[[#This Row],[Facture_Mensuelle $]]*Tableau2[[#This Row],[Remise taux]]</f>
        <v>727.57984499999998</v>
      </c>
    </row>
    <row r="409" spans="1:9" x14ac:dyDescent="0.25">
      <c r="A409" t="s">
        <v>1365</v>
      </c>
      <c r="B409" t="s">
        <v>770</v>
      </c>
      <c r="C409">
        <v>90</v>
      </c>
      <c r="D409" t="s">
        <v>957</v>
      </c>
      <c r="E409">
        <v>412</v>
      </c>
      <c r="F409" s="36">
        <v>20.62</v>
      </c>
      <c r="G409">
        <v>2</v>
      </c>
      <c r="H40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9.2789999999999999</v>
      </c>
      <c r="I409" s="37">
        <f>Tableau2[[#This Row],[Facture_Mensuelle $]]*Tableau2[[#This Row],[Remise taux]]</f>
        <v>191.33298000000002</v>
      </c>
    </row>
    <row r="410" spans="1:9" x14ac:dyDescent="0.25">
      <c r="A410" t="s">
        <v>1366</v>
      </c>
      <c r="B410" t="s">
        <v>777</v>
      </c>
      <c r="C410">
        <v>33</v>
      </c>
      <c r="D410" t="s">
        <v>955</v>
      </c>
      <c r="E410">
        <v>391</v>
      </c>
      <c r="F410" s="36">
        <v>88.88</v>
      </c>
      <c r="G410">
        <v>4</v>
      </c>
      <c r="H41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39.996000000000002</v>
      </c>
      <c r="I410" s="37">
        <f>Tableau2[[#This Row],[Facture_Mensuelle $]]*Tableau2[[#This Row],[Remise taux]]</f>
        <v>3554.8444800000002</v>
      </c>
    </row>
    <row r="411" spans="1:9" x14ac:dyDescent="0.25">
      <c r="A411" t="s">
        <v>1367</v>
      </c>
      <c r="B411" t="s">
        <v>774</v>
      </c>
      <c r="C411">
        <v>1</v>
      </c>
      <c r="D411" t="s">
        <v>961</v>
      </c>
      <c r="E411">
        <v>368</v>
      </c>
      <c r="F411" s="36">
        <v>35.17</v>
      </c>
      <c r="G411">
        <v>1</v>
      </c>
      <c r="H41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15.826500000000001</v>
      </c>
      <c r="I411" s="37">
        <f>Tableau2[[#This Row],[Facture_Mensuelle $]]*Tableau2[[#This Row],[Remise taux]]</f>
        <v>556.61800500000004</v>
      </c>
    </row>
    <row r="412" spans="1:9" x14ac:dyDescent="0.25">
      <c r="A412" t="s">
        <v>1368</v>
      </c>
      <c r="B412" t="s">
        <v>786</v>
      </c>
      <c r="C412">
        <v>117</v>
      </c>
      <c r="D412" t="s">
        <v>957</v>
      </c>
      <c r="E412">
        <v>338</v>
      </c>
      <c r="F412" s="36">
        <v>29.18</v>
      </c>
      <c r="G412">
        <v>5</v>
      </c>
      <c r="H41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13.131</v>
      </c>
      <c r="I412" s="37">
        <f>Tableau2[[#This Row],[Facture_Mensuelle $]]*Tableau2[[#This Row],[Remise taux]]</f>
        <v>383.16257999999999</v>
      </c>
    </row>
    <row r="413" spans="1:9" x14ac:dyDescent="0.25">
      <c r="A413" t="s">
        <v>1369</v>
      </c>
      <c r="B413" t="s">
        <v>784</v>
      </c>
      <c r="C413">
        <v>50</v>
      </c>
      <c r="D413" t="s">
        <v>957</v>
      </c>
      <c r="E413">
        <v>446</v>
      </c>
      <c r="F413" s="36">
        <v>31.56</v>
      </c>
      <c r="G413">
        <v>5</v>
      </c>
      <c r="H41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14.202</v>
      </c>
      <c r="I413" s="37">
        <f>Tableau2[[#This Row],[Facture_Mensuelle $]]*Tableau2[[#This Row],[Remise taux]]</f>
        <v>448.21511999999996</v>
      </c>
    </row>
    <row r="414" spans="1:9" x14ac:dyDescent="0.25">
      <c r="A414" t="s">
        <v>1370</v>
      </c>
      <c r="B414" t="s">
        <v>767</v>
      </c>
      <c r="C414">
        <v>76</v>
      </c>
      <c r="D414" t="s">
        <v>961</v>
      </c>
      <c r="E414">
        <v>187</v>
      </c>
      <c r="F414" s="36">
        <v>56.29</v>
      </c>
      <c r="G414">
        <v>1</v>
      </c>
      <c r="H41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414" s="37">
        <f>Tableau2[[#This Row],[Facture_Mensuelle $]]*Tableau2[[#This Row],[Remise taux]]</f>
        <v>0</v>
      </c>
    </row>
    <row r="415" spans="1:9" x14ac:dyDescent="0.25">
      <c r="A415" t="s">
        <v>1371</v>
      </c>
      <c r="B415" t="s">
        <v>778</v>
      </c>
      <c r="C415">
        <v>29</v>
      </c>
      <c r="D415" t="s">
        <v>961</v>
      </c>
      <c r="E415">
        <v>214</v>
      </c>
      <c r="F415" s="36">
        <v>74.7</v>
      </c>
      <c r="G415">
        <v>3</v>
      </c>
      <c r="H41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33.615000000000002</v>
      </c>
      <c r="I415" s="37">
        <f>Tableau2[[#This Row],[Facture_Mensuelle $]]*Tableau2[[#This Row],[Remise taux]]</f>
        <v>2511.0405000000001</v>
      </c>
    </row>
    <row r="416" spans="1:9" x14ac:dyDescent="0.25">
      <c r="A416" t="s">
        <v>1372</v>
      </c>
      <c r="B416" t="s">
        <v>785</v>
      </c>
      <c r="C416">
        <v>88</v>
      </c>
      <c r="D416" t="s">
        <v>953</v>
      </c>
      <c r="E416">
        <v>474</v>
      </c>
      <c r="F416" s="36">
        <v>23.35</v>
      </c>
      <c r="G416">
        <v>5</v>
      </c>
      <c r="H41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10.5075</v>
      </c>
      <c r="I416" s="37">
        <f>Tableau2[[#This Row],[Facture_Mensuelle $]]*Tableau2[[#This Row],[Remise taux]]</f>
        <v>245.35012500000002</v>
      </c>
    </row>
    <row r="417" spans="1:9" x14ac:dyDescent="0.25">
      <c r="A417" t="s">
        <v>1373</v>
      </c>
      <c r="B417" t="s">
        <v>766</v>
      </c>
      <c r="C417">
        <v>115</v>
      </c>
      <c r="D417" t="s">
        <v>955</v>
      </c>
      <c r="E417">
        <v>190</v>
      </c>
      <c r="F417" s="36">
        <v>10.98</v>
      </c>
      <c r="G417">
        <v>0</v>
      </c>
      <c r="H41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417" s="37">
        <f>Tableau2[[#This Row],[Facture_Mensuelle $]]*Tableau2[[#This Row],[Remise taux]]</f>
        <v>0</v>
      </c>
    </row>
    <row r="418" spans="1:9" x14ac:dyDescent="0.25">
      <c r="A418" t="s">
        <v>1374</v>
      </c>
      <c r="B418" t="s">
        <v>780</v>
      </c>
      <c r="C418">
        <v>84</v>
      </c>
      <c r="D418" t="s">
        <v>953</v>
      </c>
      <c r="E418">
        <v>244</v>
      </c>
      <c r="F418" s="36">
        <v>56.34</v>
      </c>
      <c r="G418">
        <v>5</v>
      </c>
      <c r="H41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25.353000000000002</v>
      </c>
      <c r="I418" s="37">
        <f>Tableau2[[#This Row],[Facture_Mensuelle $]]*Tableau2[[#This Row],[Remise taux]]</f>
        <v>1428.3880200000001</v>
      </c>
    </row>
    <row r="419" spans="1:9" x14ac:dyDescent="0.25">
      <c r="A419" t="s">
        <v>1375</v>
      </c>
      <c r="B419" t="s">
        <v>764</v>
      </c>
      <c r="C419">
        <v>21</v>
      </c>
      <c r="D419" t="s">
        <v>953</v>
      </c>
      <c r="E419">
        <v>15</v>
      </c>
      <c r="F419" s="36">
        <v>57.74</v>
      </c>
      <c r="G419">
        <v>0</v>
      </c>
      <c r="H41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419" s="37">
        <f>Tableau2[[#This Row],[Facture_Mensuelle $]]*Tableau2[[#This Row],[Remise taux]]</f>
        <v>0</v>
      </c>
    </row>
    <row r="420" spans="1:9" x14ac:dyDescent="0.25">
      <c r="A420" t="s">
        <v>1376</v>
      </c>
      <c r="B420" t="s">
        <v>779</v>
      </c>
      <c r="C420">
        <v>21</v>
      </c>
      <c r="D420" t="s">
        <v>957</v>
      </c>
      <c r="E420">
        <v>444</v>
      </c>
      <c r="F420" s="36">
        <v>41.92</v>
      </c>
      <c r="G420">
        <v>3</v>
      </c>
      <c r="H42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18.864000000000001</v>
      </c>
      <c r="I420" s="37">
        <f>Tableau2[[#This Row],[Facture_Mensuelle $]]*Tableau2[[#This Row],[Remise taux]]</f>
        <v>790.77888000000007</v>
      </c>
    </row>
    <row r="421" spans="1:9" x14ac:dyDescent="0.25">
      <c r="A421" t="s">
        <v>1377</v>
      </c>
      <c r="B421" t="s">
        <v>766</v>
      </c>
      <c r="C421">
        <v>92</v>
      </c>
      <c r="D421" t="s">
        <v>953</v>
      </c>
      <c r="E421">
        <v>379</v>
      </c>
      <c r="F421" s="36">
        <v>70.08</v>
      </c>
      <c r="G421">
        <v>5</v>
      </c>
      <c r="H42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31.536000000000001</v>
      </c>
      <c r="I421" s="37">
        <f>Tableau2[[#This Row],[Facture_Mensuelle $]]*Tableau2[[#This Row],[Remise taux]]</f>
        <v>2210.04288</v>
      </c>
    </row>
    <row r="422" spans="1:9" x14ac:dyDescent="0.25">
      <c r="A422" t="s">
        <v>1378</v>
      </c>
      <c r="B422" t="s">
        <v>766</v>
      </c>
      <c r="C422">
        <v>114</v>
      </c>
      <c r="D422" t="s">
        <v>953</v>
      </c>
      <c r="E422">
        <v>388</v>
      </c>
      <c r="F422" s="36">
        <v>40.29</v>
      </c>
      <c r="G422">
        <v>5</v>
      </c>
      <c r="H42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18.130500000000001</v>
      </c>
      <c r="I422" s="37">
        <f>Tableau2[[#This Row],[Facture_Mensuelle $]]*Tableau2[[#This Row],[Remise taux]]</f>
        <v>730.477845</v>
      </c>
    </row>
    <row r="423" spans="1:9" x14ac:dyDescent="0.25">
      <c r="A423" t="s">
        <v>1379</v>
      </c>
      <c r="B423" t="s">
        <v>770</v>
      </c>
      <c r="C423">
        <v>98</v>
      </c>
      <c r="D423" t="s">
        <v>955</v>
      </c>
      <c r="E423">
        <v>482</v>
      </c>
      <c r="F423" s="36">
        <v>55.04</v>
      </c>
      <c r="G423">
        <v>5</v>
      </c>
      <c r="H42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24.768000000000001</v>
      </c>
      <c r="I423" s="37">
        <f>Tableau2[[#This Row],[Facture_Mensuelle $]]*Tableau2[[#This Row],[Remise taux]]</f>
        <v>1363.23072</v>
      </c>
    </row>
    <row r="424" spans="1:9" x14ac:dyDescent="0.25">
      <c r="A424" t="s">
        <v>1380</v>
      </c>
      <c r="B424" t="s">
        <v>776</v>
      </c>
      <c r="C424">
        <v>15</v>
      </c>
      <c r="D424" t="s">
        <v>953</v>
      </c>
      <c r="E424">
        <v>319</v>
      </c>
      <c r="F424" s="36">
        <v>78.150000000000006</v>
      </c>
      <c r="G424">
        <v>4</v>
      </c>
      <c r="H42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35.167500000000004</v>
      </c>
      <c r="I424" s="37">
        <f>Tableau2[[#This Row],[Facture_Mensuelle $]]*Tableau2[[#This Row],[Remise taux]]</f>
        <v>2748.3401250000006</v>
      </c>
    </row>
    <row r="425" spans="1:9" x14ac:dyDescent="0.25">
      <c r="A425" t="s">
        <v>1381</v>
      </c>
      <c r="B425" t="s">
        <v>770</v>
      </c>
      <c r="C425">
        <v>42</v>
      </c>
      <c r="D425" t="s">
        <v>953</v>
      </c>
      <c r="E425">
        <v>252</v>
      </c>
      <c r="F425" s="36">
        <v>59.46</v>
      </c>
      <c r="G425">
        <v>4</v>
      </c>
      <c r="H42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26.757000000000001</v>
      </c>
      <c r="I425" s="37">
        <f>Tableau2[[#This Row],[Facture_Mensuelle $]]*Tableau2[[#This Row],[Remise taux]]</f>
        <v>1590.9712200000001</v>
      </c>
    </row>
    <row r="426" spans="1:9" x14ac:dyDescent="0.25">
      <c r="A426" t="s">
        <v>1382</v>
      </c>
      <c r="B426" t="s">
        <v>777</v>
      </c>
      <c r="C426">
        <v>8</v>
      </c>
      <c r="D426" t="s">
        <v>953</v>
      </c>
      <c r="E426">
        <v>171</v>
      </c>
      <c r="F426" s="36">
        <v>52.98</v>
      </c>
      <c r="G426">
        <v>0</v>
      </c>
      <c r="H42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426" s="37">
        <f>Tableau2[[#This Row],[Facture_Mensuelle $]]*Tableau2[[#This Row],[Remise taux]]</f>
        <v>0</v>
      </c>
    </row>
    <row r="427" spans="1:9" x14ac:dyDescent="0.25">
      <c r="A427" t="s">
        <v>1383</v>
      </c>
      <c r="B427" t="s">
        <v>771</v>
      </c>
      <c r="C427">
        <v>12</v>
      </c>
      <c r="D427" t="s">
        <v>955</v>
      </c>
      <c r="E427">
        <v>305</v>
      </c>
      <c r="F427" s="36">
        <v>59.96</v>
      </c>
      <c r="G427">
        <v>3</v>
      </c>
      <c r="H42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26.981999999999999</v>
      </c>
      <c r="I427" s="37">
        <f>Tableau2[[#This Row],[Facture_Mensuelle $]]*Tableau2[[#This Row],[Remise taux]]</f>
        <v>1617.8407199999999</v>
      </c>
    </row>
    <row r="428" spans="1:9" x14ac:dyDescent="0.25">
      <c r="A428" t="s">
        <v>1384</v>
      </c>
      <c r="B428" t="s">
        <v>785</v>
      </c>
      <c r="C428">
        <v>29</v>
      </c>
      <c r="D428" t="s">
        <v>955</v>
      </c>
      <c r="E428">
        <v>203</v>
      </c>
      <c r="F428" s="36">
        <v>53.97</v>
      </c>
      <c r="G428">
        <v>5</v>
      </c>
      <c r="H42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428" s="37">
        <f>Tableau2[[#This Row],[Facture_Mensuelle $]]*Tableau2[[#This Row],[Remise taux]]</f>
        <v>0</v>
      </c>
    </row>
    <row r="429" spans="1:9" x14ac:dyDescent="0.25">
      <c r="A429" t="s">
        <v>1385</v>
      </c>
      <c r="B429" t="s">
        <v>785</v>
      </c>
      <c r="C429">
        <v>80</v>
      </c>
      <c r="D429" t="s">
        <v>955</v>
      </c>
      <c r="E429">
        <v>339</v>
      </c>
      <c r="F429" s="36">
        <v>59.87</v>
      </c>
      <c r="G429">
        <v>0</v>
      </c>
      <c r="H42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26.941499999999998</v>
      </c>
      <c r="I429" s="37">
        <f>Tableau2[[#This Row],[Facture_Mensuelle $]]*Tableau2[[#This Row],[Remise taux]]</f>
        <v>1612.9876049999998</v>
      </c>
    </row>
    <row r="430" spans="1:9" x14ac:dyDescent="0.25">
      <c r="A430" t="s">
        <v>1386</v>
      </c>
      <c r="B430" t="s">
        <v>781</v>
      </c>
      <c r="C430">
        <v>95</v>
      </c>
      <c r="D430" t="s">
        <v>953</v>
      </c>
      <c r="E430">
        <v>33</v>
      </c>
      <c r="F430" s="36">
        <v>35.32</v>
      </c>
      <c r="G430">
        <v>0</v>
      </c>
      <c r="H43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430" s="37">
        <f>Tableau2[[#This Row],[Facture_Mensuelle $]]*Tableau2[[#This Row],[Remise taux]]</f>
        <v>0</v>
      </c>
    </row>
    <row r="431" spans="1:9" x14ac:dyDescent="0.25">
      <c r="A431" t="s">
        <v>1387</v>
      </c>
      <c r="B431" t="s">
        <v>782</v>
      </c>
      <c r="C431">
        <v>99</v>
      </c>
      <c r="D431" t="s">
        <v>955</v>
      </c>
      <c r="E431">
        <v>169</v>
      </c>
      <c r="F431" s="36">
        <v>76.75</v>
      </c>
      <c r="G431">
        <v>5</v>
      </c>
      <c r="H43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431" s="37">
        <f>Tableau2[[#This Row],[Facture_Mensuelle $]]*Tableau2[[#This Row],[Remise taux]]</f>
        <v>0</v>
      </c>
    </row>
    <row r="432" spans="1:9" x14ac:dyDescent="0.25">
      <c r="A432" t="s">
        <v>1388</v>
      </c>
      <c r="B432" t="s">
        <v>762</v>
      </c>
      <c r="C432">
        <v>88</v>
      </c>
      <c r="D432" t="s">
        <v>961</v>
      </c>
      <c r="E432">
        <v>359</v>
      </c>
      <c r="F432" s="36">
        <v>71.19</v>
      </c>
      <c r="G432">
        <v>3</v>
      </c>
      <c r="H43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32.035499999999999</v>
      </c>
      <c r="I432" s="37">
        <f>Tableau2[[#This Row],[Facture_Mensuelle $]]*Tableau2[[#This Row],[Remise taux]]</f>
        <v>2280.6072449999997</v>
      </c>
    </row>
    <row r="433" spans="1:9" x14ac:dyDescent="0.25">
      <c r="A433" t="s">
        <v>1389</v>
      </c>
      <c r="B433" t="s">
        <v>781</v>
      </c>
      <c r="C433">
        <v>7</v>
      </c>
      <c r="D433" t="s">
        <v>953</v>
      </c>
      <c r="E433">
        <v>43</v>
      </c>
      <c r="F433" s="36">
        <v>41.29</v>
      </c>
      <c r="G433">
        <v>4</v>
      </c>
      <c r="H43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433" s="37">
        <f>Tableau2[[#This Row],[Facture_Mensuelle $]]*Tableau2[[#This Row],[Remise taux]]</f>
        <v>0</v>
      </c>
    </row>
    <row r="434" spans="1:9" x14ac:dyDescent="0.25">
      <c r="A434" t="s">
        <v>1390</v>
      </c>
      <c r="B434" t="s">
        <v>781</v>
      </c>
      <c r="C434">
        <v>68</v>
      </c>
      <c r="D434" t="s">
        <v>955</v>
      </c>
      <c r="E434">
        <v>282</v>
      </c>
      <c r="F434" s="36">
        <v>35.43</v>
      </c>
      <c r="G434">
        <v>1</v>
      </c>
      <c r="H43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15.9435</v>
      </c>
      <c r="I434" s="37">
        <f>Tableau2[[#This Row],[Facture_Mensuelle $]]*Tableau2[[#This Row],[Remise taux]]</f>
        <v>564.87820499999998</v>
      </c>
    </row>
    <row r="435" spans="1:9" x14ac:dyDescent="0.25">
      <c r="A435" t="s">
        <v>1391</v>
      </c>
      <c r="B435" t="s">
        <v>772</v>
      </c>
      <c r="C435">
        <v>11</v>
      </c>
      <c r="D435" t="s">
        <v>953</v>
      </c>
      <c r="E435">
        <v>402</v>
      </c>
      <c r="F435" s="36">
        <v>69.599999999999994</v>
      </c>
      <c r="G435">
        <v>5</v>
      </c>
      <c r="H43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31.319999999999997</v>
      </c>
      <c r="I435" s="37">
        <f>Tableau2[[#This Row],[Facture_Mensuelle $]]*Tableau2[[#This Row],[Remise taux]]</f>
        <v>2179.8719999999994</v>
      </c>
    </row>
    <row r="436" spans="1:9" x14ac:dyDescent="0.25">
      <c r="A436" t="s">
        <v>1392</v>
      </c>
      <c r="B436" t="s">
        <v>763</v>
      </c>
      <c r="C436">
        <v>1</v>
      </c>
      <c r="D436" t="s">
        <v>957</v>
      </c>
      <c r="E436">
        <v>213</v>
      </c>
      <c r="F436" s="36">
        <v>52.16</v>
      </c>
      <c r="G436">
        <v>3</v>
      </c>
      <c r="H43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436" s="37">
        <f>Tableau2[[#This Row],[Facture_Mensuelle $]]*Tableau2[[#This Row],[Remise taux]]</f>
        <v>0</v>
      </c>
    </row>
    <row r="437" spans="1:9" x14ac:dyDescent="0.25">
      <c r="A437" t="s">
        <v>1393</v>
      </c>
      <c r="B437" t="s">
        <v>779</v>
      </c>
      <c r="C437">
        <v>98</v>
      </c>
      <c r="D437" t="s">
        <v>955</v>
      </c>
      <c r="E437">
        <v>168</v>
      </c>
      <c r="F437" s="36">
        <v>44.14</v>
      </c>
      <c r="G437">
        <v>3</v>
      </c>
      <c r="H43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437" s="37">
        <f>Tableau2[[#This Row],[Facture_Mensuelle $]]*Tableau2[[#This Row],[Remise taux]]</f>
        <v>0</v>
      </c>
    </row>
    <row r="438" spans="1:9" x14ac:dyDescent="0.25">
      <c r="A438" t="s">
        <v>1394</v>
      </c>
      <c r="B438" t="s">
        <v>778</v>
      </c>
      <c r="C438">
        <v>3</v>
      </c>
      <c r="D438" t="s">
        <v>957</v>
      </c>
      <c r="E438">
        <v>356</v>
      </c>
      <c r="F438" s="36">
        <v>91.6</v>
      </c>
      <c r="G438">
        <v>3</v>
      </c>
      <c r="H43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41.22</v>
      </c>
      <c r="I438" s="37">
        <f>Tableau2[[#This Row],[Facture_Mensuelle $]]*Tableau2[[#This Row],[Remise taux]]</f>
        <v>3775.7519999999995</v>
      </c>
    </row>
    <row r="439" spans="1:9" x14ac:dyDescent="0.25">
      <c r="A439" t="s">
        <v>1395</v>
      </c>
      <c r="B439" t="s">
        <v>778</v>
      </c>
      <c r="C439">
        <v>85</v>
      </c>
      <c r="D439" t="s">
        <v>961</v>
      </c>
      <c r="E439">
        <v>274</v>
      </c>
      <c r="F439" s="36">
        <v>35.03</v>
      </c>
      <c r="G439">
        <v>1</v>
      </c>
      <c r="H43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15.763500000000001</v>
      </c>
      <c r="I439" s="37">
        <f>Tableau2[[#This Row],[Facture_Mensuelle $]]*Tableau2[[#This Row],[Remise taux]]</f>
        <v>552.19540500000005</v>
      </c>
    </row>
    <row r="440" spans="1:9" x14ac:dyDescent="0.25">
      <c r="A440" t="s">
        <v>1396</v>
      </c>
      <c r="B440" t="s">
        <v>769</v>
      </c>
      <c r="C440">
        <v>79</v>
      </c>
      <c r="D440" t="s">
        <v>961</v>
      </c>
      <c r="E440">
        <v>454</v>
      </c>
      <c r="F440" s="36">
        <v>80.34</v>
      </c>
      <c r="G440">
        <v>2</v>
      </c>
      <c r="H44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36.153000000000006</v>
      </c>
      <c r="I440" s="37">
        <f>Tableau2[[#This Row],[Facture_Mensuelle $]]*Tableau2[[#This Row],[Remise taux]]</f>
        <v>2904.5320200000006</v>
      </c>
    </row>
    <row r="441" spans="1:9" x14ac:dyDescent="0.25">
      <c r="A441" t="s">
        <v>1397</v>
      </c>
      <c r="B441" t="s">
        <v>785</v>
      </c>
      <c r="C441">
        <v>65</v>
      </c>
      <c r="D441" t="s">
        <v>953</v>
      </c>
      <c r="E441">
        <v>442</v>
      </c>
      <c r="F441" s="36">
        <v>60.62</v>
      </c>
      <c r="G441">
        <v>5</v>
      </c>
      <c r="H44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27.279</v>
      </c>
      <c r="I441" s="37">
        <f>Tableau2[[#This Row],[Facture_Mensuelle $]]*Tableau2[[#This Row],[Remise taux]]</f>
        <v>1653.6529799999998</v>
      </c>
    </row>
    <row r="442" spans="1:9" x14ac:dyDescent="0.25">
      <c r="A442" t="s">
        <v>1398</v>
      </c>
      <c r="B442" t="s">
        <v>780</v>
      </c>
      <c r="C442">
        <v>2</v>
      </c>
      <c r="D442" t="s">
        <v>961</v>
      </c>
      <c r="E442">
        <v>21</v>
      </c>
      <c r="F442" s="36">
        <v>51.68</v>
      </c>
      <c r="G442">
        <v>3</v>
      </c>
      <c r="H44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23.256</v>
      </c>
      <c r="I442" s="37">
        <f>Tableau2[[#This Row],[Facture_Mensuelle $]]*Tableau2[[#This Row],[Remise taux]]</f>
        <v>1201.8700799999999</v>
      </c>
    </row>
    <row r="443" spans="1:9" x14ac:dyDescent="0.25">
      <c r="A443" t="s">
        <v>1399</v>
      </c>
      <c r="B443" t="s">
        <v>770</v>
      </c>
      <c r="C443">
        <v>51</v>
      </c>
      <c r="D443" t="s">
        <v>957</v>
      </c>
      <c r="E443">
        <v>58</v>
      </c>
      <c r="F443" s="36">
        <v>34.6</v>
      </c>
      <c r="G443">
        <v>5</v>
      </c>
      <c r="H44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443" s="37">
        <f>Tableau2[[#This Row],[Facture_Mensuelle $]]*Tableau2[[#This Row],[Remise taux]]</f>
        <v>0</v>
      </c>
    </row>
    <row r="444" spans="1:9" x14ac:dyDescent="0.25">
      <c r="A444" t="s">
        <v>1400</v>
      </c>
      <c r="B444" t="s">
        <v>769</v>
      </c>
      <c r="C444">
        <v>63</v>
      </c>
      <c r="D444" t="s">
        <v>955</v>
      </c>
      <c r="E444">
        <v>141</v>
      </c>
      <c r="F444" s="36">
        <v>95.6</v>
      </c>
      <c r="G444">
        <v>4</v>
      </c>
      <c r="H44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444" s="37">
        <f>Tableau2[[#This Row],[Facture_Mensuelle $]]*Tableau2[[#This Row],[Remise taux]]</f>
        <v>0</v>
      </c>
    </row>
    <row r="445" spans="1:9" x14ac:dyDescent="0.25">
      <c r="A445" t="s">
        <v>1401</v>
      </c>
      <c r="B445" t="s">
        <v>783</v>
      </c>
      <c r="C445">
        <v>101</v>
      </c>
      <c r="D445" t="s">
        <v>955</v>
      </c>
      <c r="E445">
        <v>333</v>
      </c>
      <c r="F445" s="36">
        <v>74.319999999999993</v>
      </c>
      <c r="G445">
        <v>1</v>
      </c>
      <c r="H44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33.443999999999996</v>
      </c>
      <c r="I445" s="37">
        <f>Tableau2[[#This Row],[Facture_Mensuelle $]]*Tableau2[[#This Row],[Remise taux]]</f>
        <v>2485.5580799999993</v>
      </c>
    </row>
    <row r="446" spans="1:9" x14ac:dyDescent="0.25">
      <c r="A446" t="s">
        <v>1402</v>
      </c>
      <c r="B446" t="s">
        <v>784</v>
      </c>
      <c r="C446">
        <v>33</v>
      </c>
      <c r="D446" t="s">
        <v>961</v>
      </c>
      <c r="E446">
        <v>285</v>
      </c>
      <c r="F446" s="36">
        <v>56.67</v>
      </c>
      <c r="G446">
        <v>2</v>
      </c>
      <c r="H44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25.5015</v>
      </c>
      <c r="I446" s="37">
        <f>Tableau2[[#This Row],[Facture_Mensuelle $]]*Tableau2[[#This Row],[Remise taux]]</f>
        <v>1445.1700049999999</v>
      </c>
    </row>
    <row r="447" spans="1:9" x14ac:dyDescent="0.25">
      <c r="A447" t="s">
        <v>1403</v>
      </c>
      <c r="B447" t="s">
        <v>782</v>
      </c>
      <c r="C447">
        <v>17</v>
      </c>
      <c r="D447" t="s">
        <v>955</v>
      </c>
      <c r="E447">
        <v>175</v>
      </c>
      <c r="F447" s="36">
        <v>24.95</v>
      </c>
      <c r="G447">
        <v>4</v>
      </c>
      <c r="H44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447" s="37">
        <f>Tableau2[[#This Row],[Facture_Mensuelle $]]*Tableau2[[#This Row],[Remise taux]]</f>
        <v>0</v>
      </c>
    </row>
    <row r="448" spans="1:9" x14ac:dyDescent="0.25">
      <c r="A448" t="s">
        <v>1404</v>
      </c>
      <c r="B448" t="s">
        <v>777</v>
      </c>
      <c r="C448">
        <v>89</v>
      </c>
      <c r="D448" t="s">
        <v>955</v>
      </c>
      <c r="E448">
        <v>225</v>
      </c>
      <c r="F448" s="36">
        <v>38.36</v>
      </c>
      <c r="G448">
        <v>2</v>
      </c>
      <c r="H44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448" s="37">
        <f>Tableau2[[#This Row],[Facture_Mensuelle $]]*Tableau2[[#This Row],[Remise taux]]</f>
        <v>0</v>
      </c>
    </row>
    <row r="449" spans="1:9" x14ac:dyDescent="0.25">
      <c r="A449" t="s">
        <v>1405</v>
      </c>
      <c r="B449" t="s">
        <v>777</v>
      </c>
      <c r="C449">
        <v>88</v>
      </c>
      <c r="D449" t="s">
        <v>961</v>
      </c>
      <c r="E449">
        <v>232</v>
      </c>
      <c r="F449" s="36">
        <v>40.94</v>
      </c>
      <c r="G449">
        <v>2</v>
      </c>
      <c r="H44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449" s="37">
        <f>Tableau2[[#This Row],[Facture_Mensuelle $]]*Tableau2[[#This Row],[Remise taux]]</f>
        <v>0</v>
      </c>
    </row>
    <row r="450" spans="1:9" x14ac:dyDescent="0.25">
      <c r="A450" t="s">
        <v>1406</v>
      </c>
      <c r="B450" t="s">
        <v>778</v>
      </c>
      <c r="C450">
        <v>29</v>
      </c>
      <c r="D450" t="s">
        <v>961</v>
      </c>
      <c r="E450">
        <v>350</v>
      </c>
      <c r="F450" s="36">
        <v>84.32</v>
      </c>
      <c r="G450">
        <v>3</v>
      </c>
      <c r="H45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37.943999999999996</v>
      </c>
      <c r="I450" s="37">
        <f>Tableau2[[#This Row],[Facture_Mensuelle $]]*Tableau2[[#This Row],[Remise taux]]</f>
        <v>3199.4380799999994</v>
      </c>
    </row>
    <row r="451" spans="1:9" x14ac:dyDescent="0.25">
      <c r="A451" t="s">
        <v>1407</v>
      </c>
      <c r="B451" t="s">
        <v>767</v>
      </c>
      <c r="C451">
        <v>48</v>
      </c>
      <c r="D451" t="s">
        <v>961</v>
      </c>
      <c r="E451">
        <v>473</v>
      </c>
      <c r="F451" s="36">
        <v>71.52</v>
      </c>
      <c r="G451">
        <v>5</v>
      </c>
      <c r="H45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32.183999999999997</v>
      </c>
      <c r="I451" s="37">
        <f>Tableau2[[#This Row],[Facture_Mensuelle $]]*Tableau2[[#This Row],[Remise taux]]</f>
        <v>2301.7996799999996</v>
      </c>
    </row>
    <row r="452" spans="1:9" x14ac:dyDescent="0.25">
      <c r="A452" t="s">
        <v>1408</v>
      </c>
      <c r="B452" t="s">
        <v>785</v>
      </c>
      <c r="C452">
        <v>73</v>
      </c>
      <c r="D452" t="s">
        <v>957</v>
      </c>
      <c r="E452">
        <v>225</v>
      </c>
      <c r="F452" s="36">
        <v>45.86</v>
      </c>
      <c r="G452">
        <v>0</v>
      </c>
      <c r="H45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452" s="37">
        <f>Tableau2[[#This Row],[Facture_Mensuelle $]]*Tableau2[[#This Row],[Remise taux]]</f>
        <v>0</v>
      </c>
    </row>
    <row r="453" spans="1:9" x14ac:dyDescent="0.25">
      <c r="A453" t="s">
        <v>1409</v>
      </c>
      <c r="B453" t="s">
        <v>767</v>
      </c>
      <c r="C453">
        <v>35</v>
      </c>
      <c r="D453" t="s">
        <v>955</v>
      </c>
      <c r="E453">
        <v>292</v>
      </c>
      <c r="F453" s="36">
        <v>39.21</v>
      </c>
      <c r="G453">
        <v>1</v>
      </c>
      <c r="H45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17.644500000000001</v>
      </c>
      <c r="I453" s="37">
        <f>Tableau2[[#This Row],[Facture_Mensuelle $]]*Tableau2[[#This Row],[Remise taux]]</f>
        <v>691.84084500000006</v>
      </c>
    </row>
    <row r="454" spans="1:9" x14ac:dyDescent="0.25">
      <c r="A454" t="s">
        <v>1410</v>
      </c>
      <c r="B454" t="s">
        <v>762</v>
      </c>
      <c r="C454">
        <v>107</v>
      </c>
      <c r="D454" t="s">
        <v>957</v>
      </c>
      <c r="E454">
        <v>290</v>
      </c>
      <c r="F454" s="36">
        <v>52.03</v>
      </c>
      <c r="G454">
        <v>0</v>
      </c>
      <c r="H45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23.413500000000003</v>
      </c>
      <c r="I454" s="37">
        <f>Tableau2[[#This Row],[Facture_Mensuelle $]]*Tableau2[[#This Row],[Remise taux]]</f>
        <v>1218.2044050000002</v>
      </c>
    </row>
    <row r="455" spans="1:9" x14ac:dyDescent="0.25">
      <c r="A455" t="s">
        <v>1411</v>
      </c>
      <c r="B455" t="s">
        <v>771</v>
      </c>
      <c r="C455">
        <v>80</v>
      </c>
      <c r="D455" t="s">
        <v>953</v>
      </c>
      <c r="E455">
        <v>65</v>
      </c>
      <c r="F455" s="36">
        <v>76.64</v>
      </c>
      <c r="G455">
        <v>3</v>
      </c>
      <c r="H45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455" s="37">
        <f>Tableau2[[#This Row],[Facture_Mensuelle $]]*Tableau2[[#This Row],[Remise taux]]</f>
        <v>0</v>
      </c>
    </row>
    <row r="456" spans="1:9" x14ac:dyDescent="0.25">
      <c r="A456" t="s">
        <v>1412</v>
      </c>
      <c r="B456" t="s">
        <v>761</v>
      </c>
      <c r="C456">
        <v>66</v>
      </c>
      <c r="D456" t="s">
        <v>961</v>
      </c>
      <c r="E456">
        <v>193</v>
      </c>
      <c r="F456" s="36">
        <v>21.06</v>
      </c>
      <c r="G456">
        <v>3</v>
      </c>
      <c r="H45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456" s="37">
        <f>Tableau2[[#This Row],[Facture_Mensuelle $]]*Tableau2[[#This Row],[Remise taux]]</f>
        <v>0</v>
      </c>
    </row>
    <row r="457" spans="1:9" x14ac:dyDescent="0.25">
      <c r="A457" t="s">
        <v>1413</v>
      </c>
      <c r="B457" t="s">
        <v>778</v>
      </c>
      <c r="C457">
        <v>38</v>
      </c>
      <c r="D457" t="s">
        <v>957</v>
      </c>
      <c r="E457">
        <v>191</v>
      </c>
      <c r="F457" s="36">
        <v>22.97</v>
      </c>
      <c r="G457">
        <v>3</v>
      </c>
      <c r="H45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457" s="37">
        <f>Tableau2[[#This Row],[Facture_Mensuelle $]]*Tableau2[[#This Row],[Remise taux]]</f>
        <v>0</v>
      </c>
    </row>
    <row r="458" spans="1:9" x14ac:dyDescent="0.25">
      <c r="A458" t="s">
        <v>1414</v>
      </c>
      <c r="B458" t="s">
        <v>786</v>
      </c>
      <c r="C458">
        <v>119</v>
      </c>
      <c r="D458" t="s">
        <v>955</v>
      </c>
      <c r="E458">
        <v>451</v>
      </c>
      <c r="F458" s="36">
        <v>10.46</v>
      </c>
      <c r="G458">
        <v>5</v>
      </c>
      <c r="H45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4.7070000000000007</v>
      </c>
      <c r="I458" s="37">
        <f>Tableau2[[#This Row],[Facture_Mensuelle $]]*Tableau2[[#This Row],[Remise taux]]</f>
        <v>49.235220000000012</v>
      </c>
    </row>
    <row r="459" spans="1:9" x14ac:dyDescent="0.25">
      <c r="A459" t="s">
        <v>1415</v>
      </c>
      <c r="B459" t="s">
        <v>778</v>
      </c>
      <c r="C459">
        <v>55</v>
      </c>
      <c r="D459" t="s">
        <v>953</v>
      </c>
      <c r="E459">
        <v>355</v>
      </c>
      <c r="F459" s="36">
        <v>59.65</v>
      </c>
      <c r="G459">
        <v>0</v>
      </c>
      <c r="H45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26.842500000000001</v>
      </c>
      <c r="I459" s="37">
        <f>Tableau2[[#This Row],[Facture_Mensuelle $]]*Tableau2[[#This Row],[Remise taux]]</f>
        <v>1601.155125</v>
      </c>
    </row>
    <row r="460" spans="1:9" x14ac:dyDescent="0.25">
      <c r="A460" t="s">
        <v>1416</v>
      </c>
      <c r="B460" t="s">
        <v>779</v>
      </c>
      <c r="C460">
        <v>6</v>
      </c>
      <c r="D460" t="s">
        <v>957</v>
      </c>
      <c r="E460">
        <v>77</v>
      </c>
      <c r="F460" s="36">
        <v>18.48</v>
      </c>
      <c r="G460">
        <v>2</v>
      </c>
      <c r="H46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460" s="37">
        <f>Tableau2[[#This Row],[Facture_Mensuelle $]]*Tableau2[[#This Row],[Remise taux]]</f>
        <v>0</v>
      </c>
    </row>
    <row r="461" spans="1:9" x14ac:dyDescent="0.25">
      <c r="A461" t="s">
        <v>1417</v>
      </c>
      <c r="B461" t="s">
        <v>769</v>
      </c>
      <c r="C461">
        <v>63</v>
      </c>
      <c r="D461" t="s">
        <v>957</v>
      </c>
      <c r="E461">
        <v>265</v>
      </c>
      <c r="F461" s="36">
        <v>49.94</v>
      </c>
      <c r="G461">
        <v>1</v>
      </c>
      <c r="H46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22.472999999999999</v>
      </c>
      <c r="I461" s="37">
        <f>Tableau2[[#This Row],[Facture_Mensuelle $]]*Tableau2[[#This Row],[Remise taux]]</f>
        <v>1122.30162</v>
      </c>
    </row>
    <row r="462" spans="1:9" x14ac:dyDescent="0.25">
      <c r="A462" t="s">
        <v>1418</v>
      </c>
      <c r="B462" t="s">
        <v>772</v>
      </c>
      <c r="C462">
        <v>21</v>
      </c>
      <c r="D462" t="s">
        <v>955</v>
      </c>
      <c r="E462">
        <v>320</v>
      </c>
      <c r="F462" s="36">
        <v>64.97</v>
      </c>
      <c r="G462">
        <v>1</v>
      </c>
      <c r="H46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29.236499999999999</v>
      </c>
      <c r="I462" s="37">
        <f>Tableau2[[#This Row],[Facture_Mensuelle $]]*Tableau2[[#This Row],[Remise taux]]</f>
        <v>1899.4954049999999</v>
      </c>
    </row>
    <row r="463" spans="1:9" x14ac:dyDescent="0.25">
      <c r="A463" t="s">
        <v>1419</v>
      </c>
      <c r="B463" t="s">
        <v>769</v>
      </c>
      <c r="C463">
        <v>5</v>
      </c>
      <c r="D463" t="s">
        <v>961</v>
      </c>
      <c r="E463">
        <v>417</v>
      </c>
      <c r="F463" s="36">
        <v>90.71</v>
      </c>
      <c r="G463">
        <v>1</v>
      </c>
      <c r="H46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40.819499999999998</v>
      </c>
      <c r="I463" s="37">
        <f>Tableau2[[#This Row],[Facture_Mensuelle $]]*Tableau2[[#This Row],[Remise taux]]</f>
        <v>3702.7368449999994</v>
      </c>
    </row>
    <row r="464" spans="1:9" x14ac:dyDescent="0.25">
      <c r="A464" t="s">
        <v>1420</v>
      </c>
      <c r="B464" t="s">
        <v>764</v>
      </c>
      <c r="C464">
        <v>30</v>
      </c>
      <c r="D464" t="s">
        <v>953</v>
      </c>
      <c r="E464">
        <v>130</v>
      </c>
      <c r="F464" s="36">
        <v>50.15</v>
      </c>
      <c r="G464">
        <v>4</v>
      </c>
      <c r="H46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464" s="37">
        <f>Tableau2[[#This Row],[Facture_Mensuelle $]]*Tableau2[[#This Row],[Remise taux]]</f>
        <v>0</v>
      </c>
    </row>
    <row r="465" spans="1:9" x14ac:dyDescent="0.25">
      <c r="A465" t="s">
        <v>1421</v>
      </c>
      <c r="B465" t="s">
        <v>778</v>
      </c>
      <c r="C465">
        <v>60</v>
      </c>
      <c r="D465" t="s">
        <v>957</v>
      </c>
      <c r="E465">
        <v>161</v>
      </c>
      <c r="F465" s="36">
        <v>62.65</v>
      </c>
      <c r="G465">
        <v>0</v>
      </c>
      <c r="H46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465" s="37">
        <f>Tableau2[[#This Row],[Facture_Mensuelle $]]*Tableau2[[#This Row],[Remise taux]]</f>
        <v>0</v>
      </c>
    </row>
    <row r="466" spans="1:9" x14ac:dyDescent="0.25">
      <c r="A466" t="s">
        <v>1422</v>
      </c>
      <c r="B466" t="s">
        <v>762</v>
      </c>
      <c r="C466">
        <v>120</v>
      </c>
      <c r="D466" t="s">
        <v>957</v>
      </c>
      <c r="E466">
        <v>437</v>
      </c>
      <c r="F466" s="36">
        <v>95.17</v>
      </c>
      <c r="G466">
        <v>1</v>
      </c>
      <c r="H46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42.826500000000003</v>
      </c>
      <c r="I466" s="37">
        <f>Tableau2[[#This Row],[Facture_Mensuelle $]]*Tableau2[[#This Row],[Remise taux]]</f>
        <v>4075.7980050000006</v>
      </c>
    </row>
    <row r="467" spans="1:9" x14ac:dyDescent="0.25">
      <c r="A467" t="s">
        <v>1423</v>
      </c>
      <c r="B467" t="s">
        <v>771</v>
      </c>
      <c r="C467">
        <v>68</v>
      </c>
      <c r="D467" t="s">
        <v>961</v>
      </c>
      <c r="E467">
        <v>443</v>
      </c>
      <c r="F467" s="36">
        <v>12.09</v>
      </c>
      <c r="G467">
        <v>3</v>
      </c>
      <c r="H46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5.4405000000000001</v>
      </c>
      <c r="I467" s="37">
        <f>Tableau2[[#This Row],[Facture_Mensuelle $]]*Tableau2[[#This Row],[Remise taux]]</f>
        <v>65.775644999999997</v>
      </c>
    </row>
    <row r="468" spans="1:9" x14ac:dyDescent="0.25">
      <c r="A468" t="s">
        <v>1424</v>
      </c>
      <c r="B468" t="s">
        <v>770</v>
      </c>
      <c r="C468">
        <v>85</v>
      </c>
      <c r="D468" t="s">
        <v>957</v>
      </c>
      <c r="E468">
        <v>132</v>
      </c>
      <c r="F468" s="36">
        <v>11.41</v>
      </c>
      <c r="G468">
        <v>0</v>
      </c>
      <c r="H46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468" s="37">
        <f>Tableau2[[#This Row],[Facture_Mensuelle $]]*Tableau2[[#This Row],[Remise taux]]</f>
        <v>0</v>
      </c>
    </row>
    <row r="469" spans="1:9" x14ac:dyDescent="0.25">
      <c r="A469" t="s">
        <v>1425</v>
      </c>
      <c r="B469" t="s">
        <v>781</v>
      </c>
      <c r="C469">
        <v>69</v>
      </c>
      <c r="D469" t="s">
        <v>955</v>
      </c>
      <c r="E469">
        <v>463</v>
      </c>
      <c r="F469" s="36">
        <v>19.440000000000001</v>
      </c>
      <c r="G469">
        <v>0</v>
      </c>
      <c r="H46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8.7480000000000011</v>
      </c>
      <c r="I469" s="37">
        <f>Tableau2[[#This Row],[Facture_Mensuelle $]]*Tableau2[[#This Row],[Remise taux]]</f>
        <v>170.06112000000005</v>
      </c>
    </row>
    <row r="470" spans="1:9" x14ac:dyDescent="0.25">
      <c r="A470" t="s">
        <v>1426</v>
      </c>
      <c r="B470" t="s">
        <v>767</v>
      </c>
      <c r="C470">
        <v>96</v>
      </c>
      <c r="D470" t="s">
        <v>957</v>
      </c>
      <c r="E470">
        <v>108</v>
      </c>
      <c r="F470" s="36">
        <v>30.92</v>
      </c>
      <c r="G470">
        <v>1</v>
      </c>
      <c r="H47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470" s="37">
        <f>Tableau2[[#This Row],[Facture_Mensuelle $]]*Tableau2[[#This Row],[Remise taux]]</f>
        <v>0</v>
      </c>
    </row>
    <row r="471" spans="1:9" x14ac:dyDescent="0.25">
      <c r="A471" t="s">
        <v>1427</v>
      </c>
      <c r="B471" t="s">
        <v>774</v>
      </c>
      <c r="C471">
        <v>89</v>
      </c>
      <c r="D471" t="s">
        <v>957</v>
      </c>
      <c r="E471">
        <v>7</v>
      </c>
      <c r="F471" s="36">
        <v>53.39</v>
      </c>
      <c r="G471">
        <v>3</v>
      </c>
      <c r="H47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471" s="37">
        <f>Tableau2[[#This Row],[Facture_Mensuelle $]]*Tableau2[[#This Row],[Remise taux]]</f>
        <v>0</v>
      </c>
    </row>
    <row r="472" spans="1:9" x14ac:dyDescent="0.25">
      <c r="A472" t="s">
        <v>1428</v>
      </c>
      <c r="B472" t="s">
        <v>764</v>
      </c>
      <c r="C472">
        <v>47</v>
      </c>
      <c r="D472" t="s">
        <v>961</v>
      </c>
      <c r="E472">
        <v>350</v>
      </c>
      <c r="F472" s="36">
        <v>80.48</v>
      </c>
      <c r="G472">
        <v>3</v>
      </c>
      <c r="H47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36.216000000000001</v>
      </c>
      <c r="I472" s="37">
        <f>Tableau2[[#This Row],[Facture_Mensuelle $]]*Tableau2[[#This Row],[Remise taux]]</f>
        <v>2914.6636800000001</v>
      </c>
    </row>
    <row r="473" spans="1:9" x14ac:dyDescent="0.25">
      <c r="A473" t="s">
        <v>1429</v>
      </c>
      <c r="B473" t="s">
        <v>774</v>
      </c>
      <c r="C473">
        <v>78</v>
      </c>
      <c r="D473" t="s">
        <v>953</v>
      </c>
      <c r="E473">
        <v>312</v>
      </c>
      <c r="F473" s="36">
        <v>85.74</v>
      </c>
      <c r="G473">
        <v>2</v>
      </c>
      <c r="H47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38.582999999999998</v>
      </c>
      <c r="I473" s="37">
        <f>Tableau2[[#This Row],[Facture_Mensuelle $]]*Tableau2[[#This Row],[Remise taux]]</f>
        <v>3308.1064199999996</v>
      </c>
    </row>
    <row r="474" spans="1:9" x14ac:dyDescent="0.25">
      <c r="A474" t="s">
        <v>1430</v>
      </c>
      <c r="B474" t="s">
        <v>770</v>
      </c>
      <c r="C474">
        <v>36</v>
      </c>
      <c r="D474" t="s">
        <v>961</v>
      </c>
      <c r="E474">
        <v>400</v>
      </c>
      <c r="F474" s="36">
        <v>60.35</v>
      </c>
      <c r="G474">
        <v>1</v>
      </c>
      <c r="H47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27.157500000000002</v>
      </c>
      <c r="I474" s="37">
        <f>Tableau2[[#This Row],[Facture_Mensuelle $]]*Tableau2[[#This Row],[Remise taux]]</f>
        <v>1638.9551250000002</v>
      </c>
    </row>
    <row r="475" spans="1:9" x14ac:dyDescent="0.25">
      <c r="A475" t="s">
        <v>1431</v>
      </c>
      <c r="B475" t="s">
        <v>781</v>
      </c>
      <c r="C475">
        <v>44</v>
      </c>
      <c r="D475" t="s">
        <v>953</v>
      </c>
      <c r="E475">
        <v>348</v>
      </c>
      <c r="F475" s="36">
        <v>58.67</v>
      </c>
      <c r="G475">
        <v>0</v>
      </c>
      <c r="H47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26.401500000000002</v>
      </c>
      <c r="I475" s="37">
        <f>Tableau2[[#This Row],[Facture_Mensuelle $]]*Tableau2[[#This Row],[Remise taux]]</f>
        <v>1548.9760050000002</v>
      </c>
    </row>
    <row r="476" spans="1:9" x14ac:dyDescent="0.25">
      <c r="A476" t="s">
        <v>1432</v>
      </c>
      <c r="B476" t="s">
        <v>779</v>
      </c>
      <c r="C476">
        <v>120</v>
      </c>
      <c r="D476" t="s">
        <v>955</v>
      </c>
      <c r="E476">
        <v>209</v>
      </c>
      <c r="F476" s="36">
        <v>42.51</v>
      </c>
      <c r="G476">
        <v>4</v>
      </c>
      <c r="H47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476" s="37">
        <f>Tableau2[[#This Row],[Facture_Mensuelle $]]*Tableau2[[#This Row],[Remise taux]]</f>
        <v>0</v>
      </c>
    </row>
    <row r="477" spans="1:9" x14ac:dyDescent="0.25">
      <c r="A477" t="s">
        <v>1433</v>
      </c>
      <c r="B477" t="s">
        <v>769</v>
      </c>
      <c r="C477">
        <v>116</v>
      </c>
      <c r="D477" t="s">
        <v>961</v>
      </c>
      <c r="E477">
        <v>279</v>
      </c>
      <c r="F477" s="36">
        <v>62.88</v>
      </c>
      <c r="G477">
        <v>4</v>
      </c>
      <c r="H47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28.296000000000003</v>
      </c>
      <c r="I477" s="37">
        <f>Tableau2[[#This Row],[Facture_Mensuelle $]]*Tableau2[[#This Row],[Remise taux]]</f>
        <v>1779.2524800000003</v>
      </c>
    </row>
    <row r="478" spans="1:9" x14ac:dyDescent="0.25">
      <c r="A478" t="s">
        <v>1434</v>
      </c>
      <c r="B478" t="s">
        <v>773</v>
      </c>
      <c r="C478">
        <v>106</v>
      </c>
      <c r="D478" t="s">
        <v>957</v>
      </c>
      <c r="E478">
        <v>236</v>
      </c>
      <c r="F478" s="36">
        <v>18.72</v>
      </c>
      <c r="G478">
        <v>4</v>
      </c>
      <c r="H47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478" s="37">
        <f>Tableau2[[#This Row],[Facture_Mensuelle $]]*Tableau2[[#This Row],[Remise taux]]</f>
        <v>0</v>
      </c>
    </row>
    <row r="479" spans="1:9" x14ac:dyDescent="0.25">
      <c r="A479" t="s">
        <v>1435</v>
      </c>
      <c r="B479" t="s">
        <v>781</v>
      </c>
      <c r="C479">
        <v>60</v>
      </c>
      <c r="D479" t="s">
        <v>953</v>
      </c>
      <c r="E479">
        <v>306</v>
      </c>
      <c r="F479" s="36">
        <v>63.83</v>
      </c>
      <c r="G479">
        <v>2</v>
      </c>
      <c r="H47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28.723500000000001</v>
      </c>
      <c r="I479" s="37">
        <f>Tableau2[[#This Row],[Facture_Mensuelle $]]*Tableau2[[#This Row],[Remise taux]]</f>
        <v>1833.4210050000002</v>
      </c>
    </row>
    <row r="480" spans="1:9" x14ac:dyDescent="0.25">
      <c r="A480" t="s">
        <v>1436</v>
      </c>
      <c r="B480" t="s">
        <v>778</v>
      </c>
      <c r="C480">
        <v>1</v>
      </c>
      <c r="D480" t="s">
        <v>961</v>
      </c>
      <c r="E480">
        <v>429</v>
      </c>
      <c r="F480" s="36">
        <v>20.96</v>
      </c>
      <c r="G480">
        <v>5</v>
      </c>
      <c r="H48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9.4320000000000004</v>
      </c>
      <c r="I480" s="37">
        <f>Tableau2[[#This Row],[Facture_Mensuelle $]]*Tableau2[[#This Row],[Remise taux]]</f>
        <v>197.69472000000002</v>
      </c>
    </row>
    <row r="481" spans="1:9" x14ac:dyDescent="0.25">
      <c r="A481" t="s">
        <v>1437</v>
      </c>
      <c r="B481" t="s">
        <v>772</v>
      </c>
      <c r="C481">
        <v>110</v>
      </c>
      <c r="D481" t="s">
        <v>953</v>
      </c>
      <c r="E481">
        <v>132</v>
      </c>
      <c r="F481" s="36">
        <v>21.31</v>
      </c>
      <c r="G481">
        <v>5</v>
      </c>
      <c r="H48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481" s="37">
        <f>Tableau2[[#This Row],[Facture_Mensuelle $]]*Tableau2[[#This Row],[Remise taux]]</f>
        <v>0</v>
      </c>
    </row>
    <row r="482" spans="1:9" x14ac:dyDescent="0.25">
      <c r="A482" t="s">
        <v>1438</v>
      </c>
      <c r="B482" t="s">
        <v>774</v>
      </c>
      <c r="C482">
        <v>74</v>
      </c>
      <c r="D482" t="s">
        <v>957</v>
      </c>
      <c r="E482">
        <v>330</v>
      </c>
      <c r="F482" s="36">
        <v>37.82</v>
      </c>
      <c r="G482">
        <v>5</v>
      </c>
      <c r="H48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17.019000000000002</v>
      </c>
      <c r="I482" s="37">
        <f>Tableau2[[#This Row],[Facture_Mensuelle $]]*Tableau2[[#This Row],[Remise taux]]</f>
        <v>643.65858000000003</v>
      </c>
    </row>
    <row r="483" spans="1:9" x14ac:dyDescent="0.25">
      <c r="A483" t="s">
        <v>1439</v>
      </c>
      <c r="B483" t="s">
        <v>782</v>
      </c>
      <c r="C483">
        <v>14</v>
      </c>
      <c r="D483" t="s">
        <v>955</v>
      </c>
      <c r="E483">
        <v>101</v>
      </c>
      <c r="F483" s="36">
        <v>43.99</v>
      </c>
      <c r="G483">
        <v>1</v>
      </c>
      <c r="H48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483" s="37">
        <f>Tableau2[[#This Row],[Facture_Mensuelle $]]*Tableau2[[#This Row],[Remise taux]]</f>
        <v>0</v>
      </c>
    </row>
    <row r="484" spans="1:9" x14ac:dyDescent="0.25">
      <c r="A484" t="s">
        <v>1440</v>
      </c>
      <c r="B484" t="s">
        <v>784</v>
      </c>
      <c r="C484">
        <v>62</v>
      </c>
      <c r="D484" t="s">
        <v>957</v>
      </c>
      <c r="E484">
        <v>369</v>
      </c>
      <c r="F484" s="36" t="s">
        <v>1441</v>
      </c>
      <c r="G484">
        <v>1</v>
      </c>
      <c r="H48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26.433</v>
      </c>
      <c r="I484" s="37">
        <f>Tableau2[[#This Row],[Facture_Mensuelle $]]*Tableau2[[#This Row],[Remise taux]]</f>
        <v>1552.6744200000001</v>
      </c>
    </row>
    <row r="485" spans="1:9" x14ac:dyDescent="0.25">
      <c r="A485" t="s">
        <v>1442</v>
      </c>
      <c r="B485" t="s">
        <v>767</v>
      </c>
      <c r="C485">
        <v>89</v>
      </c>
      <c r="D485" t="s">
        <v>961</v>
      </c>
      <c r="E485">
        <v>143</v>
      </c>
      <c r="F485" s="36">
        <v>48.05</v>
      </c>
      <c r="G485">
        <v>4</v>
      </c>
      <c r="H48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485" s="37">
        <f>Tableau2[[#This Row],[Facture_Mensuelle $]]*Tableau2[[#This Row],[Remise taux]]</f>
        <v>0</v>
      </c>
    </row>
    <row r="486" spans="1:9" x14ac:dyDescent="0.25">
      <c r="A486" t="s">
        <v>1443</v>
      </c>
      <c r="B486" t="s">
        <v>771</v>
      </c>
      <c r="C486">
        <v>19</v>
      </c>
      <c r="D486" t="s">
        <v>961</v>
      </c>
      <c r="E486">
        <v>270</v>
      </c>
      <c r="F486" s="36">
        <v>19.760000000000002</v>
      </c>
      <c r="G486">
        <v>3</v>
      </c>
      <c r="H48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8.8920000000000012</v>
      </c>
      <c r="I486" s="37">
        <f>Tableau2[[#This Row],[Facture_Mensuelle $]]*Tableau2[[#This Row],[Remise taux]]</f>
        <v>175.70592000000005</v>
      </c>
    </row>
    <row r="487" spans="1:9" x14ac:dyDescent="0.25">
      <c r="A487" t="s">
        <v>1444</v>
      </c>
      <c r="B487" t="s">
        <v>786</v>
      </c>
      <c r="C487">
        <v>42</v>
      </c>
      <c r="D487" t="s">
        <v>953</v>
      </c>
      <c r="E487">
        <v>448</v>
      </c>
      <c r="F487" s="36">
        <v>49.02</v>
      </c>
      <c r="G487">
        <v>0</v>
      </c>
      <c r="H48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22.059000000000001</v>
      </c>
      <c r="I487" s="37">
        <f>Tableau2[[#This Row],[Facture_Mensuelle $]]*Tableau2[[#This Row],[Remise taux]]</f>
        <v>1081.3321800000001</v>
      </c>
    </row>
    <row r="488" spans="1:9" x14ac:dyDescent="0.25">
      <c r="A488" t="s">
        <v>1445</v>
      </c>
      <c r="B488" t="s">
        <v>764</v>
      </c>
      <c r="C488">
        <v>116</v>
      </c>
      <c r="D488" t="s">
        <v>961</v>
      </c>
      <c r="E488">
        <v>14</v>
      </c>
      <c r="F488" s="36">
        <v>30.38</v>
      </c>
      <c r="G488">
        <v>1</v>
      </c>
      <c r="H48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488" s="37">
        <f>Tableau2[[#This Row],[Facture_Mensuelle $]]*Tableau2[[#This Row],[Remise taux]]</f>
        <v>0</v>
      </c>
    </row>
    <row r="489" spans="1:9" x14ac:dyDescent="0.25">
      <c r="A489" t="s">
        <v>1446</v>
      </c>
      <c r="B489" t="s">
        <v>767</v>
      </c>
      <c r="C489">
        <v>47</v>
      </c>
      <c r="D489" t="s">
        <v>953</v>
      </c>
      <c r="E489">
        <v>98</v>
      </c>
      <c r="F489" s="36">
        <v>16.16</v>
      </c>
      <c r="G489">
        <v>5</v>
      </c>
      <c r="H48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489" s="37">
        <f>Tableau2[[#This Row],[Facture_Mensuelle $]]*Tableau2[[#This Row],[Remise taux]]</f>
        <v>0</v>
      </c>
    </row>
    <row r="490" spans="1:9" x14ac:dyDescent="0.25">
      <c r="A490" t="s">
        <v>1447</v>
      </c>
      <c r="B490" t="s">
        <v>783</v>
      </c>
      <c r="C490">
        <v>86</v>
      </c>
      <c r="D490" t="s">
        <v>961</v>
      </c>
      <c r="E490">
        <v>27</v>
      </c>
      <c r="F490" s="36">
        <v>84.94</v>
      </c>
      <c r="G490">
        <v>4</v>
      </c>
      <c r="H49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490" s="37">
        <f>Tableau2[[#This Row],[Facture_Mensuelle $]]*Tableau2[[#This Row],[Remise taux]]</f>
        <v>0</v>
      </c>
    </row>
    <row r="491" spans="1:9" x14ac:dyDescent="0.25">
      <c r="A491" t="s">
        <v>1448</v>
      </c>
      <c r="B491" t="s">
        <v>781</v>
      </c>
      <c r="C491">
        <v>86</v>
      </c>
      <c r="D491" t="s">
        <v>961</v>
      </c>
      <c r="E491">
        <v>278</v>
      </c>
      <c r="F491" s="36">
        <v>30.12</v>
      </c>
      <c r="G491">
        <v>0</v>
      </c>
      <c r="H49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13.554</v>
      </c>
      <c r="I491" s="37">
        <f>Tableau2[[#This Row],[Facture_Mensuelle $]]*Tableau2[[#This Row],[Remise taux]]</f>
        <v>408.24648000000002</v>
      </c>
    </row>
    <row r="492" spans="1:9" x14ac:dyDescent="0.25">
      <c r="A492" t="s">
        <v>1449</v>
      </c>
      <c r="B492" t="s">
        <v>771</v>
      </c>
      <c r="C492">
        <v>94</v>
      </c>
      <c r="D492" t="s">
        <v>957</v>
      </c>
      <c r="E492">
        <v>122</v>
      </c>
      <c r="F492" s="36">
        <v>95.74</v>
      </c>
      <c r="G492">
        <v>5</v>
      </c>
      <c r="H49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492" s="37">
        <f>Tableau2[[#This Row],[Facture_Mensuelle $]]*Tableau2[[#This Row],[Remise taux]]</f>
        <v>0</v>
      </c>
    </row>
    <row r="493" spans="1:9" x14ac:dyDescent="0.25">
      <c r="A493" t="s">
        <v>1450</v>
      </c>
      <c r="B493" t="s">
        <v>779</v>
      </c>
      <c r="C493">
        <v>66</v>
      </c>
      <c r="D493" t="s">
        <v>955</v>
      </c>
      <c r="E493">
        <v>152</v>
      </c>
      <c r="F493" s="36">
        <v>95.71</v>
      </c>
      <c r="G493">
        <v>3</v>
      </c>
      <c r="H49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493" s="37">
        <f>Tableau2[[#This Row],[Facture_Mensuelle $]]*Tableau2[[#This Row],[Remise taux]]</f>
        <v>0</v>
      </c>
    </row>
    <row r="494" spans="1:9" x14ac:dyDescent="0.25">
      <c r="A494" t="s">
        <v>1451</v>
      </c>
      <c r="B494" t="s">
        <v>773</v>
      </c>
      <c r="C494">
        <v>114</v>
      </c>
      <c r="D494" t="s">
        <v>955</v>
      </c>
      <c r="E494">
        <v>220</v>
      </c>
      <c r="F494" s="36">
        <v>63.67</v>
      </c>
      <c r="G494">
        <v>5</v>
      </c>
      <c r="H49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494" s="37">
        <f>Tableau2[[#This Row],[Facture_Mensuelle $]]*Tableau2[[#This Row],[Remise taux]]</f>
        <v>0</v>
      </c>
    </row>
    <row r="495" spans="1:9" x14ac:dyDescent="0.25">
      <c r="A495" t="s">
        <v>1452</v>
      </c>
      <c r="B495" t="s">
        <v>763</v>
      </c>
      <c r="C495">
        <v>36</v>
      </c>
      <c r="D495" t="s">
        <v>953</v>
      </c>
      <c r="E495">
        <v>311</v>
      </c>
      <c r="F495" s="36">
        <v>13.19</v>
      </c>
      <c r="G495">
        <v>4</v>
      </c>
      <c r="H49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5.9355000000000002</v>
      </c>
      <c r="I495" s="37">
        <f>Tableau2[[#This Row],[Facture_Mensuelle $]]*Tableau2[[#This Row],[Remise taux]]</f>
        <v>78.289244999999994</v>
      </c>
    </row>
    <row r="496" spans="1:9" x14ac:dyDescent="0.25">
      <c r="A496" t="s">
        <v>1453</v>
      </c>
      <c r="B496" t="s">
        <v>763</v>
      </c>
      <c r="C496">
        <v>94</v>
      </c>
      <c r="D496" t="s">
        <v>957</v>
      </c>
      <c r="E496">
        <v>115</v>
      </c>
      <c r="F496" s="36">
        <v>19.12</v>
      </c>
      <c r="G496">
        <v>0</v>
      </c>
      <c r="H49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496" s="37">
        <f>Tableau2[[#This Row],[Facture_Mensuelle $]]*Tableau2[[#This Row],[Remise taux]]</f>
        <v>0</v>
      </c>
    </row>
    <row r="497" spans="1:9" x14ac:dyDescent="0.25">
      <c r="A497" t="s">
        <v>1454</v>
      </c>
      <c r="B497" t="s">
        <v>783</v>
      </c>
      <c r="C497">
        <v>65</v>
      </c>
      <c r="D497" t="s">
        <v>961</v>
      </c>
      <c r="E497">
        <v>397</v>
      </c>
      <c r="F497" s="36">
        <v>22.6</v>
      </c>
      <c r="G497">
        <v>5</v>
      </c>
      <c r="H49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10.170000000000002</v>
      </c>
      <c r="I497" s="37">
        <f>Tableau2[[#This Row],[Facture_Mensuelle $]]*Tableau2[[#This Row],[Remise taux]]</f>
        <v>229.84200000000004</v>
      </c>
    </row>
    <row r="498" spans="1:9" x14ac:dyDescent="0.25">
      <c r="A498" t="s">
        <v>1455</v>
      </c>
      <c r="B498" t="s">
        <v>781</v>
      </c>
      <c r="C498">
        <v>118</v>
      </c>
      <c r="D498" t="s">
        <v>957</v>
      </c>
      <c r="E498">
        <v>489</v>
      </c>
      <c r="F498" s="36">
        <v>76.22</v>
      </c>
      <c r="G498">
        <v>2</v>
      </c>
      <c r="H49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34.298999999999999</v>
      </c>
      <c r="I498" s="37">
        <f>Tableau2[[#This Row],[Facture_Mensuelle $]]*Tableau2[[#This Row],[Remise taux]]</f>
        <v>2614.2697800000001</v>
      </c>
    </row>
    <row r="499" spans="1:9" x14ac:dyDescent="0.25">
      <c r="A499" t="s">
        <v>1456</v>
      </c>
      <c r="B499" t="s">
        <v>782</v>
      </c>
      <c r="C499">
        <v>23</v>
      </c>
      <c r="D499" t="s">
        <v>961</v>
      </c>
      <c r="E499">
        <v>314</v>
      </c>
      <c r="F499" s="36">
        <v>19.260000000000002</v>
      </c>
      <c r="G499">
        <v>3</v>
      </c>
      <c r="H49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8.6670000000000016</v>
      </c>
      <c r="I499" s="37">
        <f>Tableau2[[#This Row],[Facture_Mensuelle $]]*Tableau2[[#This Row],[Remise taux]]</f>
        <v>166.92642000000004</v>
      </c>
    </row>
    <row r="500" spans="1:9" x14ac:dyDescent="0.25">
      <c r="A500" t="s">
        <v>1457</v>
      </c>
      <c r="B500" t="s">
        <v>763</v>
      </c>
      <c r="C500">
        <v>85</v>
      </c>
      <c r="D500" t="s">
        <v>955</v>
      </c>
      <c r="E500">
        <v>60</v>
      </c>
      <c r="F500" s="36">
        <v>26.3</v>
      </c>
      <c r="G500">
        <v>2</v>
      </c>
      <c r="H50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00" s="37">
        <f>Tableau2[[#This Row],[Facture_Mensuelle $]]*Tableau2[[#This Row],[Remise taux]]</f>
        <v>0</v>
      </c>
    </row>
    <row r="501" spans="1:9" x14ac:dyDescent="0.25">
      <c r="A501" t="s">
        <v>1458</v>
      </c>
      <c r="B501" t="s">
        <v>776</v>
      </c>
      <c r="C501">
        <v>92</v>
      </c>
      <c r="D501" t="s">
        <v>953</v>
      </c>
      <c r="E501">
        <v>6</v>
      </c>
      <c r="F501" s="36">
        <v>77.14</v>
      </c>
      <c r="G501">
        <v>5</v>
      </c>
      <c r="H50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01" s="37">
        <f>Tableau2[[#This Row],[Facture_Mensuelle $]]*Tableau2[[#This Row],[Remise taux]]</f>
        <v>0</v>
      </c>
    </row>
    <row r="502" spans="1:9" x14ac:dyDescent="0.25">
      <c r="A502" t="s">
        <v>1459</v>
      </c>
      <c r="B502" t="s">
        <v>785</v>
      </c>
      <c r="C502">
        <v>117</v>
      </c>
      <c r="D502" t="s">
        <v>957</v>
      </c>
      <c r="E502">
        <v>39</v>
      </c>
      <c r="F502" s="36">
        <v>26.53</v>
      </c>
      <c r="G502">
        <v>1</v>
      </c>
      <c r="H50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02" s="37">
        <f>Tableau2[[#This Row],[Facture_Mensuelle $]]*Tableau2[[#This Row],[Remise taux]]</f>
        <v>0</v>
      </c>
    </row>
    <row r="503" spans="1:9" x14ac:dyDescent="0.25">
      <c r="A503" t="s">
        <v>1460</v>
      </c>
      <c r="B503" t="s">
        <v>783</v>
      </c>
      <c r="C503">
        <v>114</v>
      </c>
      <c r="D503" t="s">
        <v>961</v>
      </c>
      <c r="E503">
        <v>232</v>
      </c>
      <c r="F503" s="36">
        <v>42.2</v>
      </c>
      <c r="G503">
        <v>2</v>
      </c>
      <c r="H50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03" s="37">
        <f>Tableau2[[#This Row],[Facture_Mensuelle $]]*Tableau2[[#This Row],[Remise taux]]</f>
        <v>0</v>
      </c>
    </row>
    <row r="504" spans="1:9" x14ac:dyDescent="0.25">
      <c r="A504" t="s">
        <v>1461</v>
      </c>
      <c r="B504" t="s">
        <v>784</v>
      </c>
      <c r="C504">
        <v>64</v>
      </c>
      <c r="D504" t="s">
        <v>953</v>
      </c>
      <c r="E504">
        <v>250</v>
      </c>
      <c r="F504" s="36">
        <v>56.7</v>
      </c>
      <c r="G504">
        <v>0</v>
      </c>
      <c r="H50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25.515000000000001</v>
      </c>
      <c r="I504" s="37">
        <f>Tableau2[[#This Row],[Facture_Mensuelle $]]*Tableau2[[#This Row],[Remise taux]]</f>
        <v>1446.7005000000001</v>
      </c>
    </row>
    <row r="505" spans="1:9" x14ac:dyDescent="0.25">
      <c r="A505" t="s">
        <v>1462</v>
      </c>
      <c r="B505" t="s">
        <v>762</v>
      </c>
      <c r="C505">
        <v>88</v>
      </c>
      <c r="D505" t="s">
        <v>961</v>
      </c>
      <c r="E505">
        <v>219</v>
      </c>
      <c r="F505" s="36">
        <v>59.15</v>
      </c>
      <c r="G505">
        <v>0</v>
      </c>
      <c r="H50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05" s="37">
        <f>Tableau2[[#This Row],[Facture_Mensuelle $]]*Tableau2[[#This Row],[Remise taux]]</f>
        <v>0</v>
      </c>
    </row>
    <row r="506" spans="1:9" x14ac:dyDescent="0.25">
      <c r="A506" t="s">
        <v>1463</v>
      </c>
      <c r="B506" t="s">
        <v>776</v>
      </c>
      <c r="C506">
        <v>25</v>
      </c>
      <c r="D506" t="s">
        <v>953</v>
      </c>
      <c r="E506">
        <v>131</v>
      </c>
      <c r="F506" s="36">
        <v>67.489999999999995</v>
      </c>
      <c r="G506">
        <v>0</v>
      </c>
      <c r="H50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06" s="37">
        <f>Tableau2[[#This Row],[Facture_Mensuelle $]]*Tableau2[[#This Row],[Remise taux]]</f>
        <v>0</v>
      </c>
    </row>
    <row r="507" spans="1:9" x14ac:dyDescent="0.25">
      <c r="A507" t="s">
        <v>1464</v>
      </c>
      <c r="B507" t="s">
        <v>779</v>
      </c>
      <c r="C507">
        <v>32</v>
      </c>
      <c r="D507" t="s">
        <v>957</v>
      </c>
      <c r="E507">
        <v>405</v>
      </c>
      <c r="F507" s="36">
        <v>67.92</v>
      </c>
      <c r="G507">
        <v>3</v>
      </c>
      <c r="H50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30.564</v>
      </c>
      <c r="I507" s="37">
        <f>Tableau2[[#This Row],[Facture_Mensuelle $]]*Tableau2[[#This Row],[Remise taux]]</f>
        <v>2075.90688</v>
      </c>
    </row>
    <row r="508" spans="1:9" x14ac:dyDescent="0.25">
      <c r="A508" t="s">
        <v>1465</v>
      </c>
      <c r="B508" t="s">
        <v>766</v>
      </c>
      <c r="C508">
        <v>41</v>
      </c>
      <c r="D508" t="s">
        <v>953</v>
      </c>
      <c r="E508">
        <v>2</v>
      </c>
      <c r="F508" s="36">
        <v>24.91</v>
      </c>
      <c r="G508">
        <v>1</v>
      </c>
      <c r="H50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08" s="37">
        <f>Tableau2[[#This Row],[Facture_Mensuelle $]]*Tableau2[[#This Row],[Remise taux]]</f>
        <v>0</v>
      </c>
    </row>
    <row r="509" spans="1:9" x14ac:dyDescent="0.25">
      <c r="A509" t="s">
        <v>1466</v>
      </c>
      <c r="B509" t="s">
        <v>771</v>
      </c>
      <c r="C509">
        <v>103</v>
      </c>
      <c r="D509" t="s">
        <v>961</v>
      </c>
      <c r="E509">
        <v>354</v>
      </c>
      <c r="F509" s="36">
        <v>26.19</v>
      </c>
      <c r="G509">
        <v>4</v>
      </c>
      <c r="H50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11.785500000000001</v>
      </c>
      <c r="I509" s="37">
        <f>Tableau2[[#This Row],[Facture_Mensuelle $]]*Tableau2[[#This Row],[Remise taux]]</f>
        <v>308.66224500000004</v>
      </c>
    </row>
    <row r="510" spans="1:9" x14ac:dyDescent="0.25">
      <c r="A510" t="s">
        <v>1467</v>
      </c>
      <c r="B510" t="s">
        <v>765</v>
      </c>
      <c r="C510">
        <v>108</v>
      </c>
      <c r="D510" t="s">
        <v>961</v>
      </c>
      <c r="E510">
        <v>323</v>
      </c>
      <c r="F510" s="36">
        <v>58.54</v>
      </c>
      <c r="G510">
        <v>2</v>
      </c>
      <c r="H51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26.343</v>
      </c>
      <c r="I510" s="37">
        <f>Tableau2[[#This Row],[Facture_Mensuelle $]]*Tableau2[[#This Row],[Remise taux]]</f>
        <v>1542.11922</v>
      </c>
    </row>
    <row r="511" spans="1:9" x14ac:dyDescent="0.25">
      <c r="A511" t="s">
        <v>1468</v>
      </c>
      <c r="B511" t="s">
        <v>782</v>
      </c>
      <c r="C511">
        <v>111</v>
      </c>
      <c r="D511" t="s">
        <v>957</v>
      </c>
      <c r="E511">
        <v>54</v>
      </c>
      <c r="F511" s="36">
        <v>71.3</v>
      </c>
      <c r="G511">
        <v>0</v>
      </c>
      <c r="H51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11" s="37">
        <f>Tableau2[[#This Row],[Facture_Mensuelle $]]*Tableau2[[#This Row],[Remise taux]]</f>
        <v>0</v>
      </c>
    </row>
    <row r="512" spans="1:9" x14ac:dyDescent="0.25">
      <c r="A512" t="s">
        <v>1469</v>
      </c>
      <c r="B512" t="s">
        <v>767</v>
      </c>
      <c r="C512">
        <v>6</v>
      </c>
      <c r="D512" t="s">
        <v>953</v>
      </c>
      <c r="E512">
        <v>6</v>
      </c>
      <c r="F512" s="36">
        <v>72.27</v>
      </c>
      <c r="G512">
        <v>4</v>
      </c>
      <c r="H51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12" s="37">
        <f>Tableau2[[#This Row],[Facture_Mensuelle $]]*Tableau2[[#This Row],[Remise taux]]</f>
        <v>0</v>
      </c>
    </row>
    <row r="513" spans="1:9" x14ac:dyDescent="0.25">
      <c r="A513" t="s">
        <v>1470</v>
      </c>
      <c r="B513" t="s">
        <v>766</v>
      </c>
      <c r="C513">
        <v>81</v>
      </c>
      <c r="D513" t="s">
        <v>955</v>
      </c>
      <c r="E513">
        <v>443</v>
      </c>
      <c r="F513" s="36">
        <v>32.78</v>
      </c>
      <c r="G513">
        <v>1</v>
      </c>
      <c r="H51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14.751000000000001</v>
      </c>
      <c r="I513" s="37">
        <f>Tableau2[[#This Row],[Facture_Mensuelle $]]*Tableau2[[#This Row],[Remise taux]]</f>
        <v>483.53778000000005</v>
      </c>
    </row>
    <row r="514" spans="1:9" x14ac:dyDescent="0.25">
      <c r="A514" t="s">
        <v>1471</v>
      </c>
      <c r="B514" t="s">
        <v>762</v>
      </c>
      <c r="C514">
        <v>86</v>
      </c>
      <c r="D514" t="s">
        <v>955</v>
      </c>
      <c r="E514">
        <v>192</v>
      </c>
      <c r="F514" s="36">
        <v>26.26</v>
      </c>
      <c r="G514">
        <v>1</v>
      </c>
      <c r="H51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14" s="37">
        <f>Tableau2[[#This Row],[Facture_Mensuelle $]]*Tableau2[[#This Row],[Remise taux]]</f>
        <v>0</v>
      </c>
    </row>
    <row r="515" spans="1:9" x14ac:dyDescent="0.25">
      <c r="A515" t="s">
        <v>1472</v>
      </c>
      <c r="B515" t="s">
        <v>782</v>
      </c>
      <c r="C515">
        <v>60</v>
      </c>
      <c r="D515" t="s">
        <v>957</v>
      </c>
      <c r="E515">
        <v>54</v>
      </c>
      <c r="F515" s="36">
        <v>67.180000000000007</v>
      </c>
      <c r="G515">
        <v>3</v>
      </c>
      <c r="H51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15" s="37">
        <f>Tableau2[[#This Row],[Facture_Mensuelle $]]*Tableau2[[#This Row],[Remise taux]]</f>
        <v>0</v>
      </c>
    </row>
    <row r="516" spans="1:9" x14ac:dyDescent="0.25">
      <c r="A516" t="s">
        <v>1473</v>
      </c>
      <c r="B516" t="s">
        <v>784</v>
      </c>
      <c r="C516">
        <v>49</v>
      </c>
      <c r="D516" t="s">
        <v>961</v>
      </c>
      <c r="E516">
        <v>357</v>
      </c>
      <c r="F516" s="36">
        <v>96.67</v>
      </c>
      <c r="G516">
        <v>3</v>
      </c>
      <c r="H51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43.5015</v>
      </c>
      <c r="I516" s="37">
        <f>Tableau2[[#This Row],[Facture_Mensuelle $]]*Tableau2[[#This Row],[Remise taux]]</f>
        <v>4205.2900049999998</v>
      </c>
    </row>
    <row r="517" spans="1:9" x14ac:dyDescent="0.25">
      <c r="A517" t="s">
        <v>1474</v>
      </c>
      <c r="B517" t="s">
        <v>784</v>
      </c>
      <c r="C517">
        <v>69</v>
      </c>
      <c r="D517" t="s">
        <v>953</v>
      </c>
      <c r="E517">
        <v>180</v>
      </c>
      <c r="F517" s="36">
        <v>76.05</v>
      </c>
      <c r="G517">
        <v>2</v>
      </c>
      <c r="H51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17" s="37">
        <f>Tableau2[[#This Row],[Facture_Mensuelle $]]*Tableau2[[#This Row],[Remise taux]]</f>
        <v>0</v>
      </c>
    </row>
    <row r="518" spans="1:9" x14ac:dyDescent="0.25">
      <c r="A518" t="s">
        <v>1475</v>
      </c>
      <c r="B518" t="s">
        <v>782</v>
      </c>
      <c r="C518">
        <v>87</v>
      </c>
      <c r="D518" t="s">
        <v>955</v>
      </c>
      <c r="E518">
        <v>442</v>
      </c>
      <c r="F518" s="36">
        <v>22.39</v>
      </c>
      <c r="G518">
        <v>3</v>
      </c>
      <c r="H51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10.0755</v>
      </c>
      <c r="I518" s="37">
        <f>Tableau2[[#This Row],[Facture_Mensuelle $]]*Tableau2[[#This Row],[Remise taux]]</f>
        <v>225.59044500000002</v>
      </c>
    </row>
    <row r="519" spans="1:9" x14ac:dyDescent="0.25">
      <c r="A519" t="s">
        <v>1476</v>
      </c>
      <c r="B519" t="s">
        <v>784</v>
      </c>
      <c r="C519">
        <v>58</v>
      </c>
      <c r="D519" t="s">
        <v>953</v>
      </c>
      <c r="E519">
        <v>293</v>
      </c>
      <c r="F519" s="36">
        <v>88.85</v>
      </c>
      <c r="G519">
        <v>5</v>
      </c>
      <c r="H51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39.982500000000002</v>
      </c>
      <c r="I519" s="37">
        <f>Tableau2[[#This Row],[Facture_Mensuelle $]]*Tableau2[[#This Row],[Remise taux]]</f>
        <v>3552.4451249999997</v>
      </c>
    </row>
    <row r="520" spans="1:9" x14ac:dyDescent="0.25">
      <c r="A520" t="s">
        <v>1477</v>
      </c>
      <c r="B520" t="s">
        <v>768</v>
      </c>
      <c r="C520">
        <v>85</v>
      </c>
      <c r="D520" t="s">
        <v>955</v>
      </c>
      <c r="E520">
        <v>28</v>
      </c>
      <c r="F520" s="36">
        <v>83.82</v>
      </c>
      <c r="G520">
        <v>0</v>
      </c>
      <c r="H52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20" s="37">
        <f>Tableau2[[#This Row],[Facture_Mensuelle $]]*Tableau2[[#This Row],[Remise taux]]</f>
        <v>0</v>
      </c>
    </row>
    <row r="521" spans="1:9" x14ac:dyDescent="0.25">
      <c r="A521" t="s">
        <v>1478</v>
      </c>
      <c r="B521" t="s">
        <v>773</v>
      </c>
      <c r="C521">
        <v>117</v>
      </c>
      <c r="D521" t="s">
        <v>953</v>
      </c>
      <c r="E521">
        <v>85</v>
      </c>
      <c r="F521" s="36">
        <v>46.16</v>
      </c>
      <c r="G521">
        <v>3</v>
      </c>
      <c r="H52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21" s="37">
        <f>Tableau2[[#This Row],[Facture_Mensuelle $]]*Tableau2[[#This Row],[Remise taux]]</f>
        <v>0</v>
      </c>
    </row>
    <row r="522" spans="1:9" x14ac:dyDescent="0.25">
      <c r="A522" t="s">
        <v>1479</v>
      </c>
      <c r="B522" t="s">
        <v>774</v>
      </c>
      <c r="C522">
        <v>4</v>
      </c>
      <c r="D522" t="s">
        <v>955</v>
      </c>
      <c r="E522">
        <v>372</v>
      </c>
      <c r="F522" s="36">
        <v>26.73</v>
      </c>
      <c r="G522">
        <v>3</v>
      </c>
      <c r="H52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12.028500000000001</v>
      </c>
      <c r="I522" s="37">
        <f>Tableau2[[#This Row],[Facture_Mensuelle $]]*Tableau2[[#This Row],[Remise taux]]</f>
        <v>321.52180500000003</v>
      </c>
    </row>
    <row r="523" spans="1:9" x14ac:dyDescent="0.25">
      <c r="A523" t="s">
        <v>1480</v>
      </c>
      <c r="B523" t="s">
        <v>785</v>
      </c>
      <c r="C523">
        <v>97</v>
      </c>
      <c r="D523" t="s">
        <v>953</v>
      </c>
      <c r="E523">
        <v>173</v>
      </c>
      <c r="F523" s="36">
        <v>19.37</v>
      </c>
      <c r="G523">
        <v>5</v>
      </c>
      <c r="H52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23" s="37">
        <f>Tableau2[[#This Row],[Facture_Mensuelle $]]*Tableau2[[#This Row],[Remise taux]]</f>
        <v>0</v>
      </c>
    </row>
    <row r="524" spans="1:9" x14ac:dyDescent="0.25">
      <c r="A524" t="s">
        <v>1481</v>
      </c>
      <c r="B524" t="s">
        <v>778</v>
      </c>
      <c r="C524">
        <v>33</v>
      </c>
      <c r="D524" t="s">
        <v>953</v>
      </c>
      <c r="E524">
        <v>273</v>
      </c>
      <c r="F524" s="36">
        <v>49.8</v>
      </c>
      <c r="G524">
        <v>0</v>
      </c>
      <c r="H52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22.41</v>
      </c>
      <c r="I524" s="37">
        <f>Tableau2[[#This Row],[Facture_Mensuelle $]]*Tableau2[[#This Row],[Remise taux]]</f>
        <v>1116.018</v>
      </c>
    </row>
    <row r="525" spans="1:9" x14ac:dyDescent="0.25">
      <c r="A525" t="s">
        <v>1482</v>
      </c>
      <c r="B525" t="s">
        <v>785</v>
      </c>
      <c r="C525">
        <v>41</v>
      </c>
      <c r="D525" t="s">
        <v>961</v>
      </c>
      <c r="E525">
        <v>383</v>
      </c>
      <c r="F525" s="36">
        <v>27.53</v>
      </c>
      <c r="G525">
        <v>4</v>
      </c>
      <c r="H52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12.388500000000001</v>
      </c>
      <c r="I525" s="37">
        <f>Tableau2[[#This Row],[Facture_Mensuelle $]]*Tableau2[[#This Row],[Remise taux]]</f>
        <v>341.05540500000001</v>
      </c>
    </row>
    <row r="526" spans="1:9" x14ac:dyDescent="0.25">
      <c r="A526" t="s">
        <v>1483</v>
      </c>
      <c r="B526" t="s">
        <v>770</v>
      </c>
      <c r="C526">
        <v>77</v>
      </c>
      <c r="D526" t="s">
        <v>957</v>
      </c>
      <c r="E526">
        <v>45</v>
      </c>
      <c r="F526" s="36">
        <v>21.59</v>
      </c>
      <c r="G526">
        <v>2</v>
      </c>
      <c r="H52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26" s="37">
        <f>Tableau2[[#This Row],[Facture_Mensuelle $]]*Tableau2[[#This Row],[Remise taux]]</f>
        <v>0</v>
      </c>
    </row>
    <row r="527" spans="1:9" x14ac:dyDescent="0.25">
      <c r="A527" t="s">
        <v>1484</v>
      </c>
      <c r="B527" t="s">
        <v>764</v>
      </c>
      <c r="C527">
        <v>2</v>
      </c>
      <c r="D527" t="s">
        <v>953</v>
      </c>
      <c r="E527">
        <v>142</v>
      </c>
      <c r="F527" s="36">
        <v>49.05</v>
      </c>
      <c r="G527">
        <v>4</v>
      </c>
      <c r="H52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27" s="37">
        <f>Tableau2[[#This Row],[Facture_Mensuelle $]]*Tableau2[[#This Row],[Remise taux]]</f>
        <v>0</v>
      </c>
    </row>
    <row r="528" spans="1:9" x14ac:dyDescent="0.25">
      <c r="A528" t="s">
        <v>1485</v>
      </c>
      <c r="B528" t="s">
        <v>775</v>
      </c>
      <c r="C528">
        <v>13</v>
      </c>
      <c r="D528" t="s">
        <v>957</v>
      </c>
      <c r="E528">
        <v>310</v>
      </c>
      <c r="F528" s="36">
        <v>65.599999999999994</v>
      </c>
      <c r="G528">
        <v>5</v>
      </c>
      <c r="H52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29.52</v>
      </c>
      <c r="I528" s="37">
        <f>Tableau2[[#This Row],[Facture_Mensuelle $]]*Tableau2[[#This Row],[Remise taux]]</f>
        <v>1936.5119999999997</v>
      </c>
    </row>
    <row r="529" spans="1:9" x14ac:dyDescent="0.25">
      <c r="A529" t="s">
        <v>1486</v>
      </c>
      <c r="B529" t="s">
        <v>776</v>
      </c>
      <c r="C529">
        <v>78</v>
      </c>
      <c r="D529" t="s">
        <v>953</v>
      </c>
      <c r="E529">
        <v>57</v>
      </c>
      <c r="F529" s="36">
        <v>49.47</v>
      </c>
      <c r="G529">
        <v>0</v>
      </c>
      <c r="H52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29" s="37">
        <f>Tableau2[[#This Row],[Facture_Mensuelle $]]*Tableau2[[#This Row],[Remise taux]]</f>
        <v>0</v>
      </c>
    </row>
    <row r="530" spans="1:9" x14ac:dyDescent="0.25">
      <c r="A530" t="s">
        <v>1487</v>
      </c>
      <c r="B530" t="s">
        <v>765</v>
      </c>
      <c r="C530">
        <v>90</v>
      </c>
      <c r="D530" t="s">
        <v>957</v>
      </c>
      <c r="E530">
        <v>343</v>
      </c>
      <c r="F530" s="36">
        <v>82.05</v>
      </c>
      <c r="G530">
        <v>1</v>
      </c>
      <c r="H53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36.922499999999999</v>
      </c>
      <c r="I530" s="37">
        <f>Tableau2[[#This Row],[Facture_Mensuelle $]]*Tableau2[[#This Row],[Remise taux]]</f>
        <v>3029.491125</v>
      </c>
    </row>
    <row r="531" spans="1:9" x14ac:dyDescent="0.25">
      <c r="A531" t="s">
        <v>1488</v>
      </c>
      <c r="B531" t="s">
        <v>767</v>
      </c>
      <c r="C531">
        <v>96</v>
      </c>
      <c r="D531" t="s">
        <v>957</v>
      </c>
      <c r="E531">
        <v>210</v>
      </c>
      <c r="F531" s="36">
        <v>28.39</v>
      </c>
      <c r="G531">
        <v>3</v>
      </c>
      <c r="H53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31" s="37">
        <f>Tableau2[[#This Row],[Facture_Mensuelle $]]*Tableau2[[#This Row],[Remise taux]]</f>
        <v>0</v>
      </c>
    </row>
    <row r="532" spans="1:9" x14ac:dyDescent="0.25">
      <c r="A532" t="s">
        <v>1489</v>
      </c>
      <c r="B532" t="s">
        <v>774</v>
      </c>
      <c r="C532">
        <v>12</v>
      </c>
      <c r="D532" t="s">
        <v>961</v>
      </c>
      <c r="E532">
        <v>138</v>
      </c>
      <c r="F532" s="36">
        <v>99.83</v>
      </c>
      <c r="G532">
        <v>1</v>
      </c>
      <c r="H53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44.923499999999997</v>
      </c>
      <c r="I532" s="37">
        <f>Tableau2[[#This Row],[Facture_Mensuelle $]]*Tableau2[[#This Row],[Remise taux]]</f>
        <v>4484.7130049999996</v>
      </c>
    </row>
    <row r="533" spans="1:9" x14ac:dyDescent="0.25">
      <c r="A533" t="s">
        <v>1490</v>
      </c>
      <c r="B533" t="s">
        <v>768</v>
      </c>
      <c r="C533">
        <v>110</v>
      </c>
      <c r="D533" t="s">
        <v>961</v>
      </c>
      <c r="E533">
        <v>51</v>
      </c>
      <c r="F533" s="36">
        <v>56.59</v>
      </c>
      <c r="G533">
        <v>5</v>
      </c>
      <c r="H53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33" s="37">
        <f>Tableau2[[#This Row],[Facture_Mensuelle $]]*Tableau2[[#This Row],[Remise taux]]</f>
        <v>0</v>
      </c>
    </row>
    <row r="534" spans="1:9" x14ac:dyDescent="0.25">
      <c r="A534" t="s">
        <v>1491</v>
      </c>
      <c r="B534" t="s">
        <v>773</v>
      </c>
      <c r="C534">
        <v>111</v>
      </c>
      <c r="D534" t="s">
        <v>961</v>
      </c>
      <c r="E534">
        <v>43</v>
      </c>
      <c r="F534" s="36">
        <v>19.39</v>
      </c>
      <c r="G534">
        <v>3</v>
      </c>
      <c r="H53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34" s="37">
        <f>Tableau2[[#This Row],[Facture_Mensuelle $]]*Tableau2[[#This Row],[Remise taux]]</f>
        <v>0</v>
      </c>
    </row>
    <row r="535" spans="1:9" x14ac:dyDescent="0.25">
      <c r="A535" t="s">
        <v>1492</v>
      </c>
      <c r="B535" t="s">
        <v>768</v>
      </c>
      <c r="C535">
        <v>55</v>
      </c>
      <c r="D535" t="s">
        <v>955</v>
      </c>
      <c r="E535">
        <v>389</v>
      </c>
      <c r="F535" s="36">
        <v>67.430000000000007</v>
      </c>
      <c r="G535">
        <v>3</v>
      </c>
      <c r="H53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30.343500000000002</v>
      </c>
      <c r="I535" s="37">
        <f>Tableau2[[#This Row],[Facture_Mensuelle $]]*Tableau2[[#This Row],[Remise taux]]</f>
        <v>2046.0622050000004</v>
      </c>
    </row>
    <row r="536" spans="1:9" x14ac:dyDescent="0.25">
      <c r="A536" t="s">
        <v>1493</v>
      </c>
      <c r="B536" t="s">
        <v>785</v>
      </c>
      <c r="C536">
        <v>13</v>
      </c>
      <c r="D536" t="s">
        <v>955</v>
      </c>
      <c r="E536">
        <v>474</v>
      </c>
      <c r="F536" s="36">
        <v>63.67</v>
      </c>
      <c r="G536">
        <v>2</v>
      </c>
      <c r="H53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28.651500000000002</v>
      </c>
      <c r="I536" s="37">
        <f>Tableau2[[#This Row],[Facture_Mensuelle $]]*Tableau2[[#This Row],[Remise taux]]</f>
        <v>1824.2410050000001</v>
      </c>
    </row>
    <row r="537" spans="1:9" x14ac:dyDescent="0.25">
      <c r="A537" t="s">
        <v>1494</v>
      </c>
      <c r="B537" t="s">
        <v>765</v>
      </c>
      <c r="C537">
        <v>43</v>
      </c>
      <c r="D537" t="s">
        <v>957</v>
      </c>
      <c r="E537">
        <v>26</v>
      </c>
      <c r="F537" s="36">
        <v>25.85</v>
      </c>
      <c r="G537">
        <v>1</v>
      </c>
      <c r="H53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37" s="37">
        <f>Tableau2[[#This Row],[Facture_Mensuelle $]]*Tableau2[[#This Row],[Remise taux]]</f>
        <v>0</v>
      </c>
    </row>
    <row r="538" spans="1:9" x14ac:dyDescent="0.25">
      <c r="A538" t="s">
        <v>1495</v>
      </c>
      <c r="B538" t="s">
        <v>767</v>
      </c>
      <c r="C538">
        <v>63</v>
      </c>
      <c r="D538" t="s">
        <v>961</v>
      </c>
      <c r="E538">
        <v>177</v>
      </c>
      <c r="F538" s="36">
        <v>77.73</v>
      </c>
      <c r="G538">
        <v>3</v>
      </c>
      <c r="H53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38" s="37">
        <f>Tableau2[[#This Row],[Facture_Mensuelle $]]*Tableau2[[#This Row],[Remise taux]]</f>
        <v>0</v>
      </c>
    </row>
    <row r="539" spans="1:9" x14ac:dyDescent="0.25">
      <c r="A539" t="s">
        <v>1496</v>
      </c>
      <c r="B539" t="s">
        <v>777</v>
      </c>
      <c r="C539">
        <v>7</v>
      </c>
      <c r="D539" t="s">
        <v>961</v>
      </c>
      <c r="E539">
        <v>206</v>
      </c>
      <c r="F539" s="36">
        <v>78.09</v>
      </c>
      <c r="G539">
        <v>3</v>
      </c>
      <c r="H53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35.140500000000003</v>
      </c>
      <c r="I539" s="37">
        <f>Tableau2[[#This Row],[Facture_Mensuelle $]]*Tableau2[[#This Row],[Remise taux]]</f>
        <v>2744.1216450000002</v>
      </c>
    </row>
    <row r="540" spans="1:9" x14ac:dyDescent="0.25">
      <c r="A540" t="s">
        <v>1497</v>
      </c>
      <c r="B540" t="s">
        <v>776</v>
      </c>
      <c r="C540">
        <v>117</v>
      </c>
      <c r="D540" t="s">
        <v>957</v>
      </c>
      <c r="E540">
        <v>171</v>
      </c>
      <c r="F540" s="36">
        <v>50.89</v>
      </c>
      <c r="G540">
        <v>4</v>
      </c>
      <c r="H54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40" s="37">
        <f>Tableau2[[#This Row],[Facture_Mensuelle $]]*Tableau2[[#This Row],[Remise taux]]</f>
        <v>0</v>
      </c>
    </row>
    <row r="541" spans="1:9" x14ac:dyDescent="0.25">
      <c r="A541" t="s">
        <v>1498</v>
      </c>
      <c r="B541" t="s">
        <v>772</v>
      </c>
      <c r="C541">
        <v>57</v>
      </c>
      <c r="D541" t="s">
        <v>953</v>
      </c>
      <c r="E541">
        <v>447</v>
      </c>
      <c r="F541" s="36">
        <v>23.27</v>
      </c>
      <c r="G541">
        <v>3</v>
      </c>
      <c r="H54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10.471500000000001</v>
      </c>
      <c r="I541" s="37">
        <f>Tableau2[[#This Row],[Facture_Mensuelle $]]*Tableau2[[#This Row],[Remise taux]]</f>
        <v>243.67180500000001</v>
      </c>
    </row>
    <row r="542" spans="1:9" x14ac:dyDescent="0.25">
      <c r="A542" t="s">
        <v>1499</v>
      </c>
      <c r="B542" t="s">
        <v>776</v>
      </c>
      <c r="C542">
        <v>102</v>
      </c>
      <c r="D542" t="s">
        <v>953</v>
      </c>
      <c r="E542">
        <v>484</v>
      </c>
      <c r="F542" s="36">
        <v>64.22</v>
      </c>
      <c r="G542">
        <v>2</v>
      </c>
      <c r="H54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28.899000000000001</v>
      </c>
      <c r="I542" s="37">
        <f>Tableau2[[#This Row],[Facture_Mensuelle $]]*Tableau2[[#This Row],[Remise taux]]</f>
        <v>1855.8937800000001</v>
      </c>
    </row>
    <row r="543" spans="1:9" x14ac:dyDescent="0.25">
      <c r="A543" t="s">
        <v>1500</v>
      </c>
      <c r="B543" t="s">
        <v>769</v>
      </c>
      <c r="C543">
        <v>67</v>
      </c>
      <c r="D543" t="s">
        <v>955</v>
      </c>
      <c r="E543">
        <v>26</v>
      </c>
      <c r="F543" s="36">
        <v>81.489999999999995</v>
      </c>
      <c r="G543">
        <v>4</v>
      </c>
      <c r="H54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43" s="37">
        <f>Tableau2[[#This Row],[Facture_Mensuelle $]]*Tableau2[[#This Row],[Remise taux]]</f>
        <v>0</v>
      </c>
    </row>
    <row r="544" spans="1:9" x14ac:dyDescent="0.25">
      <c r="A544" t="s">
        <v>1501</v>
      </c>
      <c r="B544" t="s">
        <v>774</v>
      </c>
      <c r="C544">
        <v>71</v>
      </c>
      <c r="D544" t="s">
        <v>961</v>
      </c>
      <c r="E544">
        <v>15</v>
      </c>
      <c r="F544" s="36">
        <v>25.46</v>
      </c>
      <c r="G544">
        <v>5</v>
      </c>
      <c r="H54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44" s="37">
        <f>Tableau2[[#This Row],[Facture_Mensuelle $]]*Tableau2[[#This Row],[Remise taux]]</f>
        <v>0</v>
      </c>
    </row>
    <row r="545" spans="1:9" x14ac:dyDescent="0.25">
      <c r="A545" t="s">
        <v>1502</v>
      </c>
      <c r="B545" t="s">
        <v>775</v>
      </c>
      <c r="C545">
        <v>10</v>
      </c>
      <c r="D545" t="s">
        <v>957</v>
      </c>
      <c r="E545">
        <v>260</v>
      </c>
      <c r="F545" s="36">
        <v>37.479999999999997</v>
      </c>
      <c r="G545">
        <v>2</v>
      </c>
      <c r="H54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16.866</v>
      </c>
      <c r="I545" s="37">
        <f>Tableau2[[#This Row],[Facture_Mensuelle $]]*Tableau2[[#This Row],[Remise taux]]</f>
        <v>632.13767999999993</v>
      </c>
    </row>
    <row r="546" spans="1:9" x14ac:dyDescent="0.25">
      <c r="A546" t="s">
        <v>1503</v>
      </c>
      <c r="B546" t="s">
        <v>780</v>
      </c>
      <c r="C546">
        <v>38</v>
      </c>
      <c r="D546" t="s">
        <v>953</v>
      </c>
      <c r="E546">
        <v>108</v>
      </c>
      <c r="F546" s="36">
        <v>72.7</v>
      </c>
      <c r="G546">
        <v>3</v>
      </c>
      <c r="H54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46" s="37">
        <f>Tableau2[[#This Row],[Facture_Mensuelle $]]*Tableau2[[#This Row],[Remise taux]]</f>
        <v>0</v>
      </c>
    </row>
    <row r="547" spans="1:9" x14ac:dyDescent="0.25">
      <c r="A547" t="s">
        <v>1504</v>
      </c>
      <c r="B547" t="s">
        <v>772</v>
      </c>
      <c r="C547">
        <v>59</v>
      </c>
      <c r="D547" t="s">
        <v>953</v>
      </c>
      <c r="E547">
        <v>150</v>
      </c>
      <c r="F547" s="36">
        <v>71.13</v>
      </c>
      <c r="G547">
        <v>0</v>
      </c>
      <c r="H54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47" s="37">
        <f>Tableau2[[#This Row],[Facture_Mensuelle $]]*Tableau2[[#This Row],[Remise taux]]</f>
        <v>0</v>
      </c>
    </row>
    <row r="548" spans="1:9" x14ac:dyDescent="0.25">
      <c r="A548" t="s">
        <v>1505</v>
      </c>
      <c r="B548" t="s">
        <v>785</v>
      </c>
      <c r="C548">
        <v>58</v>
      </c>
      <c r="D548" t="s">
        <v>953</v>
      </c>
      <c r="E548">
        <v>423</v>
      </c>
      <c r="F548" s="36">
        <v>80.459999999999994</v>
      </c>
      <c r="G548">
        <v>0</v>
      </c>
      <c r="H54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36.207000000000001</v>
      </c>
      <c r="I548" s="37">
        <f>Tableau2[[#This Row],[Facture_Mensuelle $]]*Tableau2[[#This Row],[Remise taux]]</f>
        <v>2913.21522</v>
      </c>
    </row>
    <row r="549" spans="1:9" x14ac:dyDescent="0.25">
      <c r="A549" t="s">
        <v>1506</v>
      </c>
      <c r="B549" t="s">
        <v>762</v>
      </c>
      <c r="C549">
        <v>36</v>
      </c>
      <c r="D549" t="s">
        <v>953</v>
      </c>
      <c r="E549">
        <v>491</v>
      </c>
      <c r="F549" s="36">
        <v>12.13</v>
      </c>
      <c r="G549">
        <v>4</v>
      </c>
      <c r="H54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5.4585000000000008</v>
      </c>
      <c r="I549" s="37">
        <f>Tableau2[[#This Row],[Facture_Mensuelle $]]*Tableau2[[#This Row],[Remise taux]]</f>
        <v>66.21160500000002</v>
      </c>
    </row>
    <row r="550" spans="1:9" x14ac:dyDescent="0.25">
      <c r="A550" t="s">
        <v>1507</v>
      </c>
      <c r="B550" t="s">
        <v>783</v>
      </c>
      <c r="C550">
        <v>111</v>
      </c>
      <c r="D550" t="s">
        <v>961</v>
      </c>
      <c r="E550">
        <v>304</v>
      </c>
      <c r="F550" s="36">
        <v>62.48</v>
      </c>
      <c r="G550">
        <v>5</v>
      </c>
      <c r="H55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28.116</v>
      </c>
      <c r="I550" s="37">
        <f>Tableau2[[#This Row],[Facture_Mensuelle $]]*Tableau2[[#This Row],[Remise taux]]</f>
        <v>1756.68768</v>
      </c>
    </row>
    <row r="551" spans="1:9" x14ac:dyDescent="0.25">
      <c r="A551" t="s">
        <v>1508</v>
      </c>
      <c r="B551" t="s">
        <v>766</v>
      </c>
      <c r="C551">
        <v>40</v>
      </c>
      <c r="D551" t="s">
        <v>961</v>
      </c>
      <c r="E551">
        <v>237</v>
      </c>
      <c r="F551" s="36">
        <v>24.51</v>
      </c>
      <c r="G551">
        <v>1</v>
      </c>
      <c r="H55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11.029500000000001</v>
      </c>
      <c r="I551" s="37">
        <f>Tableau2[[#This Row],[Facture_Mensuelle $]]*Tableau2[[#This Row],[Remise taux]]</f>
        <v>270.33304500000003</v>
      </c>
    </row>
    <row r="552" spans="1:9" x14ac:dyDescent="0.25">
      <c r="A552" t="s">
        <v>1509</v>
      </c>
      <c r="B552" t="s">
        <v>777</v>
      </c>
      <c r="C552">
        <v>36</v>
      </c>
      <c r="D552" t="s">
        <v>953</v>
      </c>
      <c r="E552">
        <v>247</v>
      </c>
      <c r="F552" s="36">
        <v>24.53</v>
      </c>
      <c r="G552">
        <v>2</v>
      </c>
      <c r="H55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11.038500000000001</v>
      </c>
      <c r="I552" s="37">
        <f>Tableau2[[#This Row],[Facture_Mensuelle $]]*Tableau2[[#This Row],[Remise taux]]</f>
        <v>270.77440500000006</v>
      </c>
    </row>
    <row r="553" spans="1:9" x14ac:dyDescent="0.25">
      <c r="A553" t="s">
        <v>1510</v>
      </c>
      <c r="B553" t="s">
        <v>785</v>
      </c>
      <c r="C553">
        <v>27</v>
      </c>
      <c r="D553" t="s">
        <v>961</v>
      </c>
      <c r="E553">
        <v>61</v>
      </c>
      <c r="F553" s="36">
        <v>97.51</v>
      </c>
      <c r="G553">
        <v>5</v>
      </c>
      <c r="H55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43.8795</v>
      </c>
      <c r="I553" s="37">
        <f>Tableau2[[#This Row],[Facture_Mensuelle $]]*Tableau2[[#This Row],[Remise taux]]</f>
        <v>4278.6900450000003</v>
      </c>
    </row>
    <row r="554" spans="1:9" x14ac:dyDescent="0.25">
      <c r="A554" t="s">
        <v>1511</v>
      </c>
      <c r="B554" t="s">
        <v>768</v>
      </c>
      <c r="C554">
        <v>64</v>
      </c>
      <c r="D554" t="s">
        <v>955</v>
      </c>
      <c r="E554">
        <v>300</v>
      </c>
      <c r="F554" s="36">
        <v>28.11</v>
      </c>
      <c r="G554">
        <v>2</v>
      </c>
      <c r="H55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12.6495</v>
      </c>
      <c r="I554" s="37">
        <f>Tableau2[[#This Row],[Facture_Mensuelle $]]*Tableau2[[#This Row],[Remise taux]]</f>
        <v>355.57744500000001</v>
      </c>
    </row>
    <row r="555" spans="1:9" x14ac:dyDescent="0.25">
      <c r="A555" t="s">
        <v>1512</v>
      </c>
      <c r="B555" t="s">
        <v>783</v>
      </c>
      <c r="C555">
        <v>102</v>
      </c>
      <c r="D555" t="s">
        <v>953</v>
      </c>
      <c r="E555">
        <v>189</v>
      </c>
      <c r="F555" s="36">
        <v>26.86</v>
      </c>
      <c r="G555">
        <v>5</v>
      </c>
      <c r="H55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55" s="37">
        <f>Tableau2[[#This Row],[Facture_Mensuelle $]]*Tableau2[[#This Row],[Remise taux]]</f>
        <v>0</v>
      </c>
    </row>
    <row r="556" spans="1:9" x14ac:dyDescent="0.25">
      <c r="A556" t="s">
        <v>1513</v>
      </c>
      <c r="B556" t="s">
        <v>771</v>
      </c>
      <c r="C556">
        <v>22</v>
      </c>
      <c r="D556" t="s">
        <v>957</v>
      </c>
      <c r="E556">
        <v>119</v>
      </c>
      <c r="F556" s="36">
        <v>72.86</v>
      </c>
      <c r="G556">
        <v>3</v>
      </c>
      <c r="H55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56" s="37">
        <f>Tableau2[[#This Row],[Facture_Mensuelle $]]*Tableau2[[#This Row],[Remise taux]]</f>
        <v>0</v>
      </c>
    </row>
    <row r="557" spans="1:9" x14ac:dyDescent="0.25">
      <c r="A557" t="s">
        <v>1514</v>
      </c>
      <c r="B557" t="s">
        <v>782</v>
      </c>
      <c r="C557">
        <v>50</v>
      </c>
      <c r="D557" t="s">
        <v>955</v>
      </c>
      <c r="E557">
        <v>430</v>
      </c>
      <c r="F557" s="36">
        <v>20.8</v>
      </c>
      <c r="G557">
        <v>2</v>
      </c>
      <c r="H55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9.3600000000000012</v>
      </c>
      <c r="I557" s="37">
        <f>Tableau2[[#This Row],[Facture_Mensuelle $]]*Tableau2[[#This Row],[Remise taux]]</f>
        <v>194.68800000000005</v>
      </c>
    </row>
    <row r="558" spans="1:9" x14ac:dyDescent="0.25">
      <c r="A558" t="s">
        <v>1515</v>
      </c>
      <c r="B558" t="s">
        <v>785</v>
      </c>
      <c r="C558">
        <v>18</v>
      </c>
      <c r="D558" t="s">
        <v>955</v>
      </c>
      <c r="E558">
        <v>75</v>
      </c>
      <c r="F558" s="36">
        <v>57.66</v>
      </c>
      <c r="G558">
        <v>1</v>
      </c>
      <c r="H55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58" s="37">
        <f>Tableau2[[#This Row],[Facture_Mensuelle $]]*Tableau2[[#This Row],[Remise taux]]</f>
        <v>0</v>
      </c>
    </row>
    <row r="559" spans="1:9" x14ac:dyDescent="0.25">
      <c r="A559" t="s">
        <v>1516</v>
      </c>
      <c r="B559" t="s">
        <v>786</v>
      </c>
      <c r="C559">
        <v>95</v>
      </c>
      <c r="D559" t="s">
        <v>961</v>
      </c>
      <c r="E559">
        <v>148</v>
      </c>
      <c r="F559" s="36" t="s">
        <v>1517</v>
      </c>
      <c r="G559">
        <v>5</v>
      </c>
      <c r="H55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59" s="37">
        <f>Tableau2[[#This Row],[Facture_Mensuelle $]]*Tableau2[[#This Row],[Remise taux]]</f>
        <v>0</v>
      </c>
    </row>
    <row r="560" spans="1:9" x14ac:dyDescent="0.25">
      <c r="A560" t="s">
        <v>1518</v>
      </c>
      <c r="B560" t="s">
        <v>775</v>
      </c>
      <c r="C560">
        <v>111</v>
      </c>
      <c r="D560" t="s">
        <v>957</v>
      </c>
      <c r="E560">
        <v>324</v>
      </c>
      <c r="F560" s="36">
        <v>18.07</v>
      </c>
      <c r="G560">
        <v>2</v>
      </c>
      <c r="H56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8.1315000000000008</v>
      </c>
      <c r="I560" s="37">
        <f>Tableau2[[#This Row],[Facture_Mensuelle $]]*Tableau2[[#This Row],[Remise taux]]</f>
        <v>146.93620500000003</v>
      </c>
    </row>
    <row r="561" spans="1:9" x14ac:dyDescent="0.25">
      <c r="A561" t="s">
        <v>1519</v>
      </c>
      <c r="B561" t="s">
        <v>762</v>
      </c>
      <c r="C561">
        <v>120</v>
      </c>
      <c r="D561" t="s">
        <v>955</v>
      </c>
      <c r="E561">
        <v>60</v>
      </c>
      <c r="F561" s="36">
        <v>34.14</v>
      </c>
      <c r="G561">
        <v>3</v>
      </c>
      <c r="H56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61" s="37">
        <f>Tableau2[[#This Row],[Facture_Mensuelle $]]*Tableau2[[#This Row],[Remise taux]]</f>
        <v>0</v>
      </c>
    </row>
    <row r="562" spans="1:9" x14ac:dyDescent="0.25">
      <c r="A562" t="s">
        <v>1520</v>
      </c>
      <c r="B562" t="s">
        <v>786</v>
      </c>
      <c r="C562">
        <v>87</v>
      </c>
      <c r="D562" t="s">
        <v>961</v>
      </c>
      <c r="E562">
        <v>356</v>
      </c>
      <c r="F562" s="36">
        <v>12.89</v>
      </c>
      <c r="G562">
        <v>0</v>
      </c>
      <c r="H56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5.8005000000000004</v>
      </c>
      <c r="I562" s="37">
        <f>Tableau2[[#This Row],[Facture_Mensuelle $]]*Tableau2[[#This Row],[Remise taux]]</f>
        <v>74.768445000000014</v>
      </c>
    </row>
    <row r="563" spans="1:9" x14ac:dyDescent="0.25">
      <c r="A563" t="s">
        <v>1521</v>
      </c>
      <c r="B563" t="s">
        <v>785</v>
      </c>
      <c r="C563">
        <v>29</v>
      </c>
      <c r="D563" t="s">
        <v>961</v>
      </c>
      <c r="E563">
        <v>8</v>
      </c>
      <c r="F563" s="36">
        <v>14.78</v>
      </c>
      <c r="G563">
        <v>2</v>
      </c>
      <c r="H56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6.6509999999999998</v>
      </c>
      <c r="I563" s="37">
        <f>Tableau2[[#This Row],[Facture_Mensuelle $]]*Tableau2[[#This Row],[Remise taux]]</f>
        <v>98.301779999999994</v>
      </c>
    </row>
    <row r="564" spans="1:9" x14ac:dyDescent="0.25">
      <c r="A564" t="s">
        <v>1522</v>
      </c>
      <c r="B564" t="s">
        <v>765</v>
      </c>
      <c r="C564">
        <v>18</v>
      </c>
      <c r="D564" t="s">
        <v>957</v>
      </c>
      <c r="E564">
        <v>170</v>
      </c>
      <c r="F564" s="36">
        <v>87.34</v>
      </c>
      <c r="G564">
        <v>1</v>
      </c>
      <c r="H56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64" s="37">
        <f>Tableau2[[#This Row],[Facture_Mensuelle $]]*Tableau2[[#This Row],[Remise taux]]</f>
        <v>0</v>
      </c>
    </row>
    <row r="565" spans="1:9" x14ac:dyDescent="0.25">
      <c r="A565" t="s">
        <v>1523</v>
      </c>
      <c r="B565" t="s">
        <v>774</v>
      </c>
      <c r="C565">
        <v>34</v>
      </c>
      <c r="D565" t="s">
        <v>957</v>
      </c>
      <c r="E565">
        <v>401</v>
      </c>
      <c r="F565" s="36">
        <v>68.400000000000006</v>
      </c>
      <c r="G565">
        <v>5</v>
      </c>
      <c r="H56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30.780000000000005</v>
      </c>
      <c r="I565" s="37">
        <f>Tableau2[[#This Row],[Facture_Mensuelle $]]*Tableau2[[#This Row],[Remise taux]]</f>
        <v>2105.3520000000003</v>
      </c>
    </row>
    <row r="566" spans="1:9" x14ac:dyDescent="0.25">
      <c r="A566" t="s">
        <v>1524</v>
      </c>
      <c r="B566" t="s">
        <v>780</v>
      </c>
      <c r="C566">
        <v>113</v>
      </c>
      <c r="D566" t="s">
        <v>957</v>
      </c>
      <c r="E566">
        <v>428</v>
      </c>
      <c r="F566" s="36">
        <v>73.84</v>
      </c>
      <c r="G566">
        <v>0</v>
      </c>
      <c r="H56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33.228000000000002</v>
      </c>
      <c r="I566" s="37">
        <f>Tableau2[[#This Row],[Facture_Mensuelle $]]*Tableau2[[#This Row],[Remise taux]]</f>
        <v>2453.5555200000003</v>
      </c>
    </row>
    <row r="567" spans="1:9" x14ac:dyDescent="0.25">
      <c r="A567" t="s">
        <v>1525</v>
      </c>
      <c r="B567" t="s">
        <v>780</v>
      </c>
      <c r="C567">
        <v>48</v>
      </c>
      <c r="D567" t="s">
        <v>953</v>
      </c>
      <c r="E567">
        <v>335</v>
      </c>
      <c r="F567" s="36">
        <v>85.09</v>
      </c>
      <c r="G567">
        <v>3</v>
      </c>
      <c r="H56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38.290500000000002</v>
      </c>
      <c r="I567" s="37">
        <f>Tableau2[[#This Row],[Facture_Mensuelle $]]*Tableau2[[#This Row],[Remise taux]]</f>
        <v>3258.1386450000005</v>
      </c>
    </row>
    <row r="568" spans="1:9" x14ac:dyDescent="0.25">
      <c r="A568" t="s">
        <v>1526</v>
      </c>
      <c r="B568" t="s">
        <v>783</v>
      </c>
      <c r="C568">
        <v>107</v>
      </c>
      <c r="D568" t="s">
        <v>957</v>
      </c>
      <c r="E568">
        <v>138</v>
      </c>
      <c r="F568" s="36">
        <v>85.75</v>
      </c>
      <c r="G568">
        <v>1</v>
      </c>
      <c r="H56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68" s="37">
        <f>Tableau2[[#This Row],[Facture_Mensuelle $]]*Tableau2[[#This Row],[Remise taux]]</f>
        <v>0</v>
      </c>
    </row>
    <row r="569" spans="1:9" x14ac:dyDescent="0.25">
      <c r="A569" t="s">
        <v>1527</v>
      </c>
      <c r="B569" t="s">
        <v>778</v>
      </c>
      <c r="C569">
        <v>47</v>
      </c>
      <c r="D569" t="s">
        <v>953</v>
      </c>
      <c r="E569">
        <v>111</v>
      </c>
      <c r="F569" s="36">
        <v>95.18</v>
      </c>
      <c r="G569">
        <v>0</v>
      </c>
      <c r="H56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69" s="37">
        <f>Tableau2[[#This Row],[Facture_Mensuelle $]]*Tableau2[[#This Row],[Remise taux]]</f>
        <v>0</v>
      </c>
    </row>
    <row r="570" spans="1:9" x14ac:dyDescent="0.25">
      <c r="A570" t="s">
        <v>1528</v>
      </c>
      <c r="B570" t="s">
        <v>778</v>
      </c>
      <c r="C570">
        <v>10</v>
      </c>
      <c r="D570" t="s">
        <v>953</v>
      </c>
      <c r="E570">
        <v>165</v>
      </c>
      <c r="F570" s="36">
        <v>38.619999999999997</v>
      </c>
      <c r="G570">
        <v>2</v>
      </c>
      <c r="H57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70" s="37">
        <f>Tableau2[[#This Row],[Facture_Mensuelle $]]*Tableau2[[#This Row],[Remise taux]]</f>
        <v>0</v>
      </c>
    </row>
    <row r="571" spans="1:9" x14ac:dyDescent="0.25">
      <c r="A571" t="s">
        <v>1529</v>
      </c>
      <c r="B571" t="s">
        <v>781</v>
      </c>
      <c r="C571">
        <v>9</v>
      </c>
      <c r="D571" t="s">
        <v>955</v>
      </c>
      <c r="E571">
        <v>255</v>
      </c>
      <c r="F571" s="36">
        <v>95.13</v>
      </c>
      <c r="G571">
        <v>1</v>
      </c>
      <c r="H57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42.808500000000002</v>
      </c>
      <c r="I571" s="37">
        <f>Tableau2[[#This Row],[Facture_Mensuelle $]]*Tableau2[[#This Row],[Remise taux]]</f>
        <v>4072.372605</v>
      </c>
    </row>
    <row r="572" spans="1:9" x14ac:dyDescent="0.25">
      <c r="A572" t="s">
        <v>1530</v>
      </c>
      <c r="B572" t="s">
        <v>764</v>
      </c>
      <c r="C572">
        <v>24</v>
      </c>
      <c r="D572" t="s">
        <v>953</v>
      </c>
      <c r="E572">
        <v>257</v>
      </c>
      <c r="F572" s="36">
        <v>41.99</v>
      </c>
      <c r="G572">
        <v>5</v>
      </c>
      <c r="H57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18.895500000000002</v>
      </c>
      <c r="I572" s="37">
        <f>Tableau2[[#This Row],[Facture_Mensuelle $]]*Tableau2[[#This Row],[Remise taux]]</f>
        <v>793.42204500000014</v>
      </c>
    </row>
    <row r="573" spans="1:9" x14ac:dyDescent="0.25">
      <c r="A573" t="s">
        <v>1531</v>
      </c>
      <c r="B573" t="s">
        <v>781</v>
      </c>
      <c r="C573">
        <v>72</v>
      </c>
      <c r="D573" t="s">
        <v>953</v>
      </c>
      <c r="E573">
        <v>427</v>
      </c>
      <c r="F573" s="36">
        <v>31.44</v>
      </c>
      <c r="G573">
        <v>2</v>
      </c>
      <c r="H57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14.148000000000001</v>
      </c>
      <c r="I573" s="37">
        <f>Tableau2[[#This Row],[Facture_Mensuelle $]]*Tableau2[[#This Row],[Remise taux]]</f>
        <v>444.81312000000008</v>
      </c>
    </row>
    <row r="574" spans="1:9" x14ac:dyDescent="0.25">
      <c r="A574" t="s">
        <v>1532</v>
      </c>
      <c r="B574" t="s">
        <v>762</v>
      </c>
      <c r="C574">
        <v>33</v>
      </c>
      <c r="D574" t="s">
        <v>957</v>
      </c>
      <c r="E574">
        <v>18</v>
      </c>
      <c r="F574" s="36">
        <v>47.18</v>
      </c>
      <c r="G574">
        <v>4</v>
      </c>
      <c r="H57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74" s="37">
        <f>Tableau2[[#This Row],[Facture_Mensuelle $]]*Tableau2[[#This Row],[Remise taux]]</f>
        <v>0</v>
      </c>
    </row>
    <row r="575" spans="1:9" x14ac:dyDescent="0.25">
      <c r="A575" t="s">
        <v>1533</v>
      </c>
      <c r="B575" t="s">
        <v>786</v>
      </c>
      <c r="C575">
        <v>64</v>
      </c>
      <c r="D575" t="s">
        <v>955</v>
      </c>
      <c r="E575">
        <v>370</v>
      </c>
      <c r="F575" s="36">
        <v>95.74</v>
      </c>
      <c r="G575">
        <v>1</v>
      </c>
      <c r="H57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43.082999999999998</v>
      </c>
      <c r="I575" s="37">
        <f>Tableau2[[#This Row],[Facture_Mensuelle $]]*Tableau2[[#This Row],[Remise taux]]</f>
        <v>4124.7664199999999</v>
      </c>
    </row>
    <row r="576" spans="1:9" x14ac:dyDescent="0.25">
      <c r="A576" t="s">
        <v>1534</v>
      </c>
      <c r="B576" t="s">
        <v>784</v>
      </c>
      <c r="C576">
        <v>60</v>
      </c>
      <c r="D576" t="s">
        <v>957</v>
      </c>
      <c r="E576">
        <v>154</v>
      </c>
      <c r="F576" s="36">
        <v>13.41</v>
      </c>
      <c r="G576">
        <v>5</v>
      </c>
      <c r="H57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76" s="37">
        <f>Tableau2[[#This Row],[Facture_Mensuelle $]]*Tableau2[[#This Row],[Remise taux]]</f>
        <v>0</v>
      </c>
    </row>
    <row r="577" spans="1:9" x14ac:dyDescent="0.25">
      <c r="A577" t="s">
        <v>1535</v>
      </c>
      <c r="B577" t="s">
        <v>766</v>
      </c>
      <c r="C577">
        <v>51</v>
      </c>
      <c r="D577" t="s">
        <v>955</v>
      </c>
      <c r="E577">
        <v>389</v>
      </c>
      <c r="F577" s="36">
        <v>50.45</v>
      </c>
      <c r="G577">
        <v>3</v>
      </c>
      <c r="H57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22.702500000000001</v>
      </c>
      <c r="I577" s="37">
        <f>Tableau2[[#This Row],[Facture_Mensuelle $]]*Tableau2[[#This Row],[Remise taux]]</f>
        <v>1145.3411250000001</v>
      </c>
    </row>
    <row r="578" spans="1:9" x14ac:dyDescent="0.25">
      <c r="A578" t="s">
        <v>1536</v>
      </c>
      <c r="B578" t="s">
        <v>783</v>
      </c>
      <c r="C578">
        <v>70</v>
      </c>
      <c r="D578" t="s">
        <v>953</v>
      </c>
      <c r="E578">
        <v>31</v>
      </c>
      <c r="F578" s="36">
        <v>71.2</v>
      </c>
      <c r="G578">
        <v>4</v>
      </c>
      <c r="H57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78" s="37">
        <f>Tableau2[[#This Row],[Facture_Mensuelle $]]*Tableau2[[#This Row],[Remise taux]]</f>
        <v>0</v>
      </c>
    </row>
    <row r="579" spans="1:9" x14ac:dyDescent="0.25">
      <c r="A579" t="s">
        <v>1537</v>
      </c>
      <c r="B579" t="s">
        <v>785</v>
      </c>
      <c r="C579">
        <v>103</v>
      </c>
      <c r="D579" t="s">
        <v>953</v>
      </c>
      <c r="E579">
        <v>300</v>
      </c>
      <c r="F579" s="36">
        <v>13.76</v>
      </c>
      <c r="G579">
        <v>4</v>
      </c>
      <c r="H57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6.1920000000000002</v>
      </c>
      <c r="I579" s="37">
        <f>Tableau2[[#This Row],[Facture_Mensuelle $]]*Tableau2[[#This Row],[Remise taux]]</f>
        <v>85.201920000000001</v>
      </c>
    </row>
    <row r="580" spans="1:9" x14ac:dyDescent="0.25">
      <c r="A580" t="s">
        <v>1538</v>
      </c>
      <c r="B580" t="s">
        <v>771</v>
      </c>
      <c r="C580">
        <v>14</v>
      </c>
      <c r="D580" t="s">
        <v>953</v>
      </c>
      <c r="E580">
        <v>37</v>
      </c>
      <c r="F580" s="36">
        <v>20.399999999999999</v>
      </c>
      <c r="G580">
        <v>2</v>
      </c>
      <c r="H58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80" s="37">
        <f>Tableau2[[#This Row],[Facture_Mensuelle $]]*Tableau2[[#This Row],[Remise taux]]</f>
        <v>0</v>
      </c>
    </row>
    <row r="581" spans="1:9" x14ac:dyDescent="0.25">
      <c r="A581" t="s">
        <v>1539</v>
      </c>
      <c r="B581" t="s">
        <v>765</v>
      </c>
      <c r="C581">
        <v>7</v>
      </c>
      <c r="D581" t="s">
        <v>955</v>
      </c>
      <c r="E581">
        <v>447</v>
      </c>
      <c r="F581" s="36">
        <v>84.95</v>
      </c>
      <c r="G581">
        <v>2</v>
      </c>
      <c r="H58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38.227499999999999</v>
      </c>
      <c r="I581" s="37">
        <f>Tableau2[[#This Row],[Facture_Mensuelle $]]*Tableau2[[#This Row],[Remise taux]]</f>
        <v>3247.426125</v>
      </c>
    </row>
    <row r="582" spans="1:9" x14ac:dyDescent="0.25">
      <c r="A582" t="s">
        <v>1540</v>
      </c>
      <c r="B582" t="s">
        <v>782</v>
      </c>
      <c r="C582">
        <v>101</v>
      </c>
      <c r="D582" t="s">
        <v>955</v>
      </c>
      <c r="E582">
        <v>148</v>
      </c>
      <c r="F582" s="36">
        <v>26.63</v>
      </c>
      <c r="G582">
        <v>3</v>
      </c>
      <c r="H58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82" s="37">
        <f>Tableau2[[#This Row],[Facture_Mensuelle $]]*Tableau2[[#This Row],[Remise taux]]</f>
        <v>0</v>
      </c>
    </row>
    <row r="583" spans="1:9" x14ac:dyDescent="0.25">
      <c r="A583" t="s">
        <v>1541</v>
      </c>
      <c r="B583" t="s">
        <v>782</v>
      </c>
      <c r="C583">
        <v>84</v>
      </c>
      <c r="D583" t="s">
        <v>961</v>
      </c>
      <c r="E583">
        <v>387</v>
      </c>
      <c r="F583" s="36">
        <v>58.1</v>
      </c>
      <c r="G583">
        <v>3</v>
      </c>
      <c r="H58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26.145</v>
      </c>
      <c r="I583" s="37">
        <f>Tableau2[[#This Row],[Facture_Mensuelle $]]*Tableau2[[#This Row],[Remise taux]]</f>
        <v>1519.0245</v>
      </c>
    </row>
    <row r="584" spans="1:9" x14ac:dyDescent="0.25">
      <c r="A584" t="s">
        <v>1542</v>
      </c>
      <c r="B584" t="s">
        <v>781</v>
      </c>
      <c r="C584">
        <v>46</v>
      </c>
      <c r="D584" t="s">
        <v>955</v>
      </c>
      <c r="E584">
        <v>216</v>
      </c>
      <c r="F584" s="36">
        <v>63.74</v>
      </c>
      <c r="G584">
        <v>4</v>
      </c>
      <c r="H58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84" s="37">
        <f>Tableau2[[#This Row],[Facture_Mensuelle $]]*Tableau2[[#This Row],[Remise taux]]</f>
        <v>0</v>
      </c>
    </row>
    <row r="585" spans="1:9" x14ac:dyDescent="0.25">
      <c r="A585" t="s">
        <v>1543</v>
      </c>
      <c r="B585" t="s">
        <v>768</v>
      </c>
      <c r="C585">
        <v>72</v>
      </c>
      <c r="D585" t="s">
        <v>955</v>
      </c>
      <c r="E585">
        <v>317</v>
      </c>
      <c r="F585" s="36">
        <v>54.58</v>
      </c>
      <c r="G585">
        <v>1</v>
      </c>
      <c r="H58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24.561</v>
      </c>
      <c r="I585" s="37">
        <f>Tableau2[[#This Row],[Facture_Mensuelle $]]*Tableau2[[#This Row],[Remise taux]]</f>
        <v>1340.5393799999999</v>
      </c>
    </row>
    <row r="586" spans="1:9" x14ac:dyDescent="0.25">
      <c r="A586" t="s">
        <v>1544</v>
      </c>
      <c r="B586" t="s">
        <v>781</v>
      </c>
      <c r="C586">
        <v>69</v>
      </c>
      <c r="D586" t="s">
        <v>961</v>
      </c>
      <c r="E586">
        <v>486</v>
      </c>
      <c r="F586" s="36">
        <v>34.770000000000003</v>
      </c>
      <c r="G586">
        <v>0</v>
      </c>
      <c r="H58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15.646500000000001</v>
      </c>
      <c r="I586" s="37">
        <f>Tableau2[[#This Row],[Facture_Mensuelle $]]*Tableau2[[#This Row],[Remise taux]]</f>
        <v>544.02880500000015</v>
      </c>
    </row>
    <row r="587" spans="1:9" x14ac:dyDescent="0.25">
      <c r="A587" t="s">
        <v>1545</v>
      </c>
      <c r="B587" t="s">
        <v>782</v>
      </c>
      <c r="C587">
        <v>57</v>
      </c>
      <c r="D587" t="s">
        <v>957</v>
      </c>
      <c r="E587">
        <v>329</v>
      </c>
      <c r="F587" s="36">
        <v>50.39</v>
      </c>
      <c r="G587">
        <v>5</v>
      </c>
      <c r="H58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22.6755</v>
      </c>
      <c r="I587" s="37">
        <f>Tableau2[[#This Row],[Facture_Mensuelle $]]*Tableau2[[#This Row],[Remise taux]]</f>
        <v>1142.6184450000001</v>
      </c>
    </row>
    <row r="588" spans="1:9" x14ac:dyDescent="0.25">
      <c r="A588" t="s">
        <v>1546</v>
      </c>
      <c r="B588" t="s">
        <v>778</v>
      </c>
      <c r="C588">
        <v>108</v>
      </c>
      <c r="D588" t="s">
        <v>961</v>
      </c>
      <c r="E588">
        <v>78</v>
      </c>
      <c r="F588" s="36">
        <v>90.05</v>
      </c>
      <c r="G588">
        <v>2</v>
      </c>
      <c r="H58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88" s="37">
        <f>Tableau2[[#This Row],[Facture_Mensuelle $]]*Tableau2[[#This Row],[Remise taux]]</f>
        <v>0</v>
      </c>
    </row>
    <row r="589" spans="1:9" x14ac:dyDescent="0.25">
      <c r="A589" t="s">
        <v>1547</v>
      </c>
      <c r="B589" t="s">
        <v>763</v>
      </c>
      <c r="C589">
        <v>92</v>
      </c>
      <c r="D589" t="s">
        <v>953</v>
      </c>
      <c r="E589">
        <v>4</v>
      </c>
      <c r="F589" s="36">
        <v>22.03</v>
      </c>
      <c r="G589">
        <v>3</v>
      </c>
      <c r="H58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89" s="37">
        <f>Tableau2[[#This Row],[Facture_Mensuelle $]]*Tableau2[[#This Row],[Remise taux]]</f>
        <v>0</v>
      </c>
    </row>
    <row r="590" spans="1:9" x14ac:dyDescent="0.25">
      <c r="A590" t="s">
        <v>1548</v>
      </c>
      <c r="B590" t="s">
        <v>763</v>
      </c>
      <c r="C590">
        <v>83</v>
      </c>
      <c r="D590" t="s">
        <v>955</v>
      </c>
      <c r="E590">
        <v>219</v>
      </c>
      <c r="F590" s="36">
        <v>52.26</v>
      </c>
      <c r="G590">
        <v>1</v>
      </c>
      <c r="H59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90" s="37">
        <f>Tableau2[[#This Row],[Facture_Mensuelle $]]*Tableau2[[#This Row],[Remise taux]]</f>
        <v>0</v>
      </c>
    </row>
    <row r="591" spans="1:9" x14ac:dyDescent="0.25">
      <c r="A591" t="s">
        <v>1549</v>
      </c>
      <c r="B591" t="s">
        <v>767</v>
      </c>
      <c r="C591">
        <v>114</v>
      </c>
      <c r="D591" t="s">
        <v>953</v>
      </c>
      <c r="E591">
        <v>304</v>
      </c>
      <c r="F591" s="36">
        <v>52.07</v>
      </c>
      <c r="G591">
        <v>1</v>
      </c>
      <c r="H59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23.4315</v>
      </c>
      <c r="I591" s="37">
        <f>Tableau2[[#This Row],[Facture_Mensuelle $]]*Tableau2[[#This Row],[Remise taux]]</f>
        <v>1220.078205</v>
      </c>
    </row>
    <row r="592" spans="1:9" x14ac:dyDescent="0.25">
      <c r="A592" t="s">
        <v>1550</v>
      </c>
      <c r="B592" t="s">
        <v>779</v>
      </c>
      <c r="C592">
        <v>75</v>
      </c>
      <c r="D592" t="s">
        <v>955</v>
      </c>
      <c r="E592">
        <v>242</v>
      </c>
      <c r="F592" s="36">
        <v>64.27</v>
      </c>
      <c r="G592">
        <v>2</v>
      </c>
      <c r="H59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28.921499999999998</v>
      </c>
      <c r="I592" s="37">
        <f>Tableau2[[#This Row],[Facture_Mensuelle $]]*Tableau2[[#This Row],[Remise taux]]</f>
        <v>1858.7848049999998</v>
      </c>
    </row>
    <row r="593" spans="1:9" x14ac:dyDescent="0.25">
      <c r="A593" t="s">
        <v>1551</v>
      </c>
      <c r="B593" t="s">
        <v>763</v>
      </c>
      <c r="C593">
        <v>115</v>
      </c>
      <c r="D593" t="s">
        <v>953</v>
      </c>
      <c r="E593">
        <v>176</v>
      </c>
      <c r="F593" s="36">
        <v>33.28</v>
      </c>
      <c r="G593">
        <v>4</v>
      </c>
      <c r="H59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93" s="37">
        <f>Tableau2[[#This Row],[Facture_Mensuelle $]]*Tableau2[[#This Row],[Remise taux]]</f>
        <v>0</v>
      </c>
    </row>
    <row r="594" spans="1:9" x14ac:dyDescent="0.25">
      <c r="A594" t="s">
        <v>1552</v>
      </c>
      <c r="B594" t="s">
        <v>769</v>
      </c>
      <c r="C594">
        <v>12</v>
      </c>
      <c r="D594" t="s">
        <v>957</v>
      </c>
      <c r="E594">
        <v>235</v>
      </c>
      <c r="F594" s="36">
        <v>33.96</v>
      </c>
      <c r="G594">
        <v>4</v>
      </c>
      <c r="H59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94" s="37">
        <f>Tableau2[[#This Row],[Facture_Mensuelle $]]*Tableau2[[#This Row],[Remise taux]]</f>
        <v>0</v>
      </c>
    </row>
    <row r="595" spans="1:9" x14ac:dyDescent="0.25">
      <c r="A595" t="s">
        <v>1553</v>
      </c>
      <c r="B595" t="s">
        <v>769</v>
      </c>
      <c r="C595">
        <v>44</v>
      </c>
      <c r="D595" t="s">
        <v>953</v>
      </c>
      <c r="E595">
        <v>199</v>
      </c>
      <c r="F595" s="36">
        <v>67.650000000000006</v>
      </c>
      <c r="G595">
        <v>0</v>
      </c>
      <c r="H59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95" s="37">
        <f>Tableau2[[#This Row],[Facture_Mensuelle $]]*Tableau2[[#This Row],[Remise taux]]</f>
        <v>0</v>
      </c>
    </row>
    <row r="596" spans="1:9" x14ac:dyDescent="0.25">
      <c r="A596" t="s">
        <v>1554</v>
      </c>
      <c r="B596" t="s">
        <v>765</v>
      </c>
      <c r="C596">
        <v>48</v>
      </c>
      <c r="D596" t="s">
        <v>961</v>
      </c>
      <c r="E596">
        <v>338</v>
      </c>
      <c r="F596" s="36">
        <v>74.42</v>
      </c>
      <c r="G596">
        <v>0</v>
      </c>
      <c r="H59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33.489000000000004</v>
      </c>
      <c r="I596" s="37">
        <f>Tableau2[[#This Row],[Facture_Mensuelle $]]*Tableau2[[#This Row],[Remise taux]]</f>
        <v>2492.2513800000002</v>
      </c>
    </row>
    <row r="597" spans="1:9" x14ac:dyDescent="0.25">
      <c r="A597" t="s">
        <v>1555</v>
      </c>
      <c r="B597" t="s">
        <v>786</v>
      </c>
      <c r="C597">
        <v>51</v>
      </c>
      <c r="D597" t="s">
        <v>961</v>
      </c>
      <c r="E597">
        <v>222</v>
      </c>
      <c r="F597" s="36">
        <v>18.95</v>
      </c>
      <c r="G597">
        <v>4</v>
      </c>
      <c r="H59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8.5274999999999999</v>
      </c>
      <c r="I597" s="37">
        <f>Tableau2[[#This Row],[Facture_Mensuelle $]]*Tableau2[[#This Row],[Remise taux]]</f>
        <v>161.596125</v>
      </c>
    </row>
    <row r="598" spans="1:9" x14ac:dyDescent="0.25">
      <c r="A598" t="s">
        <v>1556</v>
      </c>
      <c r="B598" t="s">
        <v>762</v>
      </c>
      <c r="C598">
        <v>57</v>
      </c>
      <c r="D598" t="s">
        <v>957</v>
      </c>
      <c r="E598">
        <v>435</v>
      </c>
      <c r="F598" s="36">
        <v>56.88</v>
      </c>
      <c r="G598">
        <v>4</v>
      </c>
      <c r="H59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25.596</v>
      </c>
      <c r="I598" s="37">
        <f>Tableau2[[#This Row],[Facture_Mensuelle $]]*Tableau2[[#This Row],[Remise taux]]</f>
        <v>1455.90048</v>
      </c>
    </row>
    <row r="599" spans="1:9" x14ac:dyDescent="0.25">
      <c r="A599" t="s">
        <v>1557</v>
      </c>
      <c r="B599" t="s">
        <v>769</v>
      </c>
      <c r="C599">
        <v>37</v>
      </c>
      <c r="D599" t="s">
        <v>953</v>
      </c>
      <c r="E599">
        <v>87</v>
      </c>
      <c r="F599" s="36">
        <v>26.4</v>
      </c>
      <c r="G599">
        <v>3</v>
      </c>
      <c r="H59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599" s="37">
        <f>Tableau2[[#This Row],[Facture_Mensuelle $]]*Tableau2[[#This Row],[Remise taux]]</f>
        <v>0</v>
      </c>
    </row>
    <row r="600" spans="1:9" x14ac:dyDescent="0.25">
      <c r="A600" t="s">
        <v>1558</v>
      </c>
      <c r="B600" t="s">
        <v>777</v>
      </c>
      <c r="C600">
        <v>22</v>
      </c>
      <c r="D600" t="s">
        <v>955</v>
      </c>
      <c r="E600">
        <v>374</v>
      </c>
      <c r="F600" s="36">
        <v>40.06</v>
      </c>
      <c r="G600">
        <v>5</v>
      </c>
      <c r="H60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18.027000000000001</v>
      </c>
      <c r="I600" s="37">
        <f>Tableau2[[#This Row],[Facture_Mensuelle $]]*Tableau2[[#This Row],[Remise taux]]</f>
        <v>722.16162000000008</v>
      </c>
    </row>
    <row r="601" spans="1:9" x14ac:dyDescent="0.25">
      <c r="A601" t="s">
        <v>1559</v>
      </c>
      <c r="B601" t="s">
        <v>784</v>
      </c>
      <c r="C601">
        <v>21</v>
      </c>
      <c r="D601" t="s">
        <v>957</v>
      </c>
      <c r="E601">
        <v>460</v>
      </c>
      <c r="F601" s="36">
        <v>70.81</v>
      </c>
      <c r="G601">
        <v>2</v>
      </c>
      <c r="H60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31.864500000000003</v>
      </c>
      <c r="I601" s="37">
        <f>Tableau2[[#This Row],[Facture_Mensuelle $]]*Tableau2[[#This Row],[Remise taux]]</f>
        <v>2256.3252450000005</v>
      </c>
    </row>
    <row r="602" spans="1:9" x14ac:dyDescent="0.25">
      <c r="A602" t="s">
        <v>1560</v>
      </c>
      <c r="B602" t="s">
        <v>781</v>
      </c>
      <c r="C602">
        <v>67</v>
      </c>
      <c r="D602" t="s">
        <v>955</v>
      </c>
      <c r="E602">
        <v>55</v>
      </c>
      <c r="F602" s="36">
        <v>27.04</v>
      </c>
      <c r="G602">
        <v>1</v>
      </c>
      <c r="H60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602" s="37">
        <f>Tableau2[[#This Row],[Facture_Mensuelle $]]*Tableau2[[#This Row],[Remise taux]]</f>
        <v>0</v>
      </c>
    </row>
    <row r="603" spans="1:9" x14ac:dyDescent="0.25">
      <c r="A603" t="s">
        <v>1561</v>
      </c>
      <c r="B603" t="s">
        <v>773</v>
      </c>
      <c r="C603">
        <v>23</v>
      </c>
      <c r="D603" t="s">
        <v>955</v>
      </c>
      <c r="E603">
        <v>473</v>
      </c>
      <c r="F603" s="36">
        <v>71.86</v>
      </c>
      <c r="G603">
        <v>3</v>
      </c>
      <c r="H60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32.337000000000003</v>
      </c>
      <c r="I603" s="37">
        <f>Tableau2[[#This Row],[Facture_Mensuelle $]]*Tableau2[[#This Row],[Remise taux]]</f>
        <v>2323.7368200000001</v>
      </c>
    </row>
    <row r="604" spans="1:9" x14ac:dyDescent="0.25">
      <c r="A604" t="s">
        <v>1562</v>
      </c>
      <c r="B604" t="s">
        <v>781</v>
      </c>
      <c r="C604">
        <v>20</v>
      </c>
      <c r="D604" t="s">
        <v>957</v>
      </c>
      <c r="E604">
        <v>4</v>
      </c>
      <c r="F604" s="36">
        <v>84.9</v>
      </c>
      <c r="G604">
        <v>3</v>
      </c>
      <c r="H60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604" s="37">
        <f>Tableau2[[#This Row],[Facture_Mensuelle $]]*Tableau2[[#This Row],[Remise taux]]</f>
        <v>0</v>
      </c>
    </row>
    <row r="605" spans="1:9" x14ac:dyDescent="0.25">
      <c r="A605" t="s">
        <v>1563</v>
      </c>
      <c r="B605" t="s">
        <v>762</v>
      </c>
      <c r="C605">
        <v>12</v>
      </c>
      <c r="D605" t="s">
        <v>961</v>
      </c>
      <c r="E605">
        <v>208</v>
      </c>
      <c r="F605" s="36">
        <v>16.29</v>
      </c>
      <c r="G605">
        <v>4</v>
      </c>
      <c r="H60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7.3304999999999998</v>
      </c>
      <c r="I605" s="37">
        <f>Tableau2[[#This Row],[Facture_Mensuelle $]]*Tableau2[[#This Row],[Remise taux]]</f>
        <v>119.41384499999999</v>
      </c>
    </row>
    <row r="606" spans="1:9" x14ac:dyDescent="0.25">
      <c r="A606" t="s">
        <v>1564</v>
      </c>
      <c r="B606" t="s">
        <v>785</v>
      </c>
      <c r="C606">
        <v>6</v>
      </c>
      <c r="D606" t="s">
        <v>961</v>
      </c>
      <c r="E606">
        <v>162</v>
      </c>
      <c r="F606" s="36">
        <v>99.93</v>
      </c>
      <c r="G606">
        <v>0</v>
      </c>
      <c r="H60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44.968500000000006</v>
      </c>
      <c r="I606" s="37">
        <f>Tableau2[[#This Row],[Facture_Mensuelle $]]*Tableau2[[#This Row],[Remise taux]]</f>
        <v>4493.7022050000005</v>
      </c>
    </row>
    <row r="607" spans="1:9" x14ac:dyDescent="0.25">
      <c r="A607" t="s">
        <v>1565</v>
      </c>
      <c r="B607" t="s">
        <v>779</v>
      </c>
      <c r="C607">
        <v>25</v>
      </c>
      <c r="D607" t="s">
        <v>953</v>
      </c>
      <c r="E607">
        <v>5</v>
      </c>
      <c r="F607" s="36">
        <v>27.93</v>
      </c>
      <c r="G607">
        <v>0</v>
      </c>
      <c r="H60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607" s="37">
        <f>Tableau2[[#This Row],[Facture_Mensuelle $]]*Tableau2[[#This Row],[Remise taux]]</f>
        <v>0</v>
      </c>
    </row>
    <row r="608" spans="1:9" x14ac:dyDescent="0.25">
      <c r="A608" t="s">
        <v>1566</v>
      </c>
      <c r="B608" t="s">
        <v>775</v>
      </c>
      <c r="C608">
        <v>39</v>
      </c>
      <c r="D608" t="s">
        <v>955</v>
      </c>
      <c r="E608">
        <v>54</v>
      </c>
      <c r="F608" s="36">
        <v>88.84</v>
      </c>
      <c r="G608">
        <v>0</v>
      </c>
      <c r="H60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608" s="37">
        <f>Tableau2[[#This Row],[Facture_Mensuelle $]]*Tableau2[[#This Row],[Remise taux]]</f>
        <v>0</v>
      </c>
    </row>
    <row r="609" spans="1:9" x14ac:dyDescent="0.25">
      <c r="A609" t="s">
        <v>1567</v>
      </c>
      <c r="B609" t="s">
        <v>777</v>
      </c>
      <c r="C609">
        <v>120</v>
      </c>
      <c r="D609" t="s">
        <v>961</v>
      </c>
      <c r="E609">
        <v>391</v>
      </c>
      <c r="F609" s="36">
        <v>67.77</v>
      </c>
      <c r="G609">
        <v>4</v>
      </c>
      <c r="H60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30.496499999999997</v>
      </c>
      <c r="I609" s="37">
        <f>Tableau2[[#This Row],[Facture_Mensuelle $]]*Tableau2[[#This Row],[Remise taux]]</f>
        <v>2066.7478049999995</v>
      </c>
    </row>
    <row r="610" spans="1:9" x14ac:dyDescent="0.25">
      <c r="A610" t="s">
        <v>1568</v>
      </c>
      <c r="B610" t="s">
        <v>770</v>
      </c>
      <c r="C610">
        <v>51</v>
      </c>
      <c r="D610" t="s">
        <v>953</v>
      </c>
      <c r="E610">
        <v>260</v>
      </c>
      <c r="F610" s="36">
        <v>92.8</v>
      </c>
      <c r="G610">
        <v>5</v>
      </c>
      <c r="H61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41.76</v>
      </c>
      <c r="I610" s="37">
        <f>Tableau2[[#This Row],[Facture_Mensuelle $]]*Tableau2[[#This Row],[Remise taux]]</f>
        <v>3875.3279999999995</v>
      </c>
    </row>
    <row r="611" spans="1:9" x14ac:dyDescent="0.25">
      <c r="A611" t="s">
        <v>1569</v>
      </c>
      <c r="B611" t="s">
        <v>764</v>
      </c>
      <c r="C611">
        <v>11</v>
      </c>
      <c r="D611" t="s">
        <v>961</v>
      </c>
      <c r="E611">
        <v>191</v>
      </c>
      <c r="F611" s="36">
        <v>87.37</v>
      </c>
      <c r="G611">
        <v>3</v>
      </c>
      <c r="H61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39.316500000000005</v>
      </c>
      <c r="I611" s="37">
        <f>Tableau2[[#This Row],[Facture_Mensuelle $]]*Tableau2[[#This Row],[Remise taux]]</f>
        <v>3435.0826050000005</v>
      </c>
    </row>
    <row r="612" spans="1:9" x14ac:dyDescent="0.25">
      <c r="A612" t="s">
        <v>1570</v>
      </c>
      <c r="B612" t="s">
        <v>768</v>
      </c>
      <c r="C612">
        <v>47</v>
      </c>
      <c r="D612" t="s">
        <v>961</v>
      </c>
      <c r="E612">
        <v>457</v>
      </c>
      <c r="F612" s="36">
        <v>84.93</v>
      </c>
      <c r="G612">
        <v>2</v>
      </c>
      <c r="H61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38.218500000000006</v>
      </c>
      <c r="I612" s="37">
        <f>Tableau2[[#This Row],[Facture_Mensuelle $]]*Tableau2[[#This Row],[Remise taux]]</f>
        <v>3245.8972050000007</v>
      </c>
    </row>
    <row r="613" spans="1:9" x14ac:dyDescent="0.25">
      <c r="A613" t="s">
        <v>1571</v>
      </c>
      <c r="B613" t="s">
        <v>783</v>
      </c>
      <c r="C613">
        <v>98</v>
      </c>
      <c r="D613" t="s">
        <v>957</v>
      </c>
      <c r="E613">
        <v>110</v>
      </c>
      <c r="F613" s="36">
        <v>96.23</v>
      </c>
      <c r="G613">
        <v>2</v>
      </c>
      <c r="H61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613" s="37">
        <f>Tableau2[[#This Row],[Facture_Mensuelle $]]*Tableau2[[#This Row],[Remise taux]]</f>
        <v>0</v>
      </c>
    </row>
    <row r="614" spans="1:9" x14ac:dyDescent="0.25">
      <c r="A614" t="s">
        <v>1572</v>
      </c>
      <c r="B614" t="s">
        <v>770</v>
      </c>
      <c r="C614">
        <v>28</v>
      </c>
      <c r="D614" t="s">
        <v>961</v>
      </c>
      <c r="E614">
        <v>96</v>
      </c>
      <c r="F614" s="36">
        <v>72.010000000000005</v>
      </c>
      <c r="G614">
        <v>4</v>
      </c>
      <c r="H61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32.404500000000006</v>
      </c>
      <c r="I614" s="37">
        <f>Tableau2[[#This Row],[Facture_Mensuelle $]]*Tableau2[[#This Row],[Remise taux]]</f>
        <v>2333.4480450000005</v>
      </c>
    </row>
    <row r="615" spans="1:9" x14ac:dyDescent="0.25">
      <c r="A615" t="s">
        <v>1573</v>
      </c>
      <c r="B615" t="s">
        <v>763</v>
      </c>
      <c r="C615">
        <v>77</v>
      </c>
      <c r="D615" t="s">
        <v>957</v>
      </c>
      <c r="E615">
        <v>375</v>
      </c>
      <c r="F615" s="36">
        <v>24.03</v>
      </c>
      <c r="G615">
        <v>1</v>
      </c>
      <c r="H61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10.813500000000001</v>
      </c>
      <c r="I615" s="37">
        <f>Tableau2[[#This Row],[Facture_Mensuelle $]]*Tableau2[[#This Row],[Remise taux]]</f>
        <v>259.84840500000001</v>
      </c>
    </row>
    <row r="616" spans="1:9" x14ac:dyDescent="0.25">
      <c r="A616" t="s">
        <v>1574</v>
      </c>
      <c r="B616" t="s">
        <v>769</v>
      </c>
      <c r="C616">
        <v>56</v>
      </c>
      <c r="D616" t="s">
        <v>953</v>
      </c>
      <c r="E616">
        <v>333</v>
      </c>
      <c r="F616" s="36">
        <v>23.01</v>
      </c>
      <c r="G616">
        <v>2</v>
      </c>
      <c r="H61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10.354500000000002</v>
      </c>
      <c r="I616" s="37">
        <f>Tableau2[[#This Row],[Facture_Mensuelle $]]*Tableau2[[#This Row],[Remise taux]]</f>
        <v>238.25704500000006</v>
      </c>
    </row>
    <row r="617" spans="1:9" x14ac:dyDescent="0.25">
      <c r="A617" t="s">
        <v>1575</v>
      </c>
      <c r="B617" t="s">
        <v>762</v>
      </c>
      <c r="C617">
        <v>66</v>
      </c>
      <c r="D617" t="s">
        <v>957</v>
      </c>
      <c r="E617">
        <v>387</v>
      </c>
      <c r="F617" s="36">
        <v>82.94</v>
      </c>
      <c r="G617">
        <v>3</v>
      </c>
      <c r="H61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37.323</v>
      </c>
      <c r="I617" s="37">
        <f>Tableau2[[#This Row],[Facture_Mensuelle $]]*Tableau2[[#This Row],[Remise taux]]</f>
        <v>3095.5696199999998</v>
      </c>
    </row>
    <row r="618" spans="1:9" x14ac:dyDescent="0.25">
      <c r="A618" t="s">
        <v>1576</v>
      </c>
      <c r="B618" t="s">
        <v>785</v>
      </c>
      <c r="C618">
        <v>75</v>
      </c>
      <c r="D618" t="s">
        <v>953</v>
      </c>
      <c r="E618">
        <v>282</v>
      </c>
      <c r="F618" s="36">
        <v>45.16</v>
      </c>
      <c r="G618">
        <v>5</v>
      </c>
      <c r="H61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20.321999999999999</v>
      </c>
      <c r="I618" s="37">
        <f>Tableau2[[#This Row],[Facture_Mensuelle $]]*Tableau2[[#This Row],[Remise taux]]</f>
        <v>917.74151999999992</v>
      </c>
    </row>
    <row r="619" spans="1:9" x14ac:dyDescent="0.25">
      <c r="A619" t="s">
        <v>1577</v>
      </c>
      <c r="B619" t="s">
        <v>763</v>
      </c>
      <c r="C619">
        <v>39</v>
      </c>
      <c r="D619" t="s">
        <v>961</v>
      </c>
      <c r="E619">
        <v>1</v>
      </c>
      <c r="F619" s="36">
        <v>66.94</v>
      </c>
      <c r="G619">
        <v>5</v>
      </c>
      <c r="H61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30.123000000000001</v>
      </c>
      <c r="I619" s="37">
        <f>Tableau2[[#This Row],[Facture_Mensuelle $]]*Tableau2[[#This Row],[Remise taux]]</f>
        <v>2016.43362</v>
      </c>
    </row>
    <row r="620" spans="1:9" x14ac:dyDescent="0.25">
      <c r="A620" t="s">
        <v>1578</v>
      </c>
      <c r="B620" t="s">
        <v>786</v>
      </c>
      <c r="C620">
        <v>102</v>
      </c>
      <c r="D620" t="s">
        <v>953</v>
      </c>
      <c r="E620">
        <v>91</v>
      </c>
      <c r="F620" s="36">
        <v>34.64</v>
      </c>
      <c r="G620">
        <v>2</v>
      </c>
      <c r="H62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620" s="37">
        <f>Tableau2[[#This Row],[Facture_Mensuelle $]]*Tableau2[[#This Row],[Remise taux]]</f>
        <v>0</v>
      </c>
    </row>
    <row r="621" spans="1:9" x14ac:dyDescent="0.25">
      <c r="A621" t="s">
        <v>1579</v>
      </c>
      <c r="B621" t="s">
        <v>768</v>
      </c>
      <c r="C621">
        <v>55</v>
      </c>
      <c r="D621" t="s">
        <v>961</v>
      </c>
      <c r="E621">
        <v>394</v>
      </c>
      <c r="F621" s="36">
        <v>26.8</v>
      </c>
      <c r="G621">
        <v>4</v>
      </c>
      <c r="H62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12.06</v>
      </c>
      <c r="I621" s="37">
        <f>Tableau2[[#This Row],[Facture_Mensuelle $]]*Tableau2[[#This Row],[Remise taux]]</f>
        <v>323.20800000000003</v>
      </c>
    </row>
    <row r="622" spans="1:9" x14ac:dyDescent="0.25">
      <c r="A622" t="s">
        <v>1580</v>
      </c>
      <c r="B622" t="s">
        <v>761</v>
      </c>
      <c r="C622">
        <v>78</v>
      </c>
      <c r="D622" t="s">
        <v>957</v>
      </c>
      <c r="E622">
        <v>198</v>
      </c>
      <c r="F622" s="36">
        <v>69.849999999999994</v>
      </c>
      <c r="G622">
        <v>0</v>
      </c>
      <c r="H62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622" s="37">
        <f>Tableau2[[#This Row],[Facture_Mensuelle $]]*Tableau2[[#This Row],[Remise taux]]</f>
        <v>0</v>
      </c>
    </row>
    <row r="623" spans="1:9" x14ac:dyDescent="0.25">
      <c r="A623" t="s">
        <v>1581</v>
      </c>
      <c r="B623" t="s">
        <v>764</v>
      </c>
      <c r="C623">
        <v>5</v>
      </c>
      <c r="D623" t="s">
        <v>961</v>
      </c>
      <c r="E623">
        <v>384</v>
      </c>
      <c r="F623" s="36">
        <v>97.26</v>
      </c>
      <c r="G623">
        <v>3</v>
      </c>
      <c r="H62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43.767000000000003</v>
      </c>
      <c r="I623" s="37">
        <f>Tableau2[[#This Row],[Facture_Mensuelle $]]*Tableau2[[#This Row],[Remise taux]]</f>
        <v>4256.7784200000006</v>
      </c>
    </row>
    <row r="624" spans="1:9" x14ac:dyDescent="0.25">
      <c r="A624" t="s">
        <v>1582</v>
      </c>
      <c r="B624" t="s">
        <v>777</v>
      </c>
      <c r="C624">
        <v>87</v>
      </c>
      <c r="D624" t="s">
        <v>955</v>
      </c>
      <c r="E624">
        <v>486</v>
      </c>
      <c r="F624" s="36">
        <v>58.26</v>
      </c>
      <c r="G624">
        <v>0</v>
      </c>
      <c r="H62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26.216999999999999</v>
      </c>
      <c r="I624" s="37">
        <f>Tableau2[[#This Row],[Facture_Mensuelle $]]*Tableau2[[#This Row],[Remise taux]]</f>
        <v>1527.4024199999999</v>
      </c>
    </row>
    <row r="625" spans="1:9" x14ac:dyDescent="0.25">
      <c r="A625" t="s">
        <v>1583</v>
      </c>
      <c r="B625" t="s">
        <v>785</v>
      </c>
      <c r="C625">
        <v>42</v>
      </c>
      <c r="D625" t="s">
        <v>957</v>
      </c>
      <c r="E625">
        <v>385</v>
      </c>
      <c r="F625" s="36">
        <v>96.52</v>
      </c>
      <c r="G625">
        <v>1</v>
      </c>
      <c r="H62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43.433999999999997</v>
      </c>
      <c r="I625" s="37">
        <f>Tableau2[[#This Row],[Facture_Mensuelle $]]*Tableau2[[#This Row],[Remise taux]]</f>
        <v>4192.2496799999999</v>
      </c>
    </row>
    <row r="626" spans="1:9" x14ac:dyDescent="0.25">
      <c r="A626" t="s">
        <v>1584</v>
      </c>
      <c r="B626" t="s">
        <v>773</v>
      </c>
      <c r="C626">
        <v>103</v>
      </c>
      <c r="D626" t="s">
        <v>961</v>
      </c>
      <c r="E626">
        <v>386</v>
      </c>
      <c r="F626" s="36">
        <v>10.58</v>
      </c>
      <c r="G626">
        <v>0</v>
      </c>
      <c r="H62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4.7610000000000001</v>
      </c>
      <c r="I626" s="37">
        <f>Tableau2[[#This Row],[Facture_Mensuelle $]]*Tableau2[[#This Row],[Remise taux]]</f>
        <v>50.371380000000002</v>
      </c>
    </row>
    <row r="627" spans="1:9" x14ac:dyDescent="0.25">
      <c r="A627" t="s">
        <v>1585</v>
      </c>
      <c r="B627" t="s">
        <v>763</v>
      </c>
      <c r="C627">
        <v>63</v>
      </c>
      <c r="D627" t="s">
        <v>953</v>
      </c>
      <c r="E627">
        <v>392</v>
      </c>
      <c r="F627" s="36">
        <v>93.11</v>
      </c>
      <c r="G627">
        <v>3</v>
      </c>
      <c r="H62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41.899500000000003</v>
      </c>
      <c r="I627" s="37">
        <f>Tableau2[[#This Row],[Facture_Mensuelle $]]*Tableau2[[#This Row],[Remise taux]]</f>
        <v>3901.2624450000003</v>
      </c>
    </row>
    <row r="628" spans="1:9" x14ac:dyDescent="0.25">
      <c r="A628" t="s">
        <v>1586</v>
      </c>
      <c r="B628" t="s">
        <v>781</v>
      </c>
      <c r="C628">
        <v>52</v>
      </c>
      <c r="D628" t="s">
        <v>953</v>
      </c>
      <c r="E628">
        <v>307</v>
      </c>
      <c r="F628" s="36">
        <v>81.38</v>
      </c>
      <c r="G628">
        <v>2</v>
      </c>
      <c r="H62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36.621000000000002</v>
      </c>
      <c r="I628" s="37">
        <f>Tableau2[[#This Row],[Facture_Mensuelle $]]*Tableau2[[#This Row],[Remise taux]]</f>
        <v>2980.2169800000001</v>
      </c>
    </row>
    <row r="629" spans="1:9" x14ac:dyDescent="0.25">
      <c r="A629" t="s">
        <v>1587</v>
      </c>
      <c r="B629" t="s">
        <v>774</v>
      </c>
      <c r="C629">
        <v>57</v>
      </c>
      <c r="D629" t="s">
        <v>953</v>
      </c>
      <c r="E629">
        <v>208</v>
      </c>
      <c r="F629" s="36">
        <v>85.66</v>
      </c>
      <c r="G629">
        <v>5</v>
      </c>
      <c r="H62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629" s="37">
        <f>Tableau2[[#This Row],[Facture_Mensuelle $]]*Tableau2[[#This Row],[Remise taux]]</f>
        <v>0</v>
      </c>
    </row>
    <row r="630" spans="1:9" x14ac:dyDescent="0.25">
      <c r="A630" t="s">
        <v>1588</v>
      </c>
      <c r="B630" t="s">
        <v>763</v>
      </c>
      <c r="C630">
        <v>55</v>
      </c>
      <c r="D630" t="s">
        <v>961</v>
      </c>
      <c r="E630">
        <v>86</v>
      </c>
      <c r="F630" s="36">
        <v>17.440000000000001</v>
      </c>
      <c r="G630">
        <v>2</v>
      </c>
      <c r="H63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7.8480000000000008</v>
      </c>
      <c r="I630" s="37">
        <f>Tableau2[[#This Row],[Facture_Mensuelle $]]*Tableau2[[#This Row],[Remise taux]]</f>
        <v>136.86912000000001</v>
      </c>
    </row>
    <row r="631" spans="1:9" x14ac:dyDescent="0.25">
      <c r="A631" t="s">
        <v>1589</v>
      </c>
      <c r="B631" t="s">
        <v>772</v>
      </c>
      <c r="C631">
        <v>58</v>
      </c>
      <c r="D631" t="s">
        <v>961</v>
      </c>
      <c r="E631">
        <v>485</v>
      </c>
      <c r="F631" s="36">
        <v>64.290000000000006</v>
      </c>
      <c r="G631">
        <v>4</v>
      </c>
      <c r="H63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28.930500000000002</v>
      </c>
      <c r="I631" s="37">
        <f>Tableau2[[#This Row],[Facture_Mensuelle $]]*Tableau2[[#This Row],[Remise taux]]</f>
        <v>1859.9418450000003</v>
      </c>
    </row>
    <row r="632" spans="1:9" hidden="1" x14ac:dyDescent="0.25">
      <c r="A632" t="s">
        <v>1590</v>
      </c>
      <c r="B632" t="s">
        <v>777</v>
      </c>
      <c r="C632">
        <v>-53</v>
      </c>
      <c r="D632" t="s">
        <v>953</v>
      </c>
      <c r="E632">
        <v>414</v>
      </c>
      <c r="F632" s="34">
        <v>64.39</v>
      </c>
      <c r="G632">
        <v>1</v>
      </c>
      <c r="H63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28.9755</v>
      </c>
      <c r="I632" s="35">
        <f>Tableau2[[#This Row],[Facture_Mensuelle $]]*Tableau2[[#This Row],[Remise taux]]</f>
        <v>1865.7324450000001</v>
      </c>
    </row>
    <row r="633" spans="1:9" x14ac:dyDescent="0.25">
      <c r="A633" t="s">
        <v>1591</v>
      </c>
      <c r="B633" t="s">
        <v>762</v>
      </c>
      <c r="C633">
        <v>9</v>
      </c>
      <c r="D633" t="s">
        <v>953</v>
      </c>
      <c r="E633">
        <v>27</v>
      </c>
      <c r="F633" s="36">
        <v>99.02</v>
      </c>
      <c r="G633">
        <v>3</v>
      </c>
      <c r="H63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633" s="37">
        <f>Tableau2[[#This Row],[Facture_Mensuelle $]]*Tableau2[[#This Row],[Remise taux]]</f>
        <v>0</v>
      </c>
    </row>
    <row r="634" spans="1:9" x14ac:dyDescent="0.25">
      <c r="A634" t="s">
        <v>1592</v>
      </c>
      <c r="B634" t="s">
        <v>778</v>
      </c>
      <c r="C634">
        <v>84</v>
      </c>
      <c r="D634" t="s">
        <v>953</v>
      </c>
      <c r="E634">
        <v>364</v>
      </c>
      <c r="F634" s="36">
        <v>87.79</v>
      </c>
      <c r="G634">
        <v>3</v>
      </c>
      <c r="H63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39.505500000000005</v>
      </c>
      <c r="I634" s="37">
        <f>Tableau2[[#This Row],[Facture_Mensuelle $]]*Tableau2[[#This Row],[Remise taux]]</f>
        <v>3468.1878450000008</v>
      </c>
    </row>
    <row r="635" spans="1:9" x14ac:dyDescent="0.25">
      <c r="A635" t="s">
        <v>1593</v>
      </c>
      <c r="B635" t="s">
        <v>772</v>
      </c>
      <c r="C635">
        <v>27</v>
      </c>
      <c r="D635" t="s">
        <v>953</v>
      </c>
      <c r="E635">
        <v>275</v>
      </c>
      <c r="F635" s="36">
        <v>80.069999999999993</v>
      </c>
      <c r="G635">
        <v>1</v>
      </c>
      <c r="H63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36.031500000000001</v>
      </c>
      <c r="I635" s="37">
        <f>Tableau2[[#This Row],[Facture_Mensuelle $]]*Tableau2[[#This Row],[Remise taux]]</f>
        <v>2885.0422049999997</v>
      </c>
    </row>
    <row r="636" spans="1:9" x14ac:dyDescent="0.25">
      <c r="A636" t="s">
        <v>1594</v>
      </c>
      <c r="B636" t="s">
        <v>768</v>
      </c>
      <c r="C636">
        <v>56</v>
      </c>
      <c r="D636" t="s">
        <v>953</v>
      </c>
      <c r="E636">
        <v>114</v>
      </c>
      <c r="F636" s="36">
        <v>64.39</v>
      </c>
      <c r="G636">
        <v>1</v>
      </c>
      <c r="H63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636" s="37">
        <f>Tableau2[[#This Row],[Facture_Mensuelle $]]*Tableau2[[#This Row],[Remise taux]]</f>
        <v>0</v>
      </c>
    </row>
    <row r="637" spans="1:9" x14ac:dyDescent="0.25">
      <c r="A637" t="s">
        <v>1595</v>
      </c>
      <c r="B637" t="s">
        <v>776</v>
      </c>
      <c r="C637">
        <v>51</v>
      </c>
      <c r="D637" t="s">
        <v>957</v>
      </c>
      <c r="E637">
        <v>152</v>
      </c>
      <c r="F637" s="36">
        <v>34.630000000000003</v>
      </c>
      <c r="G637">
        <v>2</v>
      </c>
      <c r="H63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637" s="37">
        <f>Tableau2[[#This Row],[Facture_Mensuelle $]]*Tableau2[[#This Row],[Remise taux]]</f>
        <v>0</v>
      </c>
    </row>
    <row r="638" spans="1:9" x14ac:dyDescent="0.25">
      <c r="A638" t="s">
        <v>1596</v>
      </c>
      <c r="B638" t="s">
        <v>786</v>
      </c>
      <c r="C638">
        <v>26</v>
      </c>
      <c r="D638" t="s">
        <v>953</v>
      </c>
      <c r="E638">
        <v>174</v>
      </c>
      <c r="F638" s="36">
        <v>90.53</v>
      </c>
      <c r="G638">
        <v>3</v>
      </c>
      <c r="H63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638" s="37">
        <f>Tableau2[[#This Row],[Facture_Mensuelle $]]*Tableau2[[#This Row],[Remise taux]]</f>
        <v>0</v>
      </c>
    </row>
    <row r="639" spans="1:9" x14ac:dyDescent="0.25">
      <c r="A639" t="s">
        <v>1597</v>
      </c>
      <c r="B639" t="s">
        <v>775</v>
      </c>
      <c r="C639">
        <v>60</v>
      </c>
      <c r="D639" t="s">
        <v>953</v>
      </c>
      <c r="E639">
        <v>168</v>
      </c>
      <c r="F639" s="36">
        <v>67.650000000000006</v>
      </c>
      <c r="G639">
        <v>1</v>
      </c>
      <c r="H63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639" s="37">
        <f>Tableau2[[#This Row],[Facture_Mensuelle $]]*Tableau2[[#This Row],[Remise taux]]</f>
        <v>0</v>
      </c>
    </row>
    <row r="640" spans="1:9" x14ac:dyDescent="0.25">
      <c r="A640" t="s">
        <v>1598</v>
      </c>
      <c r="B640" t="s">
        <v>762</v>
      </c>
      <c r="C640">
        <v>47</v>
      </c>
      <c r="D640" t="s">
        <v>953</v>
      </c>
      <c r="E640">
        <v>199</v>
      </c>
      <c r="F640" s="36">
        <v>23.19</v>
      </c>
      <c r="G640">
        <v>2</v>
      </c>
      <c r="H64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640" s="37">
        <f>Tableau2[[#This Row],[Facture_Mensuelle $]]*Tableau2[[#This Row],[Remise taux]]</f>
        <v>0</v>
      </c>
    </row>
    <row r="641" spans="1:9" x14ac:dyDescent="0.25">
      <c r="A641" t="s">
        <v>1599</v>
      </c>
      <c r="B641" t="s">
        <v>769</v>
      </c>
      <c r="C641">
        <v>7</v>
      </c>
      <c r="D641" t="s">
        <v>953</v>
      </c>
      <c r="E641">
        <v>257</v>
      </c>
      <c r="F641" s="36">
        <v>73.040000000000006</v>
      </c>
      <c r="G641">
        <v>3</v>
      </c>
      <c r="H64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32.868000000000002</v>
      </c>
      <c r="I641" s="37">
        <f>Tableau2[[#This Row],[Facture_Mensuelle $]]*Tableau2[[#This Row],[Remise taux]]</f>
        <v>2400.6787200000003</v>
      </c>
    </row>
    <row r="642" spans="1:9" x14ac:dyDescent="0.25">
      <c r="A642" t="s">
        <v>1600</v>
      </c>
      <c r="B642" t="s">
        <v>778</v>
      </c>
      <c r="C642">
        <v>59</v>
      </c>
      <c r="D642" t="s">
        <v>955</v>
      </c>
      <c r="E642">
        <v>369</v>
      </c>
      <c r="F642" s="36">
        <v>26.64</v>
      </c>
      <c r="G642">
        <v>4</v>
      </c>
      <c r="H64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11.988000000000001</v>
      </c>
      <c r="I642" s="37">
        <f>Tableau2[[#This Row],[Facture_Mensuelle $]]*Tableau2[[#This Row],[Remise taux]]</f>
        <v>319.36032000000006</v>
      </c>
    </row>
    <row r="643" spans="1:9" x14ac:dyDescent="0.25">
      <c r="A643" t="s">
        <v>1601</v>
      </c>
      <c r="B643" t="s">
        <v>783</v>
      </c>
      <c r="C643">
        <v>104</v>
      </c>
      <c r="D643" t="s">
        <v>953</v>
      </c>
      <c r="E643">
        <v>243</v>
      </c>
      <c r="F643" s="36">
        <v>65.819999999999993</v>
      </c>
      <c r="G643">
        <v>0</v>
      </c>
      <c r="H64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29.618999999999996</v>
      </c>
      <c r="I643" s="37">
        <f>Tableau2[[#This Row],[Facture_Mensuelle $]]*Tableau2[[#This Row],[Remise taux]]</f>
        <v>1949.5225799999996</v>
      </c>
    </row>
    <row r="644" spans="1:9" x14ac:dyDescent="0.25">
      <c r="A644" t="s">
        <v>1602</v>
      </c>
      <c r="B644" t="s">
        <v>777</v>
      </c>
      <c r="C644">
        <v>48</v>
      </c>
      <c r="D644" t="s">
        <v>957</v>
      </c>
      <c r="E644">
        <v>15</v>
      </c>
      <c r="F644" s="36">
        <v>50.67</v>
      </c>
      <c r="G644">
        <v>1</v>
      </c>
      <c r="H64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644" s="37">
        <f>Tableau2[[#This Row],[Facture_Mensuelle $]]*Tableau2[[#This Row],[Remise taux]]</f>
        <v>0</v>
      </c>
    </row>
    <row r="645" spans="1:9" x14ac:dyDescent="0.25">
      <c r="A645" t="s">
        <v>1603</v>
      </c>
      <c r="B645" t="s">
        <v>777</v>
      </c>
      <c r="C645">
        <v>71</v>
      </c>
      <c r="D645" t="s">
        <v>953</v>
      </c>
      <c r="E645">
        <v>364</v>
      </c>
      <c r="F645" s="36">
        <v>39.58</v>
      </c>
      <c r="G645">
        <v>1</v>
      </c>
      <c r="H64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17.811</v>
      </c>
      <c r="I645" s="37">
        <f>Tableau2[[#This Row],[Facture_Mensuelle $]]*Tableau2[[#This Row],[Remise taux]]</f>
        <v>704.95938000000001</v>
      </c>
    </row>
    <row r="646" spans="1:9" x14ac:dyDescent="0.25">
      <c r="A646" t="s">
        <v>1604</v>
      </c>
      <c r="B646" t="s">
        <v>762</v>
      </c>
      <c r="C646">
        <v>88</v>
      </c>
      <c r="D646" t="s">
        <v>957</v>
      </c>
      <c r="E646">
        <v>154</v>
      </c>
      <c r="F646" s="36">
        <v>62.62</v>
      </c>
      <c r="G646">
        <v>5</v>
      </c>
      <c r="H64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646" s="37">
        <f>Tableau2[[#This Row],[Facture_Mensuelle $]]*Tableau2[[#This Row],[Remise taux]]</f>
        <v>0</v>
      </c>
    </row>
    <row r="647" spans="1:9" x14ac:dyDescent="0.25">
      <c r="A647" t="s">
        <v>1605</v>
      </c>
      <c r="B647" t="s">
        <v>783</v>
      </c>
      <c r="C647">
        <v>119</v>
      </c>
      <c r="D647" t="s">
        <v>957</v>
      </c>
      <c r="E647">
        <v>231</v>
      </c>
      <c r="F647" s="36">
        <v>20.22</v>
      </c>
      <c r="G647">
        <v>2</v>
      </c>
      <c r="H64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647" s="37">
        <f>Tableau2[[#This Row],[Facture_Mensuelle $]]*Tableau2[[#This Row],[Remise taux]]</f>
        <v>0</v>
      </c>
    </row>
    <row r="648" spans="1:9" x14ac:dyDescent="0.25">
      <c r="A648" t="s">
        <v>1606</v>
      </c>
      <c r="B648" t="s">
        <v>777</v>
      </c>
      <c r="C648">
        <v>81</v>
      </c>
      <c r="D648" t="s">
        <v>955</v>
      </c>
      <c r="E648">
        <v>298</v>
      </c>
      <c r="F648" s="36">
        <v>53.61</v>
      </c>
      <c r="G648">
        <v>2</v>
      </c>
      <c r="H64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24.124500000000001</v>
      </c>
      <c r="I648" s="37">
        <f>Tableau2[[#This Row],[Facture_Mensuelle $]]*Tableau2[[#This Row],[Remise taux]]</f>
        <v>1293.314445</v>
      </c>
    </row>
    <row r="649" spans="1:9" x14ac:dyDescent="0.25">
      <c r="A649" t="s">
        <v>1607</v>
      </c>
      <c r="B649" t="s">
        <v>778</v>
      </c>
      <c r="C649">
        <v>45</v>
      </c>
      <c r="D649" t="s">
        <v>961</v>
      </c>
      <c r="E649">
        <v>244</v>
      </c>
      <c r="F649" s="36">
        <v>55.17</v>
      </c>
      <c r="G649">
        <v>2</v>
      </c>
      <c r="H64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24.826500000000003</v>
      </c>
      <c r="I649" s="37">
        <f>Tableau2[[#This Row],[Facture_Mensuelle $]]*Tableau2[[#This Row],[Remise taux]]</f>
        <v>1369.6780050000002</v>
      </c>
    </row>
    <row r="650" spans="1:9" x14ac:dyDescent="0.25">
      <c r="A650" t="s">
        <v>1608</v>
      </c>
      <c r="B650" t="s">
        <v>768</v>
      </c>
      <c r="C650">
        <v>86</v>
      </c>
      <c r="D650" t="s">
        <v>961</v>
      </c>
      <c r="E650">
        <v>471</v>
      </c>
      <c r="F650" s="36">
        <v>33.380000000000003</v>
      </c>
      <c r="G650">
        <v>4</v>
      </c>
      <c r="H65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15.021000000000001</v>
      </c>
      <c r="I650" s="37">
        <f>Tableau2[[#This Row],[Facture_Mensuelle $]]*Tableau2[[#This Row],[Remise taux]]</f>
        <v>501.40098000000006</v>
      </c>
    </row>
    <row r="651" spans="1:9" x14ac:dyDescent="0.25">
      <c r="A651" t="s">
        <v>1609</v>
      </c>
      <c r="B651" t="s">
        <v>781</v>
      </c>
      <c r="C651">
        <v>33</v>
      </c>
      <c r="D651" t="s">
        <v>961</v>
      </c>
      <c r="E651">
        <v>444</v>
      </c>
      <c r="F651" s="36">
        <v>10.28</v>
      </c>
      <c r="G651">
        <v>5</v>
      </c>
      <c r="H65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4.6259999999999994</v>
      </c>
      <c r="I651" s="37">
        <f>Tableau2[[#This Row],[Facture_Mensuelle $]]*Tableau2[[#This Row],[Remise taux]]</f>
        <v>47.555279999999989</v>
      </c>
    </row>
    <row r="652" spans="1:9" x14ac:dyDescent="0.25">
      <c r="A652" t="s">
        <v>1610</v>
      </c>
      <c r="B652" t="s">
        <v>768</v>
      </c>
      <c r="C652">
        <v>104</v>
      </c>
      <c r="D652" t="s">
        <v>955</v>
      </c>
      <c r="E652">
        <v>317</v>
      </c>
      <c r="F652" s="36">
        <v>79.150000000000006</v>
      </c>
      <c r="G652">
        <v>1</v>
      </c>
      <c r="H65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35.617500000000007</v>
      </c>
      <c r="I652" s="37">
        <f>Tableau2[[#This Row],[Facture_Mensuelle $]]*Tableau2[[#This Row],[Remise taux]]</f>
        <v>2819.1251250000009</v>
      </c>
    </row>
    <row r="653" spans="1:9" x14ac:dyDescent="0.25">
      <c r="A653" t="s">
        <v>1611</v>
      </c>
      <c r="B653" t="s">
        <v>761</v>
      </c>
      <c r="C653">
        <v>90</v>
      </c>
      <c r="D653" t="s">
        <v>955</v>
      </c>
      <c r="E653">
        <v>195</v>
      </c>
      <c r="F653" s="36">
        <v>52.71</v>
      </c>
      <c r="G653">
        <v>2</v>
      </c>
      <c r="H65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653" s="37">
        <f>Tableau2[[#This Row],[Facture_Mensuelle $]]*Tableau2[[#This Row],[Remise taux]]</f>
        <v>0</v>
      </c>
    </row>
    <row r="654" spans="1:9" x14ac:dyDescent="0.25">
      <c r="A654" t="s">
        <v>1612</v>
      </c>
      <c r="B654" t="s">
        <v>785</v>
      </c>
      <c r="C654">
        <v>108</v>
      </c>
      <c r="D654" t="s">
        <v>957</v>
      </c>
      <c r="E654">
        <v>278</v>
      </c>
      <c r="F654" s="36">
        <v>40.51</v>
      </c>
      <c r="G654">
        <v>3</v>
      </c>
      <c r="H65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18.229499999999998</v>
      </c>
      <c r="I654" s="37">
        <f>Tableau2[[#This Row],[Facture_Mensuelle $]]*Tableau2[[#This Row],[Remise taux]]</f>
        <v>738.47704499999986</v>
      </c>
    </row>
    <row r="655" spans="1:9" x14ac:dyDescent="0.25">
      <c r="A655" t="s">
        <v>1613</v>
      </c>
      <c r="B655" t="s">
        <v>764</v>
      </c>
      <c r="C655">
        <v>57</v>
      </c>
      <c r="D655" t="s">
        <v>957</v>
      </c>
      <c r="E655">
        <v>375</v>
      </c>
      <c r="F655" s="36">
        <v>64.73</v>
      </c>
      <c r="G655">
        <v>1</v>
      </c>
      <c r="H65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29.128500000000003</v>
      </c>
      <c r="I655" s="37">
        <f>Tableau2[[#This Row],[Facture_Mensuelle $]]*Tableau2[[#This Row],[Remise taux]]</f>
        <v>1885.4878050000002</v>
      </c>
    </row>
    <row r="656" spans="1:9" x14ac:dyDescent="0.25">
      <c r="A656" t="s">
        <v>1614</v>
      </c>
      <c r="B656" t="s">
        <v>771</v>
      </c>
      <c r="C656">
        <v>101</v>
      </c>
      <c r="D656" t="s">
        <v>955</v>
      </c>
      <c r="E656">
        <v>210</v>
      </c>
      <c r="F656" s="36">
        <v>35.4</v>
      </c>
      <c r="G656">
        <v>1</v>
      </c>
      <c r="H65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656" s="37">
        <f>Tableau2[[#This Row],[Facture_Mensuelle $]]*Tableau2[[#This Row],[Remise taux]]</f>
        <v>0</v>
      </c>
    </row>
    <row r="657" spans="1:9" x14ac:dyDescent="0.25">
      <c r="A657" t="s">
        <v>1615</v>
      </c>
      <c r="B657" t="s">
        <v>781</v>
      </c>
      <c r="C657">
        <v>72</v>
      </c>
      <c r="D657" t="s">
        <v>955</v>
      </c>
      <c r="E657">
        <v>333</v>
      </c>
      <c r="F657" s="36">
        <v>34.57</v>
      </c>
      <c r="G657">
        <v>2</v>
      </c>
      <c r="H65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15.5565</v>
      </c>
      <c r="I657" s="37">
        <f>Tableau2[[#This Row],[Facture_Mensuelle $]]*Tableau2[[#This Row],[Remise taux]]</f>
        <v>537.78820499999995</v>
      </c>
    </row>
    <row r="658" spans="1:9" x14ac:dyDescent="0.25">
      <c r="A658" t="s">
        <v>1616</v>
      </c>
      <c r="B658" t="s">
        <v>769</v>
      </c>
      <c r="C658">
        <v>91</v>
      </c>
      <c r="D658" t="s">
        <v>957</v>
      </c>
      <c r="E658">
        <v>404</v>
      </c>
      <c r="F658" s="36">
        <v>76.53</v>
      </c>
      <c r="G658">
        <v>5</v>
      </c>
      <c r="H65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34.438500000000005</v>
      </c>
      <c r="I658" s="37">
        <f>Tableau2[[#This Row],[Facture_Mensuelle $]]*Tableau2[[#This Row],[Remise taux]]</f>
        <v>2635.5784050000002</v>
      </c>
    </row>
    <row r="659" spans="1:9" x14ac:dyDescent="0.25">
      <c r="A659" t="s">
        <v>1617</v>
      </c>
      <c r="B659" t="s">
        <v>768</v>
      </c>
      <c r="C659">
        <v>118</v>
      </c>
      <c r="D659" t="s">
        <v>953</v>
      </c>
      <c r="E659">
        <v>300</v>
      </c>
      <c r="F659" s="36">
        <v>98.22</v>
      </c>
      <c r="G659">
        <v>4</v>
      </c>
      <c r="H65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44.198999999999998</v>
      </c>
      <c r="I659" s="37">
        <f>Tableau2[[#This Row],[Facture_Mensuelle $]]*Tableau2[[#This Row],[Remise taux]]</f>
        <v>4341.2257799999998</v>
      </c>
    </row>
    <row r="660" spans="1:9" x14ac:dyDescent="0.25">
      <c r="A660" t="s">
        <v>1618</v>
      </c>
      <c r="B660" t="s">
        <v>771</v>
      </c>
      <c r="C660">
        <v>79</v>
      </c>
      <c r="D660" t="s">
        <v>953</v>
      </c>
      <c r="E660">
        <v>357</v>
      </c>
      <c r="F660" s="36">
        <v>69.900000000000006</v>
      </c>
      <c r="G660">
        <v>5</v>
      </c>
      <c r="H66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31.455000000000002</v>
      </c>
      <c r="I660" s="37">
        <f>Tableau2[[#This Row],[Facture_Mensuelle $]]*Tableau2[[#This Row],[Remise taux]]</f>
        <v>2198.7045000000003</v>
      </c>
    </row>
    <row r="661" spans="1:9" x14ac:dyDescent="0.25">
      <c r="A661" t="s">
        <v>1619</v>
      </c>
      <c r="B661" t="s">
        <v>778</v>
      </c>
      <c r="C661">
        <v>112</v>
      </c>
      <c r="D661" t="s">
        <v>957</v>
      </c>
      <c r="E661">
        <v>281</v>
      </c>
      <c r="F661" s="36">
        <v>80.72</v>
      </c>
      <c r="G661">
        <v>2</v>
      </c>
      <c r="H66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36.323999999999998</v>
      </c>
      <c r="I661" s="37">
        <f>Tableau2[[#This Row],[Facture_Mensuelle $]]*Tableau2[[#This Row],[Remise taux]]</f>
        <v>2932.0732799999996</v>
      </c>
    </row>
    <row r="662" spans="1:9" x14ac:dyDescent="0.25">
      <c r="A662" t="s">
        <v>1620</v>
      </c>
      <c r="B662" t="s">
        <v>765</v>
      </c>
      <c r="C662">
        <v>93</v>
      </c>
      <c r="D662" t="s">
        <v>955</v>
      </c>
      <c r="E662">
        <v>153</v>
      </c>
      <c r="F662" s="36">
        <v>86.19</v>
      </c>
      <c r="G662">
        <v>0</v>
      </c>
      <c r="H66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662" s="37">
        <f>Tableau2[[#This Row],[Facture_Mensuelle $]]*Tableau2[[#This Row],[Remise taux]]</f>
        <v>0</v>
      </c>
    </row>
    <row r="663" spans="1:9" x14ac:dyDescent="0.25">
      <c r="A663" t="s">
        <v>1621</v>
      </c>
      <c r="B663" t="s">
        <v>782</v>
      </c>
      <c r="C663">
        <v>48</v>
      </c>
      <c r="D663" t="s">
        <v>953</v>
      </c>
      <c r="E663">
        <v>482</v>
      </c>
      <c r="F663" s="36">
        <v>83.24</v>
      </c>
      <c r="G663">
        <v>0</v>
      </c>
      <c r="H66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37.457999999999998</v>
      </c>
      <c r="I663" s="37">
        <f>Tableau2[[#This Row],[Facture_Mensuelle $]]*Tableau2[[#This Row],[Remise taux]]</f>
        <v>3118.0039199999997</v>
      </c>
    </row>
    <row r="664" spans="1:9" x14ac:dyDescent="0.25">
      <c r="A664" t="s">
        <v>1622</v>
      </c>
      <c r="B664" t="s">
        <v>775</v>
      </c>
      <c r="C664">
        <v>22</v>
      </c>
      <c r="D664" t="s">
        <v>955</v>
      </c>
      <c r="E664">
        <v>127</v>
      </c>
      <c r="F664" s="36">
        <v>49.06</v>
      </c>
      <c r="G664">
        <v>2</v>
      </c>
      <c r="H66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664" s="37">
        <f>Tableau2[[#This Row],[Facture_Mensuelle $]]*Tableau2[[#This Row],[Remise taux]]</f>
        <v>0</v>
      </c>
    </row>
    <row r="665" spans="1:9" x14ac:dyDescent="0.25">
      <c r="A665" t="s">
        <v>1623</v>
      </c>
      <c r="B665" t="s">
        <v>772</v>
      </c>
      <c r="C665">
        <v>87</v>
      </c>
      <c r="D665" t="s">
        <v>955</v>
      </c>
      <c r="E665">
        <v>205</v>
      </c>
      <c r="F665" s="36">
        <v>40.159999999999997</v>
      </c>
      <c r="G665">
        <v>5</v>
      </c>
      <c r="H66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665" s="37">
        <f>Tableau2[[#This Row],[Facture_Mensuelle $]]*Tableau2[[#This Row],[Remise taux]]</f>
        <v>0</v>
      </c>
    </row>
    <row r="666" spans="1:9" x14ac:dyDescent="0.25">
      <c r="A666" t="s">
        <v>1624</v>
      </c>
      <c r="B666" t="s">
        <v>769</v>
      </c>
      <c r="C666">
        <v>100</v>
      </c>
      <c r="D666" t="s">
        <v>953</v>
      </c>
      <c r="E666">
        <v>471</v>
      </c>
      <c r="F666" s="36">
        <v>61.2</v>
      </c>
      <c r="G666">
        <v>3</v>
      </c>
      <c r="H66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27.540000000000003</v>
      </c>
      <c r="I666" s="37">
        <f>Tableau2[[#This Row],[Facture_Mensuelle $]]*Tableau2[[#This Row],[Remise taux]]</f>
        <v>1685.4480000000003</v>
      </c>
    </row>
    <row r="667" spans="1:9" x14ac:dyDescent="0.25">
      <c r="A667" t="s">
        <v>1625</v>
      </c>
      <c r="B667" t="s">
        <v>764</v>
      </c>
      <c r="C667">
        <v>51</v>
      </c>
      <c r="D667" t="s">
        <v>957</v>
      </c>
      <c r="E667">
        <v>433</v>
      </c>
      <c r="F667" s="36">
        <v>12.89</v>
      </c>
      <c r="G667">
        <v>1</v>
      </c>
      <c r="H66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5.8005000000000004</v>
      </c>
      <c r="I667" s="37">
        <f>Tableau2[[#This Row],[Facture_Mensuelle $]]*Tableau2[[#This Row],[Remise taux]]</f>
        <v>74.768445000000014</v>
      </c>
    </row>
    <row r="668" spans="1:9" x14ac:dyDescent="0.25">
      <c r="A668" t="s">
        <v>1626</v>
      </c>
      <c r="B668" t="s">
        <v>772</v>
      </c>
      <c r="C668">
        <v>15</v>
      </c>
      <c r="D668" t="s">
        <v>953</v>
      </c>
      <c r="E668">
        <v>30</v>
      </c>
      <c r="F668" s="36">
        <v>30.5</v>
      </c>
      <c r="G668">
        <v>1</v>
      </c>
      <c r="H66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668" s="37">
        <f>Tableau2[[#This Row],[Facture_Mensuelle $]]*Tableau2[[#This Row],[Remise taux]]</f>
        <v>0</v>
      </c>
    </row>
    <row r="669" spans="1:9" x14ac:dyDescent="0.25">
      <c r="A669" t="s">
        <v>1627</v>
      </c>
      <c r="B669" t="s">
        <v>763</v>
      </c>
      <c r="C669">
        <v>55</v>
      </c>
      <c r="D669" t="s">
        <v>953</v>
      </c>
      <c r="E669">
        <v>407</v>
      </c>
      <c r="F669" s="36">
        <v>23.11</v>
      </c>
      <c r="G669">
        <v>0</v>
      </c>
      <c r="H66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10.3995</v>
      </c>
      <c r="I669" s="37">
        <f>Tableau2[[#This Row],[Facture_Mensuelle $]]*Tableau2[[#This Row],[Remise taux]]</f>
        <v>240.33244499999998</v>
      </c>
    </row>
    <row r="670" spans="1:9" x14ac:dyDescent="0.25">
      <c r="A670" t="s">
        <v>1628</v>
      </c>
      <c r="B670" t="s">
        <v>765</v>
      </c>
      <c r="C670">
        <v>99</v>
      </c>
      <c r="D670" t="s">
        <v>955</v>
      </c>
      <c r="E670">
        <v>42</v>
      </c>
      <c r="F670" s="36">
        <v>98.77</v>
      </c>
      <c r="G670">
        <v>3</v>
      </c>
      <c r="H67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670" s="37">
        <f>Tableau2[[#This Row],[Facture_Mensuelle $]]*Tableau2[[#This Row],[Remise taux]]</f>
        <v>0</v>
      </c>
    </row>
    <row r="671" spans="1:9" x14ac:dyDescent="0.25">
      <c r="A671" t="s">
        <v>1629</v>
      </c>
      <c r="B671" t="s">
        <v>780</v>
      </c>
      <c r="C671">
        <v>50</v>
      </c>
      <c r="D671" t="s">
        <v>953</v>
      </c>
      <c r="E671">
        <v>258</v>
      </c>
      <c r="F671" s="36">
        <v>25.06</v>
      </c>
      <c r="G671">
        <v>4</v>
      </c>
      <c r="H67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11.276999999999999</v>
      </c>
      <c r="I671" s="37">
        <f>Tableau2[[#This Row],[Facture_Mensuelle $]]*Tableau2[[#This Row],[Remise taux]]</f>
        <v>282.60161999999997</v>
      </c>
    </row>
    <row r="672" spans="1:9" x14ac:dyDescent="0.25">
      <c r="A672" t="s">
        <v>1630</v>
      </c>
      <c r="B672" t="s">
        <v>784</v>
      </c>
      <c r="C672">
        <v>22</v>
      </c>
      <c r="D672" t="s">
        <v>957</v>
      </c>
      <c r="E672">
        <v>451</v>
      </c>
      <c r="F672" s="36">
        <v>76.38</v>
      </c>
      <c r="G672">
        <v>3</v>
      </c>
      <c r="H67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34.371000000000002</v>
      </c>
      <c r="I672" s="37">
        <f>Tableau2[[#This Row],[Facture_Mensuelle $]]*Tableau2[[#This Row],[Remise taux]]</f>
        <v>2625.2569800000001</v>
      </c>
    </row>
    <row r="673" spans="1:9" x14ac:dyDescent="0.25">
      <c r="A673" t="s">
        <v>1631</v>
      </c>
      <c r="B673" t="s">
        <v>775</v>
      </c>
      <c r="C673">
        <v>83</v>
      </c>
      <c r="D673" t="s">
        <v>955</v>
      </c>
      <c r="E673">
        <v>91</v>
      </c>
      <c r="F673" s="36">
        <v>73.73</v>
      </c>
      <c r="G673">
        <v>2</v>
      </c>
      <c r="H67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673" s="37">
        <f>Tableau2[[#This Row],[Facture_Mensuelle $]]*Tableau2[[#This Row],[Remise taux]]</f>
        <v>0</v>
      </c>
    </row>
    <row r="674" spans="1:9" x14ac:dyDescent="0.25">
      <c r="A674" t="s">
        <v>1632</v>
      </c>
      <c r="B674" t="s">
        <v>761</v>
      </c>
      <c r="C674">
        <v>35</v>
      </c>
      <c r="D674" t="s">
        <v>957</v>
      </c>
      <c r="E674">
        <v>421</v>
      </c>
      <c r="F674" s="36">
        <v>29.57</v>
      </c>
      <c r="G674">
        <v>5</v>
      </c>
      <c r="H67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13.3065</v>
      </c>
      <c r="I674" s="37">
        <f>Tableau2[[#This Row],[Facture_Mensuelle $]]*Tableau2[[#This Row],[Remise taux]]</f>
        <v>393.47320500000001</v>
      </c>
    </row>
    <row r="675" spans="1:9" x14ac:dyDescent="0.25">
      <c r="A675" t="s">
        <v>1633</v>
      </c>
      <c r="B675" t="s">
        <v>775</v>
      </c>
      <c r="C675">
        <v>99</v>
      </c>
      <c r="D675" t="s">
        <v>957</v>
      </c>
      <c r="E675">
        <v>137</v>
      </c>
      <c r="F675" s="36">
        <v>23.05</v>
      </c>
      <c r="G675">
        <v>4</v>
      </c>
      <c r="H67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675" s="37">
        <f>Tableau2[[#This Row],[Facture_Mensuelle $]]*Tableau2[[#This Row],[Remise taux]]</f>
        <v>0</v>
      </c>
    </row>
    <row r="676" spans="1:9" x14ac:dyDescent="0.25">
      <c r="A676" t="s">
        <v>1634</v>
      </c>
      <c r="B676" t="s">
        <v>763</v>
      </c>
      <c r="C676">
        <v>115</v>
      </c>
      <c r="D676" t="s">
        <v>955</v>
      </c>
      <c r="E676">
        <v>262</v>
      </c>
      <c r="F676" s="36">
        <v>66.34</v>
      </c>
      <c r="G676">
        <v>3</v>
      </c>
      <c r="H67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29.853000000000002</v>
      </c>
      <c r="I676" s="37">
        <f>Tableau2[[#This Row],[Facture_Mensuelle $]]*Tableau2[[#This Row],[Remise taux]]</f>
        <v>1980.4480200000003</v>
      </c>
    </row>
    <row r="677" spans="1:9" x14ac:dyDescent="0.25">
      <c r="A677" t="s">
        <v>1635</v>
      </c>
      <c r="B677" t="s">
        <v>773</v>
      </c>
      <c r="C677">
        <v>112</v>
      </c>
      <c r="D677" t="s">
        <v>957</v>
      </c>
      <c r="E677">
        <v>483</v>
      </c>
      <c r="F677" s="36">
        <v>93.98</v>
      </c>
      <c r="G677">
        <v>0</v>
      </c>
      <c r="H67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42.291000000000004</v>
      </c>
      <c r="I677" s="37">
        <f>Tableau2[[#This Row],[Facture_Mensuelle $]]*Tableau2[[#This Row],[Remise taux]]</f>
        <v>3974.5081800000007</v>
      </c>
    </row>
    <row r="678" spans="1:9" x14ac:dyDescent="0.25">
      <c r="A678" t="s">
        <v>1636</v>
      </c>
      <c r="B678" t="s">
        <v>781</v>
      </c>
      <c r="C678">
        <v>7</v>
      </c>
      <c r="D678" t="s">
        <v>953</v>
      </c>
      <c r="E678">
        <v>233</v>
      </c>
      <c r="F678" s="36">
        <v>10.94</v>
      </c>
      <c r="G678">
        <v>0</v>
      </c>
      <c r="H67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678" s="37">
        <f>Tableau2[[#This Row],[Facture_Mensuelle $]]*Tableau2[[#This Row],[Remise taux]]</f>
        <v>0</v>
      </c>
    </row>
    <row r="679" spans="1:9" x14ac:dyDescent="0.25">
      <c r="A679" t="s">
        <v>1637</v>
      </c>
      <c r="B679" t="s">
        <v>775</v>
      </c>
      <c r="C679">
        <v>42</v>
      </c>
      <c r="D679" t="s">
        <v>955</v>
      </c>
      <c r="E679">
        <v>389</v>
      </c>
      <c r="F679" s="36">
        <v>80.08</v>
      </c>
      <c r="G679">
        <v>1</v>
      </c>
      <c r="H67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36.036000000000001</v>
      </c>
      <c r="I679" s="37">
        <f>Tableau2[[#This Row],[Facture_Mensuelle $]]*Tableau2[[#This Row],[Remise taux]]</f>
        <v>2885.7628800000002</v>
      </c>
    </row>
    <row r="680" spans="1:9" x14ac:dyDescent="0.25">
      <c r="A680" t="s">
        <v>1638</v>
      </c>
      <c r="B680" t="s">
        <v>782</v>
      </c>
      <c r="C680">
        <v>104</v>
      </c>
      <c r="D680" t="s">
        <v>953</v>
      </c>
      <c r="E680">
        <v>245</v>
      </c>
      <c r="F680" s="36">
        <v>38.270000000000003</v>
      </c>
      <c r="G680">
        <v>0</v>
      </c>
      <c r="H68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17.221500000000002</v>
      </c>
      <c r="I680" s="37">
        <f>Tableau2[[#This Row],[Facture_Mensuelle $]]*Tableau2[[#This Row],[Remise taux]]</f>
        <v>659.06680500000016</v>
      </c>
    </row>
    <row r="681" spans="1:9" x14ac:dyDescent="0.25">
      <c r="A681" t="s">
        <v>1639</v>
      </c>
      <c r="B681" t="s">
        <v>770</v>
      </c>
      <c r="C681">
        <v>23</v>
      </c>
      <c r="D681" t="s">
        <v>955</v>
      </c>
      <c r="E681">
        <v>120</v>
      </c>
      <c r="F681" s="36">
        <v>73.12</v>
      </c>
      <c r="G681">
        <v>1</v>
      </c>
      <c r="H68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681" s="37">
        <f>Tableau2[[#This Row],[Facture_Mensuelle $]]*Tableau2[[#This Row],[Remise taux]]</f>
        <v>0</v>
      </c>
    </row>
    <row r="682" spans="1:9" x14ac:dyDescent="0.25">
      <c r="A682" t="s">
        <v>1640</v>
      </c>
      <c r="B682" t="s">
        <v>786</v>
      </c>
      <c r="C682">
        <v>76</v>
      </c>
      <c r="D682" t="s">
        <v>953</v>
      </c>
      <c r="E682">
        <v>192</v>
      </c>
      <c r="F682" s="36">
        <v>68.53</v>
      </c>
      <c r="G682">
        <v>0</v>
      </c>
      <c r="H68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682" s="37">
        <f>Tableau2[[#This Row],[Facture_Mensuelle $]]*Tableau2[[#This Row],[Remise taux]]</f>
        <v>0</v>
      </c>
    </row>
    <row r="683" spans="1:9" x14ac:dyDescent="0.25">
      <c r="A683" t="s">
        <v>1641</v>
      </c>
      <c r="B683" t="s">
        <v>772</v>
      </c>
      <c r="C683">
        <v>35</v>
      </c>
      <c r="D683" t="s">
        <v>955</v>
      </c>
      <c r="E683">
        <v>496</v>
      </c>
      <c r="F683" s="36">
        <v>19.78</v>
      </c>
      <c r="G683">
        <v>5</v>
      </c>
      <c r="H68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8.9010000000000016</v>
      </c>
      <c r="I683" s="37">
        <f>Tableau2[[#This Row],[Facture_Mensuelle $]]*Tableau2[[#This Row],[Remise taux]]</f>
        <v>176.06178000000003</v>
      </c>
    </row>
    <row r="684" spans="1:9" x14ac:dyDescent="0.25">
      <c r="A684" t="s">
        <v>1642</v>
      </c>
      <c r="B684" t="s">
        <v>776</v>
      </c>
      <c r="C684">
        <v>97</v>
      </c>
      <c r="D684" t="s">
        <v>955</v>
      </c>
      <c r="E684">
        <v>319</v>
      </c>
      <c r="F684" s="36">
        <v>31.25</v>
      </c>
      <c r="G684">
        <v>1</v>
      </c>
      <c r="H68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14.0625</v>
      </c>
      <c r="I684" s="37">
        <f>Tableau2[[#This Row],[Facture_Mensuelle $]]*Tableau2[[#This Row],[Remise taux]]</f>
        <v>439.453125</v>
      </c>
    </row>
    <row r="685" spans="1:9" x14ac:dyDescent="0.25">
      <c r="A685" t="s">
        <v>1643</v>
      </c>
      <c r="B685" t="s">
        <v>781</v>
      </c>
      <c r="C685">
        <v>114</v>
      </c>
      <c r="D685" t="s">
        <v>961</v>
      </c>
      <c r="E685">
        <v>482</v>
      </c>
      <c r="F685" s="36">
        <v>16.25</v>
      </c>
      <c r="G685">
        <v>3</v>
      </c>
      <c r="H68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7.3125</v>
      </c>
      <c r="I685" s="37">
        <f>Tableau2[[#This Row],[Facture_Mensuelle $]]*Tableau2[[#This Row],[Remise taux]]</f>
        <v>118.828125</v>
      </c>
    </row>
    <row r="686" spans="1:9" x14ac:dyDescent="0.25">
      <c r="A686" t="s">
        <v>1644</v>
      </c>
      <c r="B686" t="s">
        <v>782</v>
      </c>
      <c r="C686">
        <v>89</v>
      </c>
      <c r="D686" t="s">
        <v>953</v>
      </c>
      <c r="E686">
        <v>474</v>
      </c>
      <c r="F686" s="36">
        <v>28.51</v>
      </c>
      <c r="G686">
        <v>5</v>
      </c>
      <c r="H68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12.829500000000001</v>
      </c>
      <c r="I686" s="37">
        <f>Tableau2[[#This Row],[Facture_Mensuelle $]]*Tableau2[[#This Row],[Remise taux]]</f>
        <v>365.76904500000006</v>
      </c>
    </row>
    <row r="687" spans="1:9" x14ac:dyDescent="0.25">
      <c r="A687" t="s">
        <v>1645</v>
      </c>
      <c r="B687" t="s">
        <v>782</v>
      </c>
      <c r="C687">
        <v>41</v>
      </c>
      <c r="D687" t="s">
        <v>955</v>
      </c>
      <c r="E687">
        <v>206</v>
      </c>
      <c r="F687" s="36">
        <v>83.16</v>
      </c>
      <c r="G687">
        <v>2</v>
      </c>
      <c r="H68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687" s="37">
        <f>Tableau2[[#This Row],[Facture_Mensuelle $]]*Tableau2[[#This Row],[Remise taux]]</f>
        <v>0</v>
      </c>
    </row>
    <row r="688" spans="1:9" x14ac:dyDescent="0.25">
      <c r="A688" t="s">
        <v>1646</v>
      </c>
      <c r="B688" t="s">
        <v>771</v>
      </c>
      <c r="C688">
        <v>110</v>
      </c>
      <c r="D688" t="s">
        <v>957</v>
      </c>
      <c r="E688">
        <v>454</v>
      </c>
      <c r="F688" s="36">
        <v>31.05</v>
      </c>
      <c r="G688">
        <v>1</v>
      </c>
      <c r="H68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13.9725</v>
      </c>
      <c r="I688" s="37">
        <f>Tableau2[[#This Row],[Facture_Mensuelle $]]*Tableau2[[#This Row],[Remise taux]]</f>
        <v>433.84612500000003</v>
      </c>
    </row>
    <row r="689" spans="1:9" x14ac:dyDescent="0.25">
      <c r="A689" t="s">
        <v>1647</v>
      </c>
      <c r="B689" t="s">
        <v>778</v>
      </c>
      <c r="C689">
        <v>85</v>
      </c>
      <c r="D689" t="s">
        <v>955</v>
      </c>
      <c r="E689">
        <v>75</v>
      </c>
      <c r="F689" s="36">
        <v>98.01</v>
      </c>
      <c r="G689">
        <v>1</v>
      </c>
      <c r="H68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689" s="37">
        <f>Tableau2[[#This Row],[Facture_Mensuelle $]]*Tableau2[[#This Row],[Remise taux]]</f>
        <v>0</v>
      </c>
    </row>
    <row r="690" spans="1:9" x14ac:dyDescent="0.25">
      <c r="A690" t="s">
        <v>1648</v>
      </c>
      <c r="B690" t="s">
        <v>761</v>
      </c>
      <c r="C690">
        <v>79</v>
      </c>
      <c r="D690" t="s">
        <v>953</v>
      </c>
      <c r="E690">
        <v>462</v>
      </c>
      <c r="F690" s="36">
        <v>18.28</v>
      </c>
      <c r="G690">
        <v>0</v>
      </c>
      <c r="H69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8.2260000000000009</v>
      </c>
      <c r="I690" s="37">
        <f>Tableau2[[#This Row],[Facture_Mensuelle $]]*Tableau2[[#This Row],[Remise taux]]</f>
        <v>150.37128000000001</v>
      </c>
    </row>
    <row r="691" spans="1:9" x14ac:dyDescent="0.25">
      <c r="A691" t="s">
        <v>1649</v>
      </c>
      <c r="B691" t="s">
        <v>785</v>
      </c>
      <c r="C691">
        <v>46</v>
      </c>
      <c r="D691" t="s">
        <v>961</v>
      </c>
      <c r="E691">
        <v>43</v>
      </c>
      <c r="F691" s="36">
        <v>98.44</v>
      </c>
      <c r="G691">
        <v>2</v>
      </c>
      <c r="H69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44.298000000000002</v>
      </c>
      <c r="I691" s="37">
        <f>Tableau2[[#This Row],[Facture_Mensuelle $]]*Tableau2[[#This Row],[Remise taux]]</f>
        <v>4360.6951200000003</v>
      </c>
    </row>
    <row r="692" spans="1:9" x14ac:dyDescent="0.25">
      <c r="A692" t="s">
        <v>1650</v>
      </c>
      <c r="B692" t="s">
        <v>773</v>
      </c>
      <c r="C692">
        <v>1</v>
      </c>
      <c r="D692" t="s">
        <v>955</v>
      </c>
      <c r="E692">
        <v>326</v>
      </c>
      <c r="F692" s="36">
        <v>54.63</v>
      </c>
      <c r="G692">
        <v>3</v>
      </c>
      <c r="H69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24.583500000000001</v>
      </c>
      <c r="I692" s="37">
        <f>Tableau2[[#This Row],[Facture_Mensuelle $]]*Tableau2[[#This Row],[Remise taux]]</f>
        <v>1342.996605</v>
      </c>
    </row>
    <row r="693" spans="1:9" x14ac:dyDescent="0.25">
      <c r="A693" t="s">
        <v>1651</v>
      </c>
      <c r="B693" t="s">
        <v>761</v>
      </c>
      <c r="C693">
        <v>26</v>
      </c>
      <c r="D693" t="s">
        <v>961</v>
      </c>
      <c r="E693">
        <v>378</v>
      </c>
      <c r="F693" s="36">
        <v>45.21</v>
      </c>
      <c r="G693">
        <v>5</v>
      </c>
      <c r="H69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20.3445</v>
      </c>
      <c r="I693" s="37">
        <f>Tableau2[[#This Row],[Facture_Mensuelle $]]*Tableau2[[#This Row],[Remise taux]]</f>
        <v>919.77484500000003</v>
      </c>
    </row>
    <row r="694" spans="1:9" x14ac:dyDescent="0.25">
      <c r="A694" t="s">
        <v>1652</v>
      </c>
      <c r="B694" t="s">
        <v>767</v>
      </c>
      <c r="C694">
        <v>73</v>
      </c>
      <c r="D694" t="s">
        <v>955</v>
      </c>
      <c r="E694">
        <v>268</v>
      </c>
      <c r="F694" s="36">
        <v>56.86</v>
      </c>
      <c r="G694">
        <v>5</v>
      </c>
      <c r="H69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25.587</v>
      </c>
      <c r="I694" s="37">
        <f>Tableau2[[#This Row],[Facture_Mensuelle $]]*Tableau2[[#This Row],[Remise taux]]</f>
        <v>1454.87682</v>
      </c>
    </row>
    <row r="695" spans="1:9" x14ac:dyDescent="0.25">
      <c r="A695" t="s">
        <v>1653</v>
      </c>
      <c r="B695" t="s">
        <v>764</v>
      </c>
      <c r="C695">
        <v>16</v>
      </c>
      <c r="D695" t="s">
        <v>953</v>
      </c>
      <c r="E695">
        <v>13</v>
      </c>
      <c r="F695" s="36">
        <v>14.91</v>
      </c>
      <c r="G695">
        <v>1</v>
      </c>
      <c r="H69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695" s="37">
        <f>Tableau2[[#This Row],[Facture_Mensuelle $]]*Tableau2[[#This Row],[Remise taux]]</f>
        <v>0</v>
      </c>
    </row>
    <row r="696" spans="1:9" x14ac:dyDescent="0.25">
      <c r="A696" t="s">
        <v>1654</v>
      </c>
      <c r="B696" t="s">
        <v>771</v>
      </c>
      <c r="C696">
        <v>101</v>
      </c>
      <c r="D696" t="s">
        <v>957</v>
      </c>
      <c r="E696">
        <v>358</v>
      </c>
      <c r="F696" s="36">
        <v>29.24</v>
      </c>
      <c r="G696">
        <v>3</v>
      </c>
      <c r="H69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13.157999999999999</v>
      </c>
      <c r="I696" s="37">
        <f>Tableau2[[#This Row],[Facture_Mensuelle $]]*Tableau2[[#This Row],[Remise taux]]</f>
        <v>384.73991999999998</v>
      </c>
    </row>
    <row r="697" spans="1:9" x14ac:dyDescent="0.25">
      <c r="A697" t="s">
        <v>1655</v>
      </c>
      <c r="B697" t="s">
        <v>767</v>
      </c>
      <c r="C697">
        <v>103</v>
      </c>
      <c r="D697" t="s">
        <v>957</v>
      </c>
      <c r="E697">
        <v>291</v>
      </c>
      <c r="F697" s="36">
        <v>60.34</v>
      </c>
      <c r="G697">
        <v>5</v>
      </c>
      <c r="H69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27.153000000000002</v>
      </c>
      <c r="I697" s="37">
        <f>Tableau2[[#This Row],[Facture_Mensuelle $]]*Tableau2[[#This Row],[Remise taux]]</f>
        <v>1638.4120200000002</v>
      </c>
    </row>
    <row r="698" spans="1:9" x14ac:dyDescent="0.25">
      <c r="A698" t="s">
        <v>1656</v>
      </c>
      <c r="B698" t="s">
        <v>778</v>
      </c>
      <c r="C698">
        <v>92</v>
      </c>
      <c r="D698" t="s">
        <v>961</v>
      </c>
      <c r="E698">
        <v>116</v>
      </c>
      <c r="F698" s="36">
        <v>23.83</v>
      </c>
      <c r="G698">
        <v>3</v>
      </c>
      <c r="H69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698" s="37">
        <f>Tableau2[[#This Row],[Facture_Mensuelle $]]*Tableau2[[#This Row],[Remise taux]]</f>
        <v>0</v>
      </c>
    </row>
    <row r="699" spans="1:9" x14ac:dyDescent="0.25">
      <c r="A699" t="s">
        <v>1657</v>
      </c>
      <c r="B699" t="s">
        <v>766</v>
      </c>
      <c r="C699">
        <v>116</v>
      </c>
      <c r="D699" t="s">
        <v>957</v>
      </c>
      <c r="E699">
        <v>231</v>
      </c>
      <c r="F699" s="36">
        <v>19.12</v>
      </c>
      <c r="G699">
        <v>5</v>
      </c>
      <c r="H69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699" s="37">
        <f>Tableau2[[#This Row],[Facture_Mensuelle $]]*Tableau2[[#This Row],[Remise taux]]</f>
        <v>0</v>
      </c>
    </row>
    <row r="700" spans="1:9" x14ac:dyDescent="0.25">
      <c r="A700" t="s">
        <v>1658</v>
      </c>
      <c r="B700" t="s">
        <v>770</v>
      </c>
      <c r="C700">
        <v>89</v>
      </c>
      <c r="D700" t="s">
        <v>955</v>
      </c>
      <c r="E700">
        <v>381</v>
      </c>
      <c r="F700" s="36">
        <v>68.17</v>
      </c>
      <c r="G700">
        <v>0</v>
      </c>
      <c r="H70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30.676500000000001</v>
      </c>
      <c r="I700" s="37">
        <f>Tableau2[[#This Row],[Facture_Mensuelle $]]*Tableau2[[#This Row],[Remise taux]]</f>
        <v>2091.217005</v>
      </c>
    </row>
    <row r="701" spans="1:9" x14ac:dyDescent="0.25">
      <c r="A701" t="s">
        <v>1659</v>
      </c>
      <c r="B701" t="s">
        <v>785</v>
      </c>
      <c r="C701">
        <v>65</v>
      </c>
      <c r="D701" t="s">
        <v>961</v>
      </c>
      <c r="E701">
        <v>15</v>
      </c>
      <c r="F701" s="36">
        <v>44.47</v>
      </c>
      <c r="G701">
        <v>0</v>
      </c>
      <c r="H70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701" s="37">
        <f>Tableau2[[#This Row],[Facture_Mensuelle $]]*Tableau2[[#This Row],[Remise taux]]</f>
        <v>0</v>
      </c>
    </row>
    <row r="702" spans="1:9" x14ac:dyDescent="0.25">
      <c r="A702" t="s">
        <v>1660</v>
      </c>
      <c r="B702" t="s">
        <v>762</v>
      </c>
      <c r="C702">
        <v>61</v>
      </c>
      <c r="D702" t="s">
        <v>955</v>
      </c>
      <c r="E702">
        <v>362</v>
      </c>
      <c r="F702" s="36">
        <v>75.03</v>
      </c>
      <c r="G702">
        <v>0</v>
      </c>
      <c r="H70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33.763500000000001</v>
      </c>
      <c r="I702" s="37">
        <f>Tableau2[[#This Row],[Facture_Mensuelle $]]*Tableau2[[#This Row],[Remise taux]]</f>
        <v>2533.2754049999999</v>
      </c>
    </row>
    <row r="703" spans="1:9" x14ac:dyDescent="0.25">
      <c r="A703" t="s">
        <v>1661</v>
      </c>
      <c r="B703" t="s">
        <v>766</v>
      </c>
      <c r="C703">
        <v>17</v>
      </c>
      <c r="D703" t="s">
        <v>955</v>
      </c>
      <c r="E703">
        <v>206</v>
      </c>
      <c r="F703" s="36">
        <v>63.46</v>
      </c>
      <c r="G703">
        <v>3</v>
      </c>
      <c r="H70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703" s="37">
        <f>Tableau2[[#This Row],[Facture_Mensuelle $]]*Tableau2[[#This Row],[Remise taux]]</f>
        <v>0</v>
      </c>
    </row>
    <row r="704" spans="1:9" x14ac:dyDescent="0.25">
      <c r="A704" t="s">
        <v>1662</v>
      </c>
      <c r="B704" t="s">
        <v>776</v>
      </c>
      <c r="C704">
        <v>19</v>
      </c>
      <c r="D704" t="s">
        <v>953</v>
      </c>
      <c r="E704">
        <v>125</v>
      </c>
      <c r="F704" s="36">
        <v>11.78</v>
      </c>
      <c r="G704">
        <v>4</v>
      </c>
      <c r="H70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704" s="37">
        <f>Tableau2[[#This Row],[Facture_Mensuelle $]]*Tableau2[[#This Row],[Remise taux]]</f>
        <v>0</v>
      </c>
    </row>
    <row r="705" spans="1:9" x14ac:dyDescent="0.25">
      <c r="A705" t="s">
        <v>1663</v>
      </c>
      <c r="B705" t="s">
        <v>774</v>
      </c>
      <c r="C705">
        <v>13</v>
      </c>
      <c r="D705" t="s">
        <v>953</v>
      </c>
      <c r="E705">
        <v>180</v>
      </c>
      <c r="F705" s="36">
        <v>24.01</v>
      </c>
      <c r="G705">
        <v>0</v>
      </c>
      <c r="H70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705" s="37">
        <f>Tableau2[[#This Row],[Facture_Mensuelle $]]*Tableau2[[#This Row],[Remise taux]]</f>
        <v>0</v>
      </c>
    </row>
    <row r="706" spans="1:9" x14ac:dyDescent="0.25">
      <c r="A706" t="s">
        <v>1664</v>
      </c>
      <c r="B706" t="s">
        <v>784</v>
      </c>
      <c r="C706">
        <v>90</v>
      </c>
      <c r="D706" t="s">
        <v>955</v>
      </c>
      <c r="E706">
        <v>299</v>
      </c>
      <c r="F706" s="36">
        <v>71.760000000000005</v>
      </c>
      <c r="G706">
        <v>1</v>
      </c>
      <c r="H70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32.292000000000002</v>
      </c>
      <c r="I706" s="37">
        <f>Tableau2[[#This Row],[Facture_Mensuelle $]]*Tableau2[[#This Row],[Remise taux]]</f>
        <v>2317.2739200000001</v>
      </c>
    </row>
    <row r="707" spans="1:9" x14ac:dyDescent="0.25">
      <c r="A707" t="s">
        <v>1665</v>
      </c>
      <c r="B707" t="s">
        <v>780</v>
      </c>
      <c r="C707">
        <v>41</v>
      </c>
      <c r="D707" t="s">
        <v>961</v>
      </c>
      <c r="E707">
        <v>64</v>
      </c>
      <c r="F707" s="36">
        <v>91.95</v>
      </c>
      <c r="G707">
        <v>1</v>
      </c>
      <c r="H70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41.377500000000005</v>
      </c>
      <c r="I707" s="37">
        <f>Tableau2[[#This Row],[Facture_Mensuelle $]]*Tableau2[[#This Row],[Remise taux]]</f>
        <v>3804.6611250000005</v>
      </c>
    </row>
    <row r="708" spans="1:9" x14ac:dyDescent="0.25">
      <c r="A708" t="s">
        <v>1666</v>
      </c>
      <c r="B708" t="s">
        <v>766</v>
      </c>
      <c r="C708">
        <v>74</v>
      </c>
      <c r="D708" t="s">
        <v>957</v>
      </c>
      <c r="E708">
        <v>359</v>
      </c>
      <c r="F708" s="36">
        <v>92.63</v>
      </c>
      <c r="G708">
        <v>0</v>
      </c>
      <c r="H70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41.683500000000002</v>
      </c>
      <c r="I708" s="37">
        <f>Tableau2[[#This Row],[Facture_Mensuelle $]]*Tableau2[[#This Row],[Remise taux]]</f>
        <v>3861.142605</v>
      </c>
    </row>
    <row r="709" spans="1:9" x14ac:dyDescent="0.25">
      <c r="A709" t="s">
        <v>1667</v>
      </c>
      <c r="B709" t="s">
        <v>772</v>
      </c>
      <c r="C709">
        <v>62</v>
      </c>
      <c r="D709" t="s">
        <v>961</v>
      </c>
      <c r="E709">
        <v>116</v>
      </c>
      <c r="F709" s="36">
        <v>92.99</v>
      </c>
      <c r="G709">
        <v>5</v>
      </c>
      <c r="H70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709" s="37">
        <f>Tableau2[[#This Row],[Facture_Mensuelle $]]*Tableau2[[#This Row],[Remise taux]]</f>
        <v>0</v>
      </c>
    </row>
    <row r="710" spans="1:9" x14ac:dyDescent="0.25">
      <c r="A710" t="s">
        <v>1668</v>
      </c>
      <c r="B710" t="s">
        <v>766</v>
      </c>
      <c r="C710">
        <v>118</v>
      </c>
      <c r="D710" t="s">
        <v>955</v>
      </c>
      <c r="E710">
        <v>80</v>
      </c>
      <c r="F710" s="36">
        <v>97.58</v>
      </c>
      <c r="G710">
        <v>3</v>
      </c>
      <c r="H71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710" s="37">
        <f>Tableau2[[#This Row],[Facture_Mensuelle $]]*Tableau2[[#This Row],[Remise taux]]</f>
        <v>0</v>
      </c>
    </row>
    <row r="711" spans="1:9" x14ac:dyDescent="0.25">
      <c r="A711" t="s">
        <v>1669</v>
      </c>
      <c r="B711" t="s">
        <v>776</v>
      </c>
      <c r="C711">
        <v>99</v>
      </c>
      <c r="D711" t="s">
        <v>953</v>
      </c>
      <c r="E711">
        <v>28</v>
      </c>
      <c r="F711" s="36">
        <v>70.19</v>
      </c>
      <c r="G711">
        <v>1</v>
      </c>
      <c r="H71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711" s="37">
        <f>Tableau2[[#This Row],[Facture_Mensuelle $]]*Tableau2[[#This Row],[Remise taux]]</f>
        <v>0</v>
      </c>
    </row>
    <row r="712" spans="1:9" x14ac:dyDescent="0.25">
      <c r="A712" t="s">
        <v>1670</v>
      </c>
      <c r="B712" t="s">
        <v>785</v>
      </c>
      <c r="C712">
        <v>80</v>
      </c>
      <c r="D712" t="s">
        <v>961</v>
      </c>
      <c r="E712">
        <v>121</v>
      </c>
      <c r="F712" s="36">
        <v>83.14</v>
      </c>
      <c r="G712">
        <v>5</v>
      </c>
      <c r="H71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712" s="37">
        <f>Tableau2[[#This Row],[Facture_Mensuelle $]]*Tableau2[[#This Row],[Remise taux]]</f>
        <v>0</v>
      </c>
    </row>
    <row r="713" spans="1:9" x14ac:dyDescent="0.25">
      <c r="A713" t="s">
        <v>1671</v>
      </c>
      <c r="B713" t="s">
        <v>764</v>
      </c>
      <c r="C713">
        <v>58</v>
      </c>
      <c r="D713" t="s">
        <v>957</v>
      </c>
      <c r="E713">
        <v>61</v>
      </c>
      <c r="F713" s="36">
        <v>58.64</v>
      </c>
      <c r="G713">
        <v>3</v>
      </c>
      <c r="H71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713" s="37">
        <f>Tableau2[[#This Row],[Facture_Mensuelle $]]*Tableau2[[#This Row],[Remise taux]]</f>
        <v>0</v>
      </c>
    </row>
    <row r="714" spans="1:9" x14ac:dyDescent="0.25">
      <c r="A714" t="s">
        <v>1672</v>
      </c>
      <c r="B714" t="s">
        <v>783</v>
      </c>
      <c r="C714">
        <v>4</v>
      </c>
      <c r="D714" t="s">
        <v>953</v>
      </c>
      <c r="E714">
        <v>453</v>
      </c>
      <c r="F714" s="36">
        <v>75.260000000000005</v>
      </c>
      <c r="G714">
        <v>5</v>
      </c>
      <c r="H71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33.867000000000004</v>
      </c>
      <c r="I714" s="37">
        <f>Tableau2[[#This Row],[Facture_Mensuelle $]]*Tableau2[[#This Row],[Remise taux]]</f>
        <v>2548.8304200000007</v>
      </c>
    </row>
    <row r="715" spans="1:9" x14ac:dyDescent="0.25">
      <c r="A715" t="s">
        <v>1673</v>
      </c>
      <c r="B715" t="s">
        <v>781</v>
      </c>
      <c r="C715">
        <v>41</v>
      </c>
      <c r="D715" t="s">
        <v>953</v>
      </c>
      <c r="E715">
        <v>398</v>
      </c>
      <c r="F715" s="36">
        <v>28.56</v>
      </c>
      <c r="G715">
        <v>2</v>
      </c>
      <c r="H71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12.852</v>
      </c>
      <c r="I715" s="37">
        <f>Tableau2[[#This Row],[Facture_Mensuelle $]]*Tableau2[[#This Row],[Remise taux]]</f>
        <v>367.05311999999998</v>
      </c>
    </row>
    <row r="716" spans="1:9" x14ac:dyDescent="0.25">
      <c r="A716" t="s">
        <v>1674</v>
      </c>
      <c r="B716" t="s">
        <v>768</v>
      </c>
      <c r="C716">
        <v>49</v>
      </c>
      <c r="D716" t="s">
        <v>955</v>
      </c>
      <c r="E716">
        <v>229</v>
      </c>
      <c r="F716" s="36">
        <v>53.94</v>
      </c>
      <c r="G716">
        <v>5</v>
      </c>
      <c r="H71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716" s="37">
        <f>Tableau2[[#This Row],[Facture_Mensuelle $]]*Tableau2[[#This Row],[Remise taux]]</f>
        <v>0</v>
      </c>
    </row>
    <row r="717" spans="1:9" x14ac:dyDescent="0.25">
      <c r="A717" t="s">
        <v>1675</v>
      </c>
      <c r="B717" t="s">
        <v>776</v>
      </c>
      <c r="C717">
        <v>29</v>
      </c>
      <c r="D717" t="s">
        <v>957</v>
      </c>
      <c r="E717">
        <v>416</v>
      </c>
      <c r="F717" s="36">
        <v>61.26</v>
      </c>
      <c r="G717">
        <v>0</v>
      </c>
      <c r="H71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27.567</v>
      </c>
      <c r="I717" s="37">
        <f>Tableau2[[#This Row],[Facture_Mensuelle $]]*Tableau2[[#This Row],[Remise taux]]</f>
        <v>1688.75442</v>
      </c>
    </row>
    <row r="718" spans="1:9" x14ac:dyDescent="0.25">
      <c r="A718" t="s">
        <v>1676</v>
      </c>
      <c r="B718" t="s">
        <v>772</v>
      </c>
      <c r="C718">
        <v>9</v>
      </c>
      <c r="D718" t="s">
        <v>957</v>
      </c>
      <c r="E718">
        <v>227</v>
      </c>
      <c r="F718" s="36">
        <v>63.74</v>
      </c>
      <c r="G718">
        <v>3</v>
      </c>
      <c r="H71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718" s="37">
        <f>Tableau2[[#This Row],[Facture_Mensuelle $]]*Tableau2[[#This Row],[Remise taux]]</f>
        <v>0</v>
      </c>
    </row>
    <row r="719" spans="1:9" x14ac:dyDescent="0.25">
      <c r="A719" t="s">
        <v>1677</v>
      </c>
      <c r="B719" t="s">
        <v>767</v>
      </c>
      <c r="C719">
        <v>97</v>
      </c>
      <c r="D719" t="s">
        <v>955</v>
      </c>
      <c r="E719">
        <v>276</v>
      </c>
      <c r="F719" s="36">
        <v>88.35</v>
      </c>
      <c r="G719">
        <v>0</v>
      </c>
      <c r="H71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39.7575</v>
      </c>
      <c r="I719" s="37">
        <f>Tableau2[[#This Row],[Facture_Mensuelle $]]*Tableau2[[#This Row],[Remise taux]]</f>
        <v>3512.5751249999998</v>
      </c>
    </row>
    <row r="720" spans="1:9" x14ac:dyDescent="0.25">
      <c r="A720" t="s">
        <v>1678</v>
      </c>
      <c r="B720" t="s">
        <v>766</v>
      </c>
      <c r="C720">
        <v>32</v>
      </c>
      <c r="D720" t="s">
        <v>957</v>
      </c>
      <c r="E720">
        <v>31</v>
      </c>
      <c r="F720" s="36">
        <v>67.040000000000006</v>
      </c>
      <c r="G720">
        <v>1</v>
      </c>
      <c r="H72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720" s="37">
        <f>Tableau2[[#This Row],[Facture_Mensuelle $]]*Tableau2[[#This Row],[Remise taux]]</f>
        <v>0</v>
      </c>
    </row>
    <row r="721" spans="1:9" x14ac:dyDescent="0.25">
      <c r="A721" t="s">
        <v>1679</v>
      </c>
      <c r="B721" t="s">
        <v>772</v>
      </c>
      <c r="C721">
        <v>87</v>
      </c>
      <c r="D721" t="s">
        <v>957</v>
      </c>
      <c r="E721">
        <v>498</v>
      </c>
      <c r="F721" s="36">
        <v>61.57</v>
      </c>
      <c r="G721">
        <v>0</v>
      </c>
      <c r="H72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27.706500000000002</v>
      </c>
      <c r="I721" s="37">
        <f>Tableau2[[#This Row],[Facture_Mensuelle $]]*Tableau2[[#This Row],[Remise taux]]</f>
        <v>1705.8892050000002</v>
      </c>
    </row>
    <row r="722" spans="1:9" x14ac:dyDescent="0.25">
      <c r="A722" t="s">
        <v>1680</v>
      </c>
      <c r="B722" t="s">
        <v>762</v>
      </c>
      <c r="C722">
        <v>112</v>
      </c>
      <c r="D722" t="s">
        <v>955</v>
      </c>
      <c r="E722">
        <v>18</v>
      </c>
      <c r="F722" s="36">
        <v>27.33</v>
      </c>
      <c r="G722">
        <v>5</v>
      </c>
      <c r="H72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722" s="37">
        <f>Tableau2[[#This Row],[Facture_Mensuelle $]]*Tableau2[[#This Row],[Remise taux]]</f>
        <v>0</v>
      </c>
    </row>
    <row r="723" spans="1:9" x14ac:dyDescent="0.25">
      <c r="A723" t="s">
        <v>1681</v>
      </c>
      <c r="B723" t="s">
        <v>784</v>
      </c>
      <c r="C723">
        <v>97</v>
      </c>
      <c r="D723" t="s">
        <v>961</v>
      </c>
      <c r="E723">
        <v>296</v>
      </c>
      <c r="F723" s="36">
        <v>10.87</v>
      </c>
      <c r="G723">
        <v>4</v>
      </c>
      <c r="H72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4.8914999999999997</v>
      </c>
      <c r="I723" s="37">
        <f>Tableau2[[#This Row],[Facture_Mensuelle $]]*Tableau2[[#This Row],[Remise taux]]</f>
        <v>53.170604999999995</v>
      </c>
    </row>
    <row r="724" spans="1:9" x14ac:dyDescent="0.25">
      <c r="A724" t="s">
        <v>1682</v>
      </c>
      <c r="B724" t="s">
        <v>769</v>
      </c>
      <c r="C724">
        <v>14</v>
      </c>
      <c r="D724" t="s">
        <v>955</v>
      </c>
      <c r="E724">
        <v>303</v>
      </c>
      <c r="F724" s="36">
        <v>61.43</v>
      </c>
      <c r="G724">
        <v>1</v>
      </c>
      <c r="H72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27.6435</v>
      </c>
      <c r="I724" s="37">
        <f>Tableau2[[#This Row],[Facture_Mensuelle $]]*Tableau2[[#This Row],[Remise taux]]</f>
        <v>1698.1402049999999</v>
      </c>
    </row>
    <row r="725" spans="1:9" x14ac:dyDescent="0.25">
      <c r="A725" t="s">
        <v>1683</v>
      </c>
      <c r="B725" t="s">
        <v>764</v>
      </c>
      <c r="C725">
        <v>104</v>
      </c>
      <c r="D725" t="s">
        <v>961</v>
      </c>
      <c r="E725">
        <v>68</v>
      </c>
      <c r="F725" s="36">
        <v>21.15</v>
      </c>
      <c r="G725">
        <v>2</v>
      </c>
      <c r="H72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725" s="37">
        <f>Tableau2[[#This Row],[Facture_Mensuelle $]]*Tableau2[[#This Row],[Remise taux]]</f>
        <v>0</v>
      </c>
    </row>
    <row r="726" spans="1:9" x14ac:dyDescent="0.25">
      <c r="A726" t="s">
        <v>1684</v>
      </c>
      <c r="B726" t="s">
        <v>786</v>
      </c>
      <c r="C726">
        <v>38</v>
      </c>
      <c r="D726" t="s">
        <v>961</v>
      </c>
      <c r="E726">
        <v>432</v>
      </c>
      <c r="F726" s="36">
        <v>53.65</v>
      </c>
      <c r="G726">
        <v>4</v>
      </c>
      <c r="H72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24.142499999999998</v>
      </c>
      <c r="I726" s="37">
        <f>Tableau2[[#This Row],[Facture_Mensuelle $]]*Tableau2[[#This Row],[Remise taux]]</f>
        <v>1295.2451249999999</v>
      </c>
    </row>
    <row r="727" spans="1:9" x14ac:dyDescent="0.25">
      <c r="A727" t="s">
        <v>1685</v>
      </c>
      <c r="B727" t="s">
        <v>784</v>
      </c>
      <c r="C727">
        <v>91</v>
      </c>
      <c r="D727" t="s">
        <v>961</v>
      </c>
      <c r="E727">
        <v>467</v>
      </c>
      <c r="F727" s="36">
        <v>84.74</v>
      </c>
      <c r="G727">
        <v>1</v>
      </c>
      <c r="H72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38.132999999999996</v>
      </c>
      <c r="I727" s="37">
        <f>Tableau2[[#This Row],[Facture_Mensuelle $]]*Tableau2[[#This Row],[Remise taux]]</f>
        <v>3231.3904199999993</v>
      </c>
    </row>
    <row r="728" spans="1:9" x14ac:dyDescent="0.25">
      <c r="A728" t="s">
        <v>1686</v>
      </c>
      <c r="B728" t="s">
        <v>767</v>
      </c>
      <c r="C728">
        <v>14</v>
      </c>
      <c r="D728" t="s">
        <v>953</v>
      </c>
      <c r="E728">
        <v>415</v>
      </c>
      <c r="F728" s="36">
        <v>36.93</v>
      </c>
      <c r="G728">
        <v>5</v>
      </c>
      <c r="H72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16.618500000000001</v>
      </c>
      <c r="I728" s="37">
        <f>Tableau2[[#This Row],[Facture_Mensuelle $]]*Tableau2[[#This Row],[Remise taux]]</f>
        <v>613.72120500000005</v>
      </c>
    </row>
    <row r="729" spans="1:9" x14ac:dyDescent="0.25">
      <c r="A729" t="s">
        <v>1687</v>
      </c>
      <c r="B729" t="s">
        <v>768</v>
      </c>
      <c r="C729">
        <v>7</v>
      </c>
      <c r="D729" t="s">
        <v>955</v>
      </c>
      <c r="E729">
        <v>268</v>
      </c>
      <c r="F729" s="36">
        <v>33.04</v>
      </c>
      <c r="G729">
        <v>5</v>
      </c>
      <c r="H72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14.868</v>
      </c>
      <c r="I729" s="37">
        <f>Tableau2[[#This Row],[Facture_Mensuelle $]]*Tableau2[[#This Row],[Remise taux]]</f>
        <v>491.23872</v>
      </c>
    </row>
    <row r="730" spans="1:9" x14ac:dyDescent="0.25">
      <c r="A730" t="s">
        <v>1688</v>
      </c>
      <c r="B730" t="s">
        <v>772</v>
      </c>
      <c r="C730">
        <v>93</v>
      </c>
      <c r="D730" t="s">
        <v>953</v>
      </c>
      <c r="E730">
        <v>365</v>
      </c>
      <c r="F730" s="36">
        <v>72.319999999999993</v>
      </c>
      <c r="G730">
        <v>1</v>
      </c>
      <c r="H73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32.543999999999997</v>
      </c>
      <c r="I730" s="37">
        <f>Tableau2[[#This Row],[Facture_Mensuelle $]]*Tableau2[[#This Row],[Remise taux]]</f>
        <v>2353.5820799999997</v>
      </c>
    </row>
    <row r="731" spans="1:9" x14ac:dyDescent="0.25">
      <c r="A731" t="s">
        <v>1689</v>
      </c>
      <c r="B731" t="s">
        <v>780</v>
      </c>
      <c r="C731">
        <v>30</v>
      </c>
      <c r="D731" t="s">
        <v>961</v>
      </c>
      <c r="E731">
        <v>197</v>
      </c>
      <c r="F731" s="36">
        <v>15.42</v>
      </c>
      <c r="G731">
        <v>0</v>
      </c>
      <c r="H73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6.9390000000000001</v>
      </c>
      <c r="I731" s="37">
        <f>Tableau2[[#This Row],[Facture_Mensuelle $]]*Tableau2[[#This Row],[Remise taux]]</f>
        <v>106.99938</v>
      </c>
    </row>
    <row r="732" spans="1:9" x14ac:dyDescent="0.25">
      <c r="A732" t="s">
        <v>1690</v>
      </c>
      <c r="B732" t="s">
        <v>772</v>
      </c>
      <c r="C732">
        <v>58</v>
      </c>
      <c r="D732" t="s">
        <v>961</v>
      </c>
      <c r="E732">
        <v>485</v>
      </c>
      <c r="F732" s="36">
        <v>65.41</v>
      </c>
      <c r="G732">
        <v>5</v>
      </c>
      <c r="H73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29.4345</v>
      </c>
      <c r="I732" s="37">
        <f>Tableau2[[#This Row],[Facture_Mensuelle $]]*Tableau2[[#This Row],[Remise taux]]</f>
        <v>1925.3106449999998</v>
      </c>
    </row>
    <row r="733" spans="1:9" x14ac:dyDescent="0.25">
      <c r="A733" t="s">
        <v>1691</v>
      </c>
      <c r="B733" t="s">
        <v>782</v>
      </c>
      <c r="C733">
        <v>113</v>
      </c>
      <c r="D733" t="s">
        <v>961</v>
      </c>
      <c r="E733">
        <v>246</v>
      </c>
      <c r="F733" s="36">
        <v>29.18</v>
      </c>
      <c r="G733">
        <v>2</v>
      </c>
      <c r="H73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13.131</v>
      </c>
      <c r="I733" s="37">
        <f>Tableau2[[#This Row],[Facture_Mensuelle $]]*Tableau2[[#This Row],[Remise taux]]</f>
        <v>383.16257999999999</v>
      </c>
    </row>
    <row r="734" spans="1:9" x14ac:dyDescent="0.25">
      <c r="A734" t="s">
        <v>1692</v>
      </c>
      <c r="B734" t="s">
        <v>766</v>
      </c>
      <c r="C734">
        <v>19</v>
      </c>
      <c r="D734" t="s">
        <v>953</v>
      </c>
      <c r="E734">
        <v>141</v>
      </c>
      <c r="F734" s="36">
        <v>53.95</v>
      </c>
      <c r="G734">
        <v>1</v>
      </c>
      <c r="H73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734" s="37">
        <f>Tableau2[[#This Row],[Facture_Mensuelle $]]*Tableau2[[#This Row],[Remise taux]]</f>
        <v>0</v>
      </c>
    </row>
    <row r="735" spans="1:9" x14ac:dyDescent="0.25">
      <c r="A735" t="s">
        <v>1693</v>
      </c>
      <c r="B735" t="s">
        <v>783</v>
      </c>
      <c r="C735">
        <v>33</v>
      </c>
      <c r="D735" t="s">
        <v>953</v>
      </c>
      <c r="E735">
        <v>332</v>
      </c>
      <c r="F735" s="36">
        <v>76.41</v>
      </c>
      <c r="G735">
        <v>1</v>
      </c>
      <c r="H73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34.384500000000003</v>
      </c>
      <c r="I735" s="37">
        <f>Tableau2[[#This Row],[Facture_Mensuelle $]]*Tableau2[[#This Row],[Remise taux]]</f>
        <v>2627.319645</v>
      </c>
    </row>
    <row r="736" spans="1:9" x14ac:dyDescent="0.25">
      <c r="A736" t="s">
        <v>1694</v>
      </c>
      <c r="B736" t="s">
        <v>767</v>
      </c>
      <c r="C736">
        <v>103</v>
      </c>
      <c r="D736" t="s">
        <v>953</v>
      </c>
      <c r="E736">
        <v>98</v>
      </c>
      <c r="F736" s="36">
        <v>38.69</v>
      </c>
      <c r="G736">
        <v>4</v>
      </c>
      <c r="H73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736" s="37">
        <f>Tableau2[[#This Row],[Facture_Mensuelle $]]*Tableau2[[#This Row],[Remise taux]]</f>
        <v>0</v>
      </c>
    </row>
    <row r="737" spans="1:9" x14ac:dyDescent="0.25">
      <c r="A737" t="s">
        <v>1695</v>
      </c>
      <c r="B737" t="s">
        <v>774</v>
      </c>
      <c r="C737">
        <v>72</v>
      </c>
      <c r="D737" t="s">
        <v>953</v>
      </c>
      <c r="E737">
        <v>332</v>
      </c>
      <c r="F737" s="36">
        <v>83.36</v>
      </c>
      <c r="G737">
        <v>4</v>
      </c>
      <c r="H73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37.512</v>
      </c>
      <c r="I737" s="37">
        <f>Tableau2[[#This Row],[Facture_Mensuelle $]]*Tableau2[[#This Row],[Remise taux]]</f>
        <v>3127.0003200000001</v>
      </c>
    </row>
    <row r="738" spans="1:9" x14ac:dyDescent="0.25">
      <c r="A738" t="s">
        <v>1696</v>
      </c>
      <c r="B738" t="s">
        <v>768</v>
      </c>
      <c r="C738">
        <v>23</v>
      </c>
      <c r="D738" t="s">
        <v>955</v>
      </c>
      <c r="E738">
        <v>262</v>
      </c>
      <c r="F738" s="36">
        <v>46.3</v>
      </c>
      <c r="G738">
        <v>1</v>
      </c>
      <c r="H73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20.835000000000001</v>
      </c>
      <c r="I738" s="37">
        <f>Tableau2[[#This Row],[Facture_Mensuelle $]]*Tableau2[[#This Row],[Remise taux]]</f>
        <v>964.66049999999996</v>
      </c>
    </row>
    <row r="739" spans="1:9" x14ac:dyDescent="0.25">
      <c r="A739" t="s">
        <v>1697</v>
      </c>
      <c r="B739" t="s">
        <v>772</v>
      </c>
      <c r="C739">
        <v>91</v>
      </c>
      <c r="D739" t="s">
        <v>955</v>
      </c>
      <c r="E739">
        <v>358</v>
      </c>
      <c r="F739" s="36">
        <v>21.14</v>
      </c>
      <c r="G739">
        <v>5</v>
      </c>
      <c r="H73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9.5129999999999999</v>
      </c>
      <c r="I739" s="37">
        <f>Tableau2[[#This Row],[Facture_Mensuelle $]]*Tableau2[[#This Row],[Remise taux]]</f>
        <v>201.10481999999999</v>
      </c>
    </row>
    <row r="740" spans="1:9" x14ac:dyDescent="0.25">
      <c r="A740" t="s">
        <v>1698</v>
      </c>
      <c r="B740" t="s">
        <v>770</v>
      </c>
      <c r="C740">
        <v>65</v>
      </c>
      <c r="D740" t="s">
        <v>955</v>
      </c>
      <c r="E740">
        <v>246</v>
      </c>
      <c r="F740" s="36">
        <v>69.17</v>
      </c>
      <c r="G740">
        <v>0</v>
      </c>
      <c r="H74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31.1265</v>
      </c>
      <c r="I740" s="37">
        <f>Tableau2[[#This Row],[Facture_Mensuelle $]]*Tableau2[[#This Row],[Remise taux]]</f>
        <v>2153.0200049999999</v>
      </c>
    </row>
    <row r="741" spans="1:9" x14ac:dyDescent="0.25">
      <c r="A741" t="s">
        <v>1699</v>
      </c>
      <c r="B741" t="s">
        <v>763</v>
      </c>
      <c r="C741">
        <v>10</v>
      </c>
      <c r="D741" t="s">
        <v>957</v>
      </c>
      <c r="E741">
        <v>418</v>
      </c>
      <c r="F741" s="36">
        <v>27.66</v>
      </c>
      <c r="G741">
        <v>2</v>
      </c>
      <c r="H74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12.447000000000001</v>
      </c>
      <c r="I741" s="37">
        <f>Tableau2[[#This Row],[Facture_Mensuelle $]]*Tableau2[[#This Row],[Remise taux]]</f>
        <v>344.28402000000006</v>
      </c>
    </row>
    <row r="742" spans="1:9" x14ac:dyDescent="0.25">
      <c r="A742" t="s">
        <v>1700</v>
      </c>
      <c r="B742" t="s">
        <v>786</v>
      </c>
      <c r="C742">
        <v>10</v>
      </c>
      <c r="D742" t="s">
        <v>955</v>
      </c>
      <c r="E742">
        <v>129</v>
      </c>
      <c r="F742" s="36">
        <v>70.12</v>
      </c>
      <c r="G742">
        <v>0</v>
      </c>
      <c r="H742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742" s="37">
        <f>Tableau2[[#This Row],[Facture_Mensuelle $]]*Tableau2[[#This Row],[Remise taux]]</f>
        <v>0</v>
      </c>
    </row>
    <row r="743" spans="1:9" x14ac:dyDescent="0.25">
      <c r="A743" t="s">
        <v>1701</v>
      </c>
      <c r="B743" t="s">
        <v>775</v>
      </c>
      <c r="C743">
        <v>80</v>
      </c>
      <c r="D743" t="s">
        <v>957</v>
      </c>
      <c r="E743">
        <v>101</v>
      </c>
      <c r="F743" s="36">
        <v>61.92</v>
      </c>
      <c r="G743">
        <v>4</v>
      </c>
      <c r="H743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743" s="37">
        <f>Tableau2[[#This Row],[Facture_Mensuelle $]]*Tableau2[[#This Row],[Remise taux]]</f>
        <v>0</v>
      </c>
    </row>
    <row r="744" spans="1:9" x14ac:dyDescent="0.25">
      <c r="A744" t="s">
        <v>1702</v>
      </c>
      <c r="B744" t="s">
        <v>776</v>
      </c>
      <c r="C744">
        <v>61</v>
      </c>
      <c r="D744" t="s">
        <v>953</v>
      </c>
      <c r="E744">
        <v>383</v>
      </c>
      <c r="F744" s="36">
        <v>39.72</v>
      </c>
      <c r="G744">
        <v>4</v>
      </c>
      <c r="H744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17.873999999999999</v>
      </c>
      <c r="I744" s="37">
        <f>Tableau2[[#This Row],[Facture_Mensuelle $]]*Tableau2[[#This Row],[Remise taux]]</f>
        <v>709.9552799999999</v>
      </c>
    </row>
    <row r="745" spans="1:9" x14ac:dyDescent="0.25">
      <c r="A745" t="s">
        <v>1703</v>
      </c>
      <c r="B745" t="s">
        <v>777</v>
      </c>
      <c r="C745">
        <v>1</v>
      </c>
      <c r="D745" t="s">
        <v>953</v>
      </c>
      <c r="E745">
        <v>237</v>
      </c>
      <c r="F745" s="36">
        <v>58.7</v>
      </c>
      <c r="G745">
        <v>4</v>
      </c>
      <c r="H745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745" s="37">
        <f>Tableau2[[#This Row],[Facture_Mensuelle $]]*Tableau2[[#This Row],[Remise taux]]</f>
        <v>0</v>
      </c>
    </row>
    <row r="746" spans="1:9" x14ac:dyDescent="0.25">
      <c r="A746" t="s">
        <v>1704</v>
      </c>
      <c r="B746" t="s">
        <v>776</v>
      </c>
      <c r="C746">
        <v>111</v>
      </c>
      <c r="D746" t="s">
        <v>955</v>
      </c>
      <c r="E746">
        <v>447</v>
      </c>
      <c r="F746" s="36">
        <v>51.35</v>
      </c>
      <c r="G746">
        <v>0</v>
      </c>
      <c r="H746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23.107500000000002</v>
      </c>
      <c r="I746" s="37">
        <f>Tableau2[[#This Row],[Facture_Mensuelle $]]*Tableau2[[#This Row],[Remise taux]]</f>
        <v>1186.5701250000002</v>
      </c>
    </row>
    <row r="747" spans="1:9" x14ac:dyDescent="0.25">
      <c r="A747" t="s">
        <v>1705</v>
      </c>
      <c r="B747" t="s">
        <v>762</v>
      </c>
      <c r="C747">
        <v>100</v>
      </c>
      <c r="D747" t="s">
        <v>957</v>
      </c>
      <c r="E747">
        <v>240</v>
      </c>
      <c r="F747" s="36">
        <v>24.83</v>
      </c>
      <c r="G747">
        <v>4</v>
      </c>
      <c r="H747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11.173499999999999</v>
      </c>
      <c r="I747" s="37">
        <f>Tableau2[[#This Row],[Facture_Mensuelle $]]*Tableau2[[#This Row],[Remise taux]]</f>
        <v>277.43800499999998</v>
      </c>
    </row>
    <row r="748" spans="1:9" x14ac:dyDescent="0.25">
      <c r="A748" t="s">
        <v>1706</v>
      </c>
      <c r="B748" t="s">
        <v>762</v>
      </c>
      <c r="C748">
        <v>20</v>
      </c>
      <c r="D748" t="s">
        <v>957</v>
      </c>
      <c r="E748">
        <v>217</v>
      </c>
      <c r="F748" s="36">
        <v>55.3</v>
      </c>
      <c r="G748">
        <v>4</v>
      </c>
      <c r="H748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748" s="37">
        <f>Tableau2[[#This Row],[Facture_Mensuelle $]]*Tableau2[[#This Row],[Remise taux]]</f>
        <v>0</v>
      </c>
    </row>
    <row r="749" spans="1:9" x14ac:dyDescent="0.25">
      <c r="A749" t="s">
        <v>1707</v>
      </c>
      <c r="B749" t="s">
        <v>767</v>
      </c>
      <c r="C749">
        <v>5</v>
      </c>
      <c r="D749" t="s">
        <v>961</v>
      </c>
      <c r="E749">
        <v>71</v>
      </c>
      <c r="F749" s="36">
        <v>93.81</v>
      </c>
      <c r="G749">
        <v>3</v>
      </c>
      <c r="H749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42.214500000000001</v>
      </c>
      <c r="I749" s="37">
        <f>Tableau2[[#This Row],[Facture_Mensuelle $]]*Tableau2[[#This Row],[Remise taux]]</f>
        <v>3960.142245</v>
      </c>
    </row>
    <row r="750" spans="1:9" x14ac:dyDescent="0.25">
      <c r="A750" t="s">
        <v>1708</v>
      </c>
      <c r="B750" t="s">
        <v>764</v>
      </c>
      <c r="C750">
        <v>7</v>
      </c>
      <c r="D750" t="s">
        <v>955</v>
      </c>
      <c r="E750">
        <v>332</v>
      </c>
      <c r="F750" s="36">
        <v>83.95</v>
      </c>
      <c r="G750">
        <v>4</v>
      </c>
      <c r="H750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37.777500000000003</v>
      </c>
      <c r="I750" s="37">
        <f>Tableau2[[#This Row],[Facture_Mensuelle $]]*Tableau2[[#This Row],[Remise taux]]</f>
        <v>3171.4211250000003</v>
      </c>
    </row>
    <row r="751" spans="1:9" x14ac:dyDescent="0.25">
      <c r="A751" t="s">
        <v>1709</v>
      </c>
      <c r="B751" t="s">
        <v>772</v>
      </c>
      <c r="C751">
        <v>47</v>
      </c>
      <c r="D751" t="s">
        <v>955</v>
      </c>
      <c r="E751">
        <v>149</v>
      </c>
      <c r="F751" s="36">
        <v>28.35</v>
      </c>
      <c r="G751">
        <v>1</v>
      </c>
      <c r="H751" s="33">
        <f>IF(AND(Tableau2[[#This Row],[Duree_Cumulee_Panne_Min]]&gt;720, Tableau2[[#This Row],[Anciennete_Mois]]&gt;60), 70%*Tableau2[[#This Row],[Facture_Mensuelle $]],
  IF(OR(AND(Tableau2[[#This Row],[Duree_Cumulee_Panne_Min]]&gt;=240, Tableau2[[#This Row],[Duree_Cumulee_Panne_Min]]&lt;=720),
        AND(Tableau2[[#This Row],[Anciennete_Mois]]&lt;60, Tableau2[[#This Row],[Type_Forfait]]="Premium 5G 150Go")), 45%*Tableau2[[#This Row],[Facture_Mensuelle $]],
  IF(Tableau2[[#This Row],[Type_Forfait]]="B2B", 10%*Tableau2[[#This Row],[Facture_Mensuelle $]], 0)))</f>
        <v>0</v>
      </c>
      <c r="I751" s="37">
        <f>Tableau2[[#This Row],[Facture_Mensuelle $]]*Tableau2[[#This Row],[Remise taux]]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DF8FA-1670-4EFA-A148-64BD6778C0A9}">
  <dimension ref="A1:F501"/>
  <sheetViews>
    <sheetView workbookViewId="0">
      <selection activeCell="D96" sqref="D96"/>
    </sheetView>
  </sheetViews>
  <sheetFormatPr baseColWidth="10" defaultColWidth="11.42578125" defaultRowHeight="15" x14ac:dyDescent="0.25"/>
  <cols>
    <col min="1" max="1" width="13.85546875" bestFit="1" customWidth="1"/>
    <col min="2" max="2" width="15.5703125" bestFit="1" customWidth="1"/>
    <col min="3" max="3" width="10.7109375" bestFit="1" customWidth="1"/>
    <col min="4" max="4" width="12.140625" bestFit="1" customWidth="1"/>
    <col min="5" max="5" width="14.140625" bestFit="1" customWidth="1"/>
    <col min="7" max="7" width="22.5703125" customWidth="1"/>
  </cols>
  <sheetData>
    <row r="1" spans="1:6" x14ac:dyDescent="0.25">
      <c r="A1" t="s">
        <v>787</v>
      </c>
      <c r="B1" t="s">
        <v>788</v>
      </c>
      <c r="C1" t="s">
        <v>789</v>
      </c>
      <c r="D1" t="s">
        <v>790</v>
      </c>
      <c r="E1" t="s">
        <v>791</v>
      </c>
      <c r="F1" t="s">
        <v>792</v>
      </c>
    </row>
    <row r="2" spans="1:6" x14ac:dyDescent="0.25">
      <c r="A2" t="s">
        <v>507</v>
      </c>
      <c r="B2" t="s">
        <v>761</v>
      </c>
      <c r="C2">
        <v>-3.003879</v>
      </c>
      <c r="D2">
        <v>23.633893</v>
      </c>
      <c r="E2" t="s">
        <v>793</v>
      </c>
      <c r="F2" t="s">
        <v>794</v>
      </c>
    </row>
    <row r="3" spans="1:6" x14ac:dyDescent="0.25">
      <c r="A3" t="s">
        <v>746</v>
      </c>
      <c r="B3" t="s">
        <v>762</v>
      </c>
      <c r="C3">
        <v>2.413557</v>
      </c>
      <c r="D3">
        <v>19.690681999999999</v>
      </c>
      <c r="E3" t="s">
        <v>795</v>
      </c>
      <c r="F3" t="s">
        <v>796</v>
      </c>
    </row>
    <row r="4" spans="1:6" x14ac:dyDescent="0.25">
      <c r="A4" t="s">
        <v>24</v>
      </c>
      <c r="B4" t="s">
        <v>763</v>
      </c>
      <c r="C4">
        <v>-9.4708620000000003</v>
      </c>
      <c r="D4">
        <v>29.234387999999999</v>
      </c>
      <c r="E4" t="s">
        <v>797</v>
      </c>
      <c r="F4" t="s">
        <v>798</v>
      </c>
    </row>
    <row r="5" spans="1:6" x14ac:dyDescent="0.25">
      <c r="A5" t="s">
        <v>458</v>
      </c>
      <c r="B5" t="s">
        <v>764</v>
      </c>
      <c r="C5">
        <v>1.400674</v>
      </c>
      <c r="D5">
        <v>13.503126999999999</v>
      </c>
      <c r="E5" t="s">
        <v>793</v>
      </c>
      <c r="F5" t="s">
        <v>798</v>
      </c>
    </row>
    <row r="6" spans="1:6" x14ac:dyDescent="0.25">
      <c r="A6" t="s">
        <v>799</v>
      </c>
      <c r="B6" t="s">
        <v>761</v>
      </c>
      <c r="C6">
        <v>0.29375600000000002</v>
      </c>
      <c r="D6">
        <v>18.528884000000001</v>
      </c>
      <c r="E6" t="s">
        <v>793</v>
      </c>
      <c r="F6" t="s">
        <v>798</v>
      </c>
    </row>
    <row r="7" spans="1:6" x14ac:dyDescent="0.25">
      <c r="A7" t="s">
        <v>800</v>
      </c>
      <c r="B7" t="s">
        <v>765</v>
      </c>
      <c r="C7">
        <v>-4.4862339999999996</v>
      </c>
      <c r="D7">
        <v>17.956159</v>
      </c>
      <c r="E7" t="s">
        <v>797</v>
      </c>
      <c r="F7" t="s">
        <v>796</v>
      </c>
    </row>
    <row r="8" spans="1:6" x14ac:dyDescent="0.25">
      <c r="A8" t="s">
        <v>712</v>
      </c>
      <c r="B8" t="s">
        <v>763</v>
      </c>
      <c r="C8">
        <v>-12.824638999999999</v>
      </c>
      <c r="D8">
        <v>24.407249</v>
      </c>
      <c r="E8" t="s">
        <v>793</v>
      </c>
      <c r="F8" t="s">
        <v>796</v>
      </c>
    </row>
    <row r="9" spans="1:6" x14ac:dyDescent="0.25">
      <c r="A9" t="s">
        <v>100</v>
      </c>
      <c r="B9" t="s">
        <v>766</v>
      </c>
      <c r="C9">
        <v>-5.4126279999999998</v>
      </c>
      <c r="D9">
        <v>25.498235999999999</v>
      </c>
      <c r="E9" t="s">
        <v>793</v>
      </c>
      <c r="F9" t="s">
        <v>798</v>
      </c>
    </row>
    <row r="10" spans="1:6" x14ac:dyDescent="0.25">
      <c r="A10" t="s">
        <v>801</v>
      </c>
      <c r="B10" t="s">
        <v>766</v>
      </c>
      <c r="C10">
        <v>-10.579510000000001</v>
      </c>
      <c r="D10">
        <v>23.502313999999998</v>
      </c>
      <c r="E10" t="s">
        <v>795</v>
      </c>
      <c r="F10" t="s">
        <v>798</v>
      </c>
    </row>
    <row r="11" spans="1:6" x14ac:dyDescent="0.25">
      <c r="A11" t="s">
        <v>802</v>
      </c>
      <c r="B11" t="s">
        <v>767</v>
      </c>
      <c r="C11">
        <v>3.0788669999999998</v>
      </c>
      <c r="D11">
        <v>19.513650999999999</v>
      </c>
      <c r="E11" t="s">
        <v>793</v>
      </c>
      <c r="F11" t="s">
        <v>796</v>
      </c>
    </row>
    <row r="12" spans="1:6" x14ac:dyDescent="0.25">
      <c r="A12" t="s">
        <v>13</v>
      </c>
      <c r="B12" t="s">
        <v>768</v>
      </c>
      <c r="C12">
        <v>-1.648264</v>
      </c>
      <c r="D12">
        <v>28.866143999999998</v>
      </c>
      <c r="E12" t="s">
        <v>793</v>
      </c>
      <c r="F12" t="s">
        <v>794</v>
      </c>
    </row>
    <row r="13" spans="1:6" x14ac:dyDescent="0.25">
      <c r="A13" t="s">
        <v>803</v>
      </c>
      <c r="B13" t="s">
        <v>769</v>
      </c>
      <c r="C13">
        <v>-3.3883130000000001</v>
      </c>
      <c r="D13">
        <v>26.838507</v>
      </c>
      <c r="E13" t="s">
        <v>793</v>
      </c>
      <c r="F13" t="s">
        <v>804</v>
      </c>
    </row>
    <row r="14" spans="1:6" x14ac:dyDescent="0.25">
      <c r="A14" t="s">
        <v>805</v>
      </c>
      <c r="B14" t="s">
        <v>770</v>
      </c>
      <c r="C14">
        <v>-7.31691</v>
      </c>
      <c r="D14">
        <v>29.836627</v>
      </c>
      <c r="E14" t="s">
        <v>793</v>
      </c>
      <c r="F14" t="s">
        <v>798</v>
      </c>
    </row>
    <row r="15" spans="1:6" x14ac:dyDescent="0.25">
      <c r="A15" t="s">
        <v>125</v>
      </c>
      <c r="B15" t="s">
        <v>762</v>
      </c>
      <c r="C15">
        <v>-4.2408359999999998</v>
      </c>
      <c r="D15">
        <v>26.210014000000001</v>
      </c>
      <c r="E15" t="s">
        <v>795</v>
      </c>
      <c r="F15" t="s">
        <v>796</v>
      </c>
    </row>
    <row r="16" spans="1:6" x14ac:dyDescent="0.25">
      <c r="A16" t="s">
        <v>289</v>
      </c>
      <c r="B16" t="s">
        <v>765</v>
      </c>
      <c r="C16">
        <v>-8.4824669999999998</v>
      </c>
      <c r="D16">
        <v>21.897777999999999</v>
      </c>
      <c r="E16" t="s">
        <v>793</v>
      </c>
      <c r="F16" t="s">
        <v>794</v>
      </c>
    </row>
    <row r="17" spans="1:6" x14ac:dyDescent="0.25">
      <c r="A17" t="s">
        <v>468</v>
      </c>
      <c r="B17" t="s">
        <v>771</v>
      </c>
      <c r="C17">
        <v>2.453036</v>
      </c>
      <c r="D17">
        <v>20.555484</v>
      </c>
      <c r="E17" t="s">
        <v>793</v>
      </c>
      <c r="F17" t="s">
        <v>794</v>
      </c>
    </row>
    <row r="18" spans="1:6" x14ac:dyDescent="0.25">
      <c r="A18" t="s">
        <v>78</v>
      </c>
      <c r="B18" t="s">
        <v>772</v>
      </c>
      <c r="C18">
        <v>-12.141233</v>
      </c>
      <c r="D18">
        <v>15.179043999999999</v>
      </c>
      <c r="E18" t="s">
        <v>793</v>
      </c>
      <c r="F18" t="s">
        <v>794</v>
      </c>
    </row>
    <row r="19" spans="1:6" x14ac:dyDescent="0.25">
      <c r="A19" t="s">
        <v>104</v>
      </c>
      <c r="B19" t="s">
        <v>773</v>
      </c>
      <c r="C19">
        <v>-11.218453999999999</v>
      </c>
      <c r="D19">
        <v>28.230025000000001</v>
      </c>
      <c r="E19" t="s">
        <v>793</v>
      </c>
      <c r="F19" t="s">
        <v>798</v>
      </c>
    </row>
    <row r="20" spans="1:6" x14ac:dyDescent="0.25">
      <c r="A20" t="s">
        <v>40</v>
      </c>
      <c r="B20" t="s">
        <v>774</v>
      </c>
      <c r="C20">
        <v>-10.059846</v>
      </c>
      <c r="D20">
        <v>14.375757999999999</v>
      </c>
      <c r="E20" t="s">
        <v>795</v>
      </c>
      <c r="F20" t="s">
        <v>796</v>
      </c>
    </row>
    <row r="21" spans="1:6" x14ac:dyDescent="0.25">
      <c r="A21" t="s">
        <v>346</v>
      </c>
      <c r="B21" t="s">
        <v>775</v>
      </c>
      <c r="C21">
        <v>-9.1215879999999991</v>
      </c>
      <c r="D21">
        <v>16.457916999999998</v>
      </c>
      <c r="E21" t="s">
        <v>795</v>
      </c>
      <c r="F21" t="s">
        <v>804</v>
      </c>
    </row>
    <row r="22" spans="1:6" x14ac:dyDescent="0.25">
      <c r="A22" t="s">
        <v>18</v>
      </c>
      <c r="B22" t="s">
        <v>773</v>
      </c>
      <c r="C22">
        <v>-8.4227860000000003</v>
      </c>
      <c r="D22">
        <v>16.781293000000002</v>
      </c>
      <c r="E22" t="s">
        <v>795</v>
      </c>
      <c r="F22" t="s">
        <v>796</v>
      </c>
    </row>
    <row r="23" spans="1:6" x14ac:dyDescent="0.25">
      <c r="A23" t="s">
        <v>806</v>
      </c>
      <c r="B23" t="s">
        <v>776</v>
      </c>
      <c r="C23">
        <v>2.1014910000000002</v>
      </c>
      <c r="D23">
        <v>26.133631999999999</v>
      </c>
      <c r="E23" t="s">
        <v>793</v>
      </c>
      <c r="F23" t="s">
        <v>796</v>
      </c>
    </row>
    <row r="24" spans="1:6" x14ac:dyDescent="0.25">
      <c r="A24" t="s">
        <v>344</v>
      </c>
      <c r="B24" t="s">
        <v>773</v>
      </c>
      <c r="C24">
        <v>-11.266565999999999</v>
      </c>
      <c r="D24">
        <v>26.245055000000001</v>
      </c>
      <c r="E24" t="s">
        <v>797</v>
      </c>
      <c r="F24" t="s">
        <v>794</v>
      </c>
    </row>
    <row r="25" spans="1:6" x14ac:dyDescent="0.25">
      <c r="A25" t="s">
        <v>435</v>
      </c>
      <c r="B25" t="s">
        <v>777</v>
      </c>
      <c r="C25">
        <v>0.40267799999999998</v>
      </c>
      <c r="D25">
        <v>16.000858000000001</v>
      </c>
      <c r="E25" t="s">
        <v>797</v>
      </c>
      <c r="F25" t="s">
        <v>804</v>
      </c>
    </row>
    <row r="26" spans="1:6" x14ac:dyDescent="0.25">
      <c r="A26" t="s">
        <v>163</v>
      </c>
      <c r="B26" t="s">
        <v>772</v>
      </c>
      <c r="C26">
        <v>-8.3241560000000003</v>
      </c>
      <c r="D26">
        <v>19.543866000000001</v>
      </c>
      <c r="E26" t="s">
        <v>795</v>
      </c>
      <c r="F26" t="s">
        <v>798</v>
      </c>
    </row>
    <row r="27" spans="1:6" x14ac:dyDescent="0.25">
      <c r="A27" t="s">
        <v>807</v>
      </c>
      <c r="B27" t="s">
        <v>765</v>
      </c>
      <c r="C27">
        <v>-6.5144820000000001</v>
      </c>
      <c r="D27">
        <v>13.815521</v>
      </c>
      <c r="E27" t="s">
        <v>795</v>
      </c>
      <c r="F27" t="s">
        <v>798</v>
      </c>
    </row>
    <row r="28" spans="1:6" x14ac:dyDescent="0.25">
      <c r="A28" t="s">
        <v>158</v>
      </c>
      <c r="B28" t="s">
        <v>771</v>
      </c>
      <c r="C28">
        <v>-2.9651529999999999</v>
      </c>
      <c r="D28">
        <v>29.79908</v>
      </c>
      <c r="E28" t="s">
        <v>795</v>
      </c>
      <c r="F28" t="s">
        <v>794</v>
      </c>
    </row>
    <row r="29" spans="1:6" x14ac:dyDescent="0.25">
      <c r="A29" t="s">
        <v>301</v>
      </c>
      <c r="B29" t="s">
        <v>774</v>
      </c>
      <c r="C29">
        <v>1.5802860000000001</v>
      </c>
      <c r="D29">
        <v>20.99053</v>
      </c>
      <c r="E29" t="s">
        <v>795</v>
      </c>
      <c r="F29" t="s">
        <v>798</v>
      </c>
    </row>
    <row r="30" spans="1:6" x14ac:dyDescent="0.25">
      <c r="A30" t="s">
        <v>808</v>
      </c>
      <c r="B30" t="s">
        <v>777</v>
      </c>
      <c r="C30">
        <v>-6.8054750000000004</v>
      </c>
      <c r="D30">
        <v>13.022683000000001</v>
      </c>
      <c r="E30" t="s">
        <v>795</v>
      </c>
      <c r="F30" t="s">
        <v>796</v>
      </c>
    </row>
    <row r="31" spans="1:6" x14ac:dyDescent="0.25">
      <c r="A31" t="s">
        <v>809</v>
      </c>
      <c r="B31" t="s">
        <v>778</v>
      </c>
      <c r="C31">
        <v>-5.5883039999999999</v>
      </c>
      <c r="D31">
        <v>26.647739999999999</v>
      </c>
      <c r="E31" t="s">
        <v>797</v>
      </c>
      <c r="F31" t="s">
        <v>794</v>
      </c>
    </row>
    <row r="32" spans="1:6" x14ac:dyDescent="0.25">
      <c r="A32" t="s">
        <v>108</v>
      </c>
      <c r="B32" t="s">
        <v>768</v>
      </c>
      <c r="C32">
        <v>-6.6803710000000001</v>
      </c>
      <c r="D32">
        <v>21.955673000000001</v>
      </c>
      <c r="E32" t="s">
        <v>795</v>
      </c>
      <c r="F32" t="s">
        <v>804</v>
      </c>
    </row>
    <row r="33" spans="1:6" x14ac:dyDescent="0.25">
      <c r="A33" t="s">
        <v>724</v>
      </c>
      <c r="B33" t="s">
        <v>778</v>
      </c>
      <c r="C33">
        <v>-0.767455</v>
      </c>
      <c r="D33">
        <v>30.924261000000001</v>
      </c>
      <c r="E33" t="s">
        <v>797</v>
      </c>
      <c r="F33" t="s">
        <v>796</v>
      </c>
    </row>
    <row r="34" spans="1:6" x14ac:dyDescent="0.25">
      <c r="A34" t="s">
        <v>73</v>
      </c>
      <c r="B34" t="s">
        <v>763</v>
      </c>
      <c r="C34">
        <v>-2.099631</v>
      </c>
      <c r="D34">
        <v>13.974640000000001</v>
      </c>
      <c r="E34" t="s">
        <v>797</v>
      </c>
      <c r="F34" t="s">
        <v>804</v>
      </c>
    </row>
    <row r="35" spans="1:6" x14ac:dyDescent="0.25">
      <c r="A35" t="s">
        <v>810</v>
      </c>
      <c r="B35" t="s">
        <v>779</v>
      </c>
      <c r="C35">
        <v>-2.6166320000000001</v>
      </c>
      <c r="D35">
        <v>23.743941</v>
      </c>
      <c r="E35" t="s">
        <v>793</v>
      </c>
      <c r="F35" t="s">
        <v>804</v>
      </c>
    </row>
    <row r="36" spans="1:6" x14ac:dyDescent="0.25">
      <c r="A36" t="s">
        <v>491</v>
      </c>
      <c r="B36" t="s">
        <v>771</v>
      </c>
      <c r="C36">
        <v>-1.3024210000000001</v>
      </c>
      <c r="D36">
        <v>13.601914000000001</v>
      </c>
      <c r="E36" t="s">
        <v>797</v>
      </c>
      <c r="F36" t="s">
        <v>796</v>
      </c>
    </row>
    <row r="37" spans="1:6" x14ac:dyDescent="0.25">
      <c r="A37" t="s">
        <v>811</v>
      </c>
      <c r="B37" t="s">
        <v>771</v>
      </c>
      <c r="C37">
        <v>-3.3081109999999998</v>
      </c>
      <c r="D37">
        <v>29.700202000000001</v>
      </c>
      <c r="E37" t="s">
        <v>795</v>
      </c>
      <c r="F37" t="s">
        <v>804</v>
      </c>
    </row>
    <row r="38" spans="1:6" x14ac:dyDescent="0.25">
      <c r="A38" t="s">
        <v>31</v>
      </c>
      <c r="B38" t="s">
        <v>769</v>
      </c>
      <c r="C38">
        <v>4.6287159999999998</v>
      </c>
      <c r="D38">
        <v>19.407077999999998</v>
      </c>
      <c r="E38" t="s">
        <v>795</v>
      </c>
      <c r="F38" t="s">
        <v>794</v>
      </c>
    </row>
    <row r="39" spans="1:6" x14ac:dyDescent="0.25">
      <c r="A39" t="s">
        <v>387</v>
      </c>
      <c r="B39" t="s">
        <v>773</v>
      </c>
      <c r="C39">
        <v>-7.8770429999999996</v>
      </c>
      <c r="D39">
        <v>16.357762999999998</v>
      </c>
      <c r="E39" t="s">
        <v>795</v>
      </c>
      <c r="F39" t="s">
        <v>794</v>
      </c>
    </row>
    <row r="40" spans="1:6" x14ac:dyDescent="0.25">
      <c r="A40" t="s">
        <v>403</v>
      </c>
      <c r="B40" t="s">
        <v>761</v>
      </c>
      <c r="C40">
        <v>-7.1483749999999997</v>
      </c>
      <c r="D40">
        <v>26.014271000000001</v>
      </c>
      <c r="E40" t="s">
        <v>793</v>
      </c>
      <c r="F40" t="s">
        <v>796</v>
      </c>
    </row>
    <row r="41" spans="1:6" x14ac:dyDescent="0.25">
      <c r="A41" t="s">
        <v>490</v>
      </c>
      <c r="B41" t="s">
        <v>774</v>
      </c>
      <c r="C41">
        <v>-3.8119990000000001</v>
      </c>
      <c r="D41">
        <v>20.420048000000001</v>
      </c>
      <c r="E41" t="s">
        <v>797</v>
      </c>
      <c r="F41" t="s">
        <v>798</v>
      </c>
    </row>
    <row r="42" spans="1:6" x14ac:dyDescent="0.25">
      <c r="A42" t="s">
        <v>83</v>
      </c>
      <c r="B42" t="s">
        <v>770</v>
      </c>
      <c r="C42">
        <v>0.94539899999999999</v>
      </c>
      <c r="D42">
        <v>14.401821999999999</v>
      </c>
      <c r="E42" t="s">
        <v>793</v>
      </c>
      <c r="F42" t="s">
        <v>804</v>
      </c>
    </row>
    <row r="43" spans="1:6" x14ac:dyDescent="0.25">
      <c r="A43" t="s">
        <v>236</v>
      </c>
      <c r="B43" t="s">
        <v>780</v>
      </c>
      <c r="C43">
        <v>-4.9552579999999997</v>
      </c>
      <c r="D43">
        <v>22.008103999999999</v>
      </c>
      <c r="E43" t="s">
        <v>795</v>
      </c>
      <c r="F43" t="s">
        <v>796</v>
      </c>
    </row>
    <row r="44" spans="1:6" x14ac:dyDescent="0.25">
      <c r="A44" t="s">
        <v>509</v>
      </c>
      <c r="B44" t="s">
        <v>770</v>
      </c>
      <c r="C44">
        <v>-11.588665000000001</v>
      </c>
      <c r="D44">
        <v>15.241552</v>
      </c>
      <c r="E44" t="s">
        <v>795</v>
      </c>
      <c r="F44" t="s">
        <v>804</v>
      </c>
    </row>
    <row r="45" spans="1:6" x14ac:dyDescent="0.25">
      <c r="A45" t="s">
        <v>410</v>
      </c>
      <c r="B45" t="s">
        <v>767</v>
      </c>
      <c r="C45">
        <v>-1.9540519999999999</v>
      </c>
      <c r="D45">
        <v>12.667945</v>
      </c>
      <c r="E45" t="s">
        <v>795</v>
      </c>
      <c r="F45" t="s">
        <v>796</v>
      </c>
    </row>
    <row r="46" spans="1:6" x14ac:dyDescent="0.25">
      <c r="A46" t="s">
        <v>812</v>
      </c>
      <c r="B46" t="s">
        <v>776</v>
      </c>
      <c r="C46">
        <v>-4.652463</v>
      </c>
      <c r="D46">
        <v>18.779983999999999</v>
      </c>
      <c r="E46" t="s">
        <v>797</v>
      </c>
      <c r="F46" t="s">
        <v>804</v>
      </c>
    </row>
    <row r="47" spans="1:6" x14ac:dyDescent="0.25">
      <c r="A47" t="s">
        <v>813</v>
      </c>
      <c r="B47" t="s">
        <v>762</v>
      </c>
      <c r="C47">
        <v>4.2187000000000001</v>
      </c>
      <c r="D47">
        <v>29.390174999999999</v>
      </c>
      <c r="E47" t="s">
        <v>795</v>
      </c>
      <c r="F47" t="s">
        <v>798</v>
      </c>
    </row>
    <row r="48" spans="1:6" x14ac:dyDescent="0.25">
      <c r="A48" t="s">
        <v>280</v>
      </c>
      <c r="B48" t="s">
        <v>781</v>
      </c>
      <c r="C48">
        <v>2.628638</v>
      </c>
      <c r="D48">
        <v>28.420582</v>
      </c>
      <c r="E48" t="s">
        <v>795</v>
      </c>
      <c r="F48" t="s">
        <v>796</v>
      </c>
    </row>
    <row r="49" spans="1:6" x14ac:dyDescent="0.25">
      <c r="A49" t="s">
        <v>814</v>
      </c>
      <c r="B49" t="s">
        <v>773</v>
      </c>
      <c r="C49">
        <v>-1.4695480000000001</v>
      </c>
      <c r="D49">
        <v>20.876676</v>
      </c>
      <c r="E49" t="s">
        <v>793</v>
      </c>
      <c r="F49" t="s">
        <v>794</v>
      </c>
    </row>
    <row r="50" spans="1:6" x14ac:dyDescent="0.25">
      <c r="A50" t="s">
        <v>815</v>
      </c>
      <c r="B50" t="s">
        <v>782</v>
      </c>
      <c r="C50">
        <v>3.7141999999999999</v>
      </c>
      <c r="D50">
        <v>28.547066999999998</v>
      </c>
      <c r="E50" t="s">
        <v>797</v>
      </c>
      <c r="F50" t="s">
        <v>798</v>
      </c>
    </row>
    <row r="51" spans="1:6" x14ac:dyDescent="0.25">
      <c r="A51" t="s">
        <v>355</v>
      </c>
      <c r="B51" t="s">
        <v>776</v>
      </c>
      <c r="C51">
        <v>-5.4073029999999997</v>
      </c>
      <c r="D51">
        <v>29.762294000000001</v>
      </c>
      <c r="E51" t="s">
        <v>797</v>
      </c>
      <c r="F51" t="s">
        <v>794</v>
      </c>
    </row>
    <row r="52" spans="1:6" x14ac:dyDescent="0.25">
      <c r="A52" t="s">
        <v>687</v>
      </c>
      <c r="B52" t="s">
        <v>771</v>
      </c>
      <c r="C52">
        <v>-3.6233270000000002</v>
      </c>
      <c r="D52">
        <v>25.915645999999999</v>
      </c>
      <c r="E52" t="s">
        <v>797</v>
      </c>
      <c r="F52" t="s">
        <v>796</v>
      </c>
    </row>
    <row r="53" spans="1:6" x14ac:dyDescent="0.25">
      <c r="A53" t="s">
        <v>816</v>
      </c>
      <c r="B53" t="s">
        <v>761</v>
      </c>
      <c r="C53">
        <v>-8.4403710000000007</v>
      </c>
      <c r="D53">
        <v>17.231165000000001</v>
      </c>
      <c r="E53" t="s">
        <v>795</v>
      </c>
      <c r="F53" t="s">
        <v>796</v>
      </c>
    </row>
    <row r="54" spans="1:6" x14ac:dyDescent="0.25">
      <c r="A54" t="s">
        <v>237</v>
      </c>
      <c r="B54" t="s">
        <v>763</v>
      </c>
      <c r="C54">
        <v>-1.50664</v>
      </c>
      <c r="D54">
        <v>27.795642000000001</v>
      </c>
      <c r="E54" t="s">
        <v>793</v>
      </c>
      <c r="F54" t="s">
        <v>798</v>
      </c>
    </row>
    <row r="55" spans="1:6" x14ac:dyDescent="0.25">
      <c r="A55" t="s">
        <v>290</v>
      </c>
      <c r="B55" t="s">
        <v>782</v>
      </c>
      <c r="C55">
        <v>-9.4229749999999992</v>
      </c>
      <c r="D55">
        <v>29.375005999999999</v>
      </c>
      <c r="E55" t="s">
        <v>797</v>
      </c>
      <c r="F55" t="s">
        <v>794</v>
      </c>
    </row>
    <row r="56" spans="1:6" x14ac:dyDescent="0.25">
      <c r="A56" t="s">
        <v>224</v>
      </c>
      <c r="B56" t="s">
        <v>783</v>
      </c>
      <c r="C56">
        <v>2.975352</v>
      </c>
      <c r="D56">
        <v>22.535886000000001</v>
      </c>
      <c r="E56" t="s">
        <v>795</v>
      </c>
      <c r="F56" t="s">
        <v>796</v>
      </c>
    </row>
    <row r="57" spans="1:6" x14ac:dyDescent="0.25">
      <c r="A57" t="s">
        <v>447</v>
      </c>
      <c r="B57" t="s">
        <v>765</v>
      </c>
      <c r="C57">
        <v>2.5458379999999998</v>
      </c>
      <c r="D57">
        <v>13.308655</v>
      </c>
      <c r="E57" t="s">
        <v>793</v>
      </c>
      <c r="F57" t="s">
        <v>798</v>
      </c>
    </row>
    <row r="58" spans="1:6" x14ac:dyDescent="0.25">
      <c r="A58" t="s">
        <v>338</v>
      </c>
      <c r="B58" t="s">
        <v>784</v>
      </c>
      <c r="C58">
        <v>-9.0798120000000004</v>
      </c>
      <c r="D58">
        <v>14.945484</v>
      </c>
      <c r="E58" t="s">
        <v>793</v>
      </c>
      <c r="F58" t="s">
        <v>794</v>
      </c>
    </row>
    <row r="59" spans="1:6" x14ac:dyDescent="0.25">
      <c r="A59" t="s">
        <v>304</v>
      </c>
      <c r="B59" t="s">
        <v>779</v>
      </c>
      <c r="C59">
        <v>-10.967288</v>
      </c>
      <c r="D59">
        <v>17.617781000000001</v>
      </c>
      <c r="E59" t="s">
        <v>795</v>
      </c>
      <c r="F59" t="s">
        <v>794</v>
      </c>
    </row>
    <row r="60" spans="1:6" x14ac:dyDescent="0.25">
      <c r="A60" t="s">
        <v>138</v>
      </c>
      <c r="B60" t="s">
        <v>780</v>
      </c>
      <c r="C60">
        <v>-1.607639</v>
      </c>
      <c r="D60">
        <v>17.003636</v>
      </c>
      <c r="E60" t="s">
        <v>795</v>
      </c>
      <c r="F60" t="s">
        <v>794</v>
      </c>
    </row>
    <row r="61" spans="1:6" x14ac:dyDescent="0.25">
      <c r="A61" t="s">
        <v>544</v>
      </c>
      <c r="B61" t="s">
        <v>783</v>
      </c>
      <c r="C61">
        <v>-7.1587569999999996</v>
      </c>
      <c r="D61">
        <v>18.975141000000001</v>
      </c>
      <c r="E61" t="s">
        <v>793</v>
      </c>
      <c r="F61" t="s">
        <v>794</v>
      </c>
    </row>
    <row r="62" spans="1:6" x14ac:dyDescent="0.25">
      <c r="A62" t="s">
        <v>126</v>
      </c>
      <c r="B62" t="s">
        <v>773</v>
      </c>
      <c r="C62">
        <v>-9.9875139999999991</v>
      </c>
      <c r="D62">
        <v>12.013676999999999</v>
      </c>
      <c r="E62" t="s">
        <v>797</v>
      </c>
      <c r="F62" t="s">
        <v>798</v>
      </c>
    </row>
    <row r="63" spans="1:6" x14ac:dyDescent="0.25">
      <c r="A63" t="s">
        <v>455</v>
      </c>
      <c r="B63" t="s">
        <v>779</v>
      </c>
      <c r="C63">
        <v>-8.0301989999999996</v>
      </c>
      <c r="D63">
        <v>24.122495000000001</v>
      </c>
      <c r="E63" t="s">
        <v>793</v>
      </c>
      <c r="F63" t="s">
        <v>798</v>
      </c>
    </row>
    <row r="64" spans="1:6" x14ac:dyDescent="0.25">
      <c r="A64" t="s">
        <v>245</v>
      </c>
      <c r="B64" t="s">
        <v>769</v>
      </c>
      <c r="C64">
        <v>-10.846306999999999</v>
      </c>
      <c r="D64">
        <v>19.201827999999999</v>
      </c>
      <c r="E64" t="s">
        <v>795</v>
      </c>
      <c r="F64" t="s">
        <v>794</v>
      </c>
    </row>
    <row r="65" spans="1:6" x14ac:dyDescent="0.25">
      <c r="A65" t="s">
        <v>817</v>
      </c>
      <c r="B65" t="s">
        <v>784</v>
      </c>
      <c r="C65">
        <v>1.204588</v>
      </c>
      <c r="D65">
        <v>15.525152</v>
      </c>
      <c r="E65" t="s">
        <v>793</v>
      </c>
      <c r="F65" t="s">
        <v>796</v>
      </c>
    </row>
    <row r="66" spans="1:6" x14ac:dyDescent="0.25">
      <c r="A66" t="s">
        <v>453</v>
      </c>
      <c r="B66" t="s">
        <v>775</v>
      </c>
      <c r="C66">
        <v>-12.839263000000001</v>
      </c>
      <c r="D66">
        <v>12.355677</v>
      </c>
      <c r="E66" t="s">
        <v>797</v>
      </c>
      <c r="F66" t="s">
        <v>796</v>
      </c>
    </row>
    <row r="67" spans="1:6" x14ac:dyDescent="0.25">
      <c r="A67" t="s">
        <v>684</v>
      </c>
      <c r="B67" t="s">
        <v>777</v>
      </c>
      <c r="C67">
        <v>-12.244119</v>
      </c>
      <c r="D67">
        <v>28.279755999999999</v>
      </c>
      <c r="E67" t="s">
        <v>793</v>
      </c>
      <c r="F67" t="s">
        <v>798</v>
      </c>
    </row>
    <row r="68" spans="1:6" x14ac:dyDescent="0.25">
      <c r="A68" t="s">
        <v>818</v>
      </c>
      <c r="B68" t="s">
        <v>774</v>
      </c>
      <c r="C68">
        <v>1.102554</v>
      </c>
      <c r="D68">
        <v>26.744315</v>
      </c>
      <c r="E68" t="s">
        <v>797</v>
      </c>
      <c r="F68" t="s">
        <v>794</v>
      </c>
    </row>
    <row r="69" spans="1:6" x14ac:dyDescent="0.25">
      <c r="A69" t="s">
        <v>178</v>
      </c>
      <c r="B69" t="s">
        <v>768</v>
      </c>
      <c r="C69">
        <v>-4.4451280000000004</v>
      </c>
      <c r="D69">
        <v>16.536944999999999</v>
      </c>
      <c r="E69" t="s">
        <v>795</v>
      </c>
      <c r="F69" t="s">
        <v>794</v>
      </c>
    </row>
    <row r="70" spans="1:6" x14ac:dyDescent="0.25">
      <c r="A70" t="s">
        <v>174</v>
      </c>
      <c r="B70" t="s">
        <v>773</v>
      </c>
      <c r="C70">
        <v>-2.2681789999999999</v>
      </c>
      <c r="D70">
        <v>25.699068</v>
      </c>
      <c r="E70" t="s">
        <v>797</v>
      </c>
      <c r="F70" t="s">
        <v>798</v>
      </c>
    </row>
    <row r="71" spans="1:6" x14ac:dyDescent="0.25">
      <c r="A71" t="s">
        <v>110</v>
      </c>
      <c r="B71" t="s">
        <v>769</v>
      </c>
      <c r="C71">
        <v>-6.3148239999999998</v>
      </c>
      <c r="D71">
        <v>24.507498999999999</v>
      </c>
      <c r="E71" t="s">
        <v>797</v>
      </c>
      <c r="F71" t="s">
        <v>798</v>
      </c>
    </row>
    <row r="72" spans="1:6" x14ac:dyDescent="0.25">
      <c r="A72" t="s">
        <v>342</v>
      </c>
      <c r="B72" t="s">
        <v>766</v>
      </c>
      <c r="C72">
        <v>-11.389362</v>
      </c>
      <c r="D72">
        <v>22.240174</v>
      </c>
      <c r="E72" t="s">
        <v>793</v>
      </c>
      <c r="F72" t="s">
        <v>798</v>
      </c>
    </row>
    <row r="73" spans="1:6" x14ac:dyDescent="0.25">
      <c r="A73" t="s">
        <v>439</v>
      </c>
      <c r="B73" t="s">
        <v>762</v>
      </c>
      <c r="C73">
        <v>-10.161428000000001</v>
      </c>
      <c r="D73">
        <v>19.362325999999999</v>
      </c>
      <c r="E73" t="s">
        <v>797</v>
      </c>
      <c r="F73" t="s">
        <v>804</v>
      </c>
    </row>
    <row r="74" spans="1:6" x14ac:dyDescent="0.25">
      <c r="A74" t="s">
        <v>484</v>
      </c>
      <c r="B74" t="s">
        <v>779</v>
      </c>
      <c r="C74">
        <v>-11.354772000000001</v>
      </c>
      <c r="D74">
        <v>21.957325999999998</v>
      </c>
      <c r="E74" t="s">
        <v>797</v>
      </c>
      <c r="F74" t="s">
        <v>804</v>
      </c>
    </row>
    <row r="75" spans="1:6" x14ac:dyDescent="0.25">
      <c r="A75" t="s">
        <v>57</v>
      </c>
      <c r="B75" t="s">
        <v>763</v>
      </c>
      <c r="C75">
        <v>-1.864393</v>
      </c>
      <c r="D75">
        <v>21.453434000000001</v>
      </c>
      <c r="E75" t="s">
        <v>793</v>
      </c>
      <c r="F75" t="s">
        <v>794</v>
      </c>
    </row>
    <row r="76" spans="1:6" x14ac:dyDescent="0.25">
      <c r="A76" t="s">
        <v>819</v>
      </c>
      <c r="B76" t="s">
        <v>776</v>
      </c>
      <c r="C76">
        <v>3.7552780000000001</v>
      </c>
      <c r="D76">
        <v>22.477888</v>
      </c>
      <c r="E76" t="s">
        <v>797</v>
      </c>
      <c r="F76" t="s">
        <v>804</v>
      </c>
    </row>
    <row r="77" spans="1:6" x14ac:dyDescent="0.25">
      <c r="A77" t="s">
        <v>310</v>
      </c>
      <c r="B77" t="s">
        <v>769</v>
      </c>
      <c r="C77">
        <v>4.9455159999999996</v>
      </c>
      <c r="D77">
        <v>23.647746000000001</v>
      </c>
      <c r="E77" t="s">
        <v>793</v>
      </c>
      <c r="F77" t="s">
        <v>796</v>
      </c>
    </row>
    <row r="78" spans="1:6" x14ac:dyDescent="0.25">
      <c r="A78" t="s">
        <v>725</v>
      </c>
      <c r="B78" t="s">
        <v>779</v>
      </c>
      <c r="C78">
        <v>-1.7476179999999999</v>
      </c>
      <c r="D78">
        <v>18.129401000000001</v>
      </c>
      <c r="E78" t="s">
        <v>795</v>
      </c>
      <c r="F78" t="s">
        <v>794</v>
      </c>
    </row>
    <row r="79" spans="1:6" x14ac:dyDescent="0.25">
      <c r="A79" t="s">
        <v>497</v>
      </c>
      <c r="B79" t="s">
        <v>761</v>
      </c>
      <c r="C79">
        <v>-11.924048000000001</v>
      </c>
      <c r="D79">
        <v>24.177174999999998</v>
      </c>
      <c r="E79" t="s">
        <v>797</v>
      </c>
      <c r="F79" t="s">
        <v>804</v>
      </c>
    </row>
    <row r="80" spans="1:6" x14ac:dyDescent="0.25">
      <c r="A80" t="s">
        <v>223</v>
      </c>
      <c r="B80" t="s">
        <v>776</v>
      </c>
      <c r="C80">
        <v>-1.3976519999999999</v>
      </c>
      <c r="D80">
        <v>14.098819000000001</v>
      </c>
      <c r="E80" t="s">
        <v>797</v>
      </c>
      <c r="F80" t="s">
        <v>794</v>
      </c>
    </row>
    <row r="81" spans="1:6" x14ac:dyDescent="0.25">
      <c r="A81" t="s">
        <v>820</v>
      </c>
      <c r="B81" t="s">
        <v>781</v>
      </c>
      <c r="C81">
        <v>-0.37609300000000001</v>
      </c>
      <c r="D81">
        <v>21.940809999999999</v>
      </c>
      <c r="E81" t="s">
        <v>793</v>
      </c>
      <c r="F81" t="s">
        <v>796</v>
      </c>
    </row>
    <row r="82" spans="1:6" x14ac:dyDescent="0.25">
      <c r="A82" t="s">
        <v>656</v>
      </c>
      <c r="B82" t="s">
        <v>783</v>
      </c>
      <c r="C82">
        <v>1.2463919999999999</v>
      </c>
      <c r="D82">
        <v>13.266916999999999</v>
      </c>
      <c r="E82" t="s">
        <v>793</v>
      </c>
      <c r="F82" t="s">
        <v>796</v>
      </c>
    </row>
    <row r="83" spans="1:6" x14ac:dyDescent="0.25">
      <c r="A83" t="s">
        <v>624</v>
      </c>
      <c r="B83" t="s">
        <v>768</v>
      </c>
      <c r="C83">
        <v>-10.735106</v>
      </c>
      <c r="D83">
        <v>27.868673999999999</v>
      </c>
      <c r="E83" t="s">
        <v>797</v>
      </c>
      <c r="F83" t="s">
        <v>794</v>
      </c>
    </row>
    <row r="84" spans="1:6" x14ac:dyDescent="0.25">
      <c r="A84" t="s">
        <v>669</v>
      </c>
      <c r="B84" t="s">
        <v>761</v>
      </c>
      <c r="C84">
        <v>-8.8118569999999998</v>
      </c>
      <c r="D84">
        <v>14.465711000000001</v>
      </c>
      <c r="E84" t="s">
        <v>793</v>
      </c>
      <c r="F84" t="s">
        <v>804</v>
      </c>
    </row>
    <row r="85" spans="1:6" x14ac:dyDescent="0.25">
      <c r="A85" t="s">
        <v>821</v>
      </c>
      <c r="B85" t="s">
        <v>781</v>
      </c>
      <c r="C85">
        <v>4.6701629999999996</v>
      </c>
      <c r="D85">
        <v>28.596363</v>
      </c>
      <c r="E85" t="s">
        <v>793</v>
      </c>
      <c r="F85" t="s">
        <v>794</v>
      </c>
    </row>
    <row r="86" spans="1:6" x14ac:dyDescent="0.25">
      <c r="A86" t="s">
        <v>822</v>
      </c>
      <c r="B86" t="s">
        <v>779</v>
      </c>
      <c r="C86">
        <v>1.194113</v>
      </c>
      <c r="D86">
        <v>15.839502</v>
      </c>
      <c r="E86" t="s">
        <v>797</v>
      </c>
      <c r="F86" t="s">
        <v>796</v>
      </c>
    </row>
    <row r="87" spans="1:6" x14ac:dyDescent="0.25">
      <c r="A87" t="s">
        <v>400</v>
      </c>
      <c r="B87" t="s">
        <v>762</v>
      </c>
      <c r="C87">
        <v>0.62055499999999997</v>
      </c>
      <c r="D87">
        <v>21.222035000000002</v>
      </c>
      <c r="E87" t="s">
        <v>793</v>
      </c>
      <c r="F87" t="s">
        <v>804</v>
      </c>
    </row>
    <row r="88" spans="1:6" x14ac:dyDescent="0.25">
      <c r="A88" t="s">
        <v>735</v>
      </c>
      <c r="B88" t="s">
        <v>764</v>
      </c>
      <c r="C88">
        <v>1.499457</v>
      </c>
      <c r="D88">
        <v>13.876317999999999</v>
      </c>
      <c r="E88" t="s">
        <v>793</v>
      </c>
      <c r="F88" t="s">
        <v>804</v>
      </c>
    </row>
    <row r="89" spans="1:6" x14ac:dyDescent="0.25">
      <c r="A89" t="s">
        <v>54</v>
      </c>
      <c r="B89" t="s">
        <v>767</v>
      </c>
      <c r="C89">
        <v>-5.1030600000000002</v>
      </c>
      <c r="D89">
        <v>22.849231</v>
      </c>
      <c r="E89" t="s">
        <v>793</v>
      </c>
      <c r="F89" t="s">
        <v>798</v>
      </c>
    </row>
    <row r="90" spans="1:6" x14ac:dyDescent="0.25">
      <c r="A90" t="s">
        <v>87</v>
      </c>
      <c r="B90" t="s">
        <v>768</v>
      </c>
      <c r="C90">
        <v>-9.5266249999999992</v>
      </c>
      <c r="D90">
        <v>27.889690999999999</v>
      </c>
      <c r="E90" t="s">
        <v>795</v>
      </c>
      <c r="F90" t="s">
        <v>794</v>
      </c>
    </row>
    <row r="91" spans="1:6" x14ac:dyDescent="0.25">
      <c r="A91" t="s">
        <v>823</v>
      </c>
      <c r="B91" t="s">
        <v>777</v>
      </c>
      <c r="C91">
        <v>-0.59350000000000003</v>
      </c>
      <c r="D91">
        <v>24.500503999999999</v>
      </c>
      <c r="E91" t="s">
        <v>793</v>
      </c>
      <c r="F91" t="s">
        <v>796</v>
      </c>
    </row>
    <row r="92" spans="1:6" x14ac:dyDescent="0.25">
      <c r="A92" t="s">
        <v>327</v>
      </c>
      <c r="B92" t="s">
        <v>769</v>
      </c>
      <c r="C92">
        <v>-6.5529849999999996</v>
      </c>
      <c r="D92">
        <v>21.990606</v>
      </c>
      <c r="E92" t="s">
        <v>797</v>
      </c>
      <c r="F92" t="s">
        <v>796</v>
      </c>
    </row>
    <row r="93" spans="1:6" x14ac:dyDescent="0.25">
      <c r="A93" t="s">
        <v>554</v>
      </c>
      <c r="B93" t="s">
        <v>767</v>
      </c>
      <c r="C93">
        <v>-10.574821</v>
      </c>
      <c r="D93">
        <v>25.324966</v>
      </c>
      <c r="E93" t="s">
        <v>793</v>
      </c>
      <c r="F93" t="s">
        <v>794</v>
      </c>
    </row>
    <row r="94" spans="1:6" x14ac:dyDescent="0.25">
      <c r="A94" t="s">
        <v>612</v>
      </c>
      <c r="B94" t="s">
        <v>785</v>
      </c>
      <c r="C94">
        <v>3.175935</v>
      </c>
      <c r="D94">
        <v>16.862832000000001</v>
      </c>
      <c r="E94" t="s">
        <v>793</v>
      </c>
      <c r="F94" t="s">
        <v>794</v>
      </c>
    </row>
    <row r="95" spans="1:6" x14ac:dyDescent="0.25">
      <c r="A95" t="s">
        <v>188</v>
      </c>
      <c r="B95" t="s">
        <v>765</v>
      </c>
      <c r="C95">
        <v>-4.2645619999999997</v>
      </c>
      <c r="D95">
        <v>18.960726000000001</v>
      </c>
      <c r="E95" t="s">
        <v>795</v>
      </c>
      <c r="F95" t="s">
        <v>796</v>
      </c>
    </row>
    <row r="96" spans="1:6" x14ac:dyDescent="0.25">
      <c r="A96" t="s">
        <v>333</v>
      </c>
      <c r="B96" t="s">
        <v>774</v>
      </c>
      <c r="C96">
        <v>-5.125</v>
      </c>
      <c r="D96">
        <v>23.513119</v>
      </c>
      <c r="E96" t="s">
        <v>793</v>
      </c>
      <c r="F96" t="s">
        <v>796</v>
      </c>
    </row>
    <row r="97" spans="1:6" x14ac:dyDescent="0.25">
      <c r="A97" t="s">
        <v>518</v>
      </c>
      <c r="B97" t="s">
        <v>786</v>
      </c>
      <c r="C97">
        <v>-7.6951369999999999</v>
      </c>
      <c r="D97">
        <v>13.346605</v>
      </c>
      <c r="E97" t="s">
        <v>795</v>
      </c>
      <c r="F97" t="s">
        <v>794</v>
      </c>
    </row>
    <row r="98" spans="1:6" x14ac:dyDescent="0.25">
      <c r="A98" t="s">
        <v>824</v>
      </c>
      <c r="B98" t="s">
        <v>781</v>
      </c>
      <c r="C98">
        <v>-0.45332</v>
      </c>
      <c r="D98">
        <v>29.674009999999999</v>
      </c>
      <c r="E98" t="s">
        <v>793</v>
      </c>
      <c r="F98" t="s">
        <v>794</v>
      </c>
    </row>
    <row r="99" spans="1:6" x14ac:dyDescent="0.25">
      <c r="A99" t="s">
        <v>294</v>
      </c>
      <c r="B99" t="s">
        <v>783</v>
      </c>
      <c r="C99">
        <v>-9.5840350000000001</v>
      </c>
      <c r="D99">
        <v>15.966024000000001</v>
      </c>
      <c r="E99" t="s">
        <v>793</v>
      </c>
      <c r="F99" t="s">
        <v>804</v>
      </c>
    </row>
    <row r="100" spans="1:6" x14ac:dyDescent="0.25">
      <c r="A100" t="s">
        <v>617</v>
      </c>
      <c r="B100" t="s">
        <v>781</v>
      </c>
      <c r="C100">
        <v>-9.6407190000000007</v>
      </c>
      <c r="D100">
        <v>21.336704999999998</v>
      </c>
      <c r="E100" t="s">
        <v>795</v>
      </c>
      <c r="F100" t="s">
        <v>798</v>
      </c>
    </row>
    <row r="101" spans="1:6" x14ac:dyDescent="0.25">
      <c r="A101" t="s">
        <v>710</v>
      </c>
      <c r="B101" t="s">
        <v>775</v>
      </c>
      <c r="C101">
        <v>-6.7420359999999997</v>
      </c>
      <c r="D101">
        <v>28.905578999999999</v>
      </c>
      <c r="E101" t="s">
        <v>797</v>
      </c>
      <c r="F101" t="s">
        <v>796</v>
      </c>
    </row>
    <row r="102" spans="1:6" x14ac:dyDescent="0.25">
      <c r="A102" t="s">
        <v>216</v>
      </c>
      <c r="B102" t="s">
        <v>782</v>
      </c>
      <c r="C102">
        <v>0.16841400000000001</v>
      </c>
      <c r="D102">
        <v>30.029876999999999</v>
      </c>
      <c r="E102" t="s">
        <v>793</v>
      </c>
      <c r="F102" t="s">
        <v>796</v>
      </c>
    </row>
    <row r="103" spans="1:6" x14ac:dyDescent="0.25">
      <c r="A103" t="s">
        <v>825</v>
      </c>
      <c r="B103" t="s">
        <v>777</v>
      </c>
      <c r="C103">
        <v>-5.9281110000000004</v>
      </c>
      <c r="D103">
        <v>29.607863999999999</v>
      </c>
      <c r="E103" t="s">
        <v>795</v>
      </c>
      <c r="F103" t="s">
        <v>796</v>
      </c>
    </row>
    <row r="104" spans="1:6" x14ac:dyDescent="0.25">
      <c r="A104" t="s">
        <v>38</v>
      </c>
      <c r="B104" t="s">
        <v>774</v>
      </c>
      <c r="C104">
        <v>-4.9789079999999997</v>
      </c>
      <c r="D104">
        <v>28.506295000000001</v>
      </c>
      <c r="E104" t="s">
        <v>795</v>
      </c>
      <c r="F104" t="s">
        <v>796</v>
      </c>
    </row>
    <row r="105" spans="1:6" x14ac:dyDescent="0.25">
      <c r="A105" t="s">
        <v>319</v>
      </c>
      <c r="B105" t="s">
        <v>777</v>
      </c>
      <c r="C105">
        <v>-2.2876210000000001</v>
      </c>
      <c r="D105">
        <v>27.582545</v>
      </c>
      <c r="E105" t="s">
        <v>795</v>
      </c>
      <c r="F105" t="s">
        <v>796</v>
      </c>
    </row>
    <row r="106" spans="1:6" x14ac:dyDescent="0.25">
      <c r="A106" t="s">
        <v>659</v>
      </c>
      <c r="B106" t="s">
        <v>763</v>
      </c>
      <c r="C106">
        <v>-3.9148719999999999</v>
      </c>
      <c r="D106">
        <v>12.260933</v>
      </c>
      <c r="E106" t="s">
        <v>795</v>
      </c>
      <c r="F106" t="s">
        <v>794</v>
      </c>
    </row>
    <row r="107" spans="1:6" x14ac:dyDescent="0.25">
      <c r="A107" t="s">
        <v>123</v>
      </c>
      <c r="B107" t="s">
        <v>763</v>
      </c>
      <c r="C107">
        <v>-9.002459</v>
      </c>
      <c r="D107">
        <v>25.182109000000001</v>
      </c>
      <c r="E107" t="s">
        <v>793</v>
      </c>
      <c r="F107" t="s">
        <v>796</v>
      </c>
    </row>
    <row r="108" spans="1:6" x14ac:dyDescent="0.25">
      <c r="A108" t="s">
        <v>257</v>
      </c>
      <c r="B108" t="s">
        <v>770</v>
      </c>
      <c r="C108">
        <v>-7.7839049999999999</v>
      </c>
      <c r="D108">
        <v>14.114281999999999</v>
      </c>
      <c r="E108" t="s">
        <v>797</v>
      </c>
      <c r="F108" t="s">
        <v>798</v>
      </c>
    </row>
    <row r="109" spans="1:6" x14ac:dyDescent="0.25">
      <c r="A109" t="s">
        <v>63</v>
      </c>
      <c r="B109" t="s">
        <v>762</v>
      </c>
      <c r="C109">
        <v>-5.9021970000000001</v>
      </c>
      <c r="D109">
        <v>20.551169999999999</v>
      </c>
      <c r="E109" t="s">
        <v>797</v>
      </c>
      <c r="F109" t="s">
        <v>796</v>
      </c>
    </row>
    <row r="110" spans="1:6" x14ac:dyDescent="0.25">
      <c r="A110" t="s">
        <v>826</v>
      </c>
      <c r="B110" t="s">
        <v>772</v>
      </c>
      <c r="C110">
        <v>-10.620597</v>
      </c>
      <c r="D110">
        <v>12.432214</v>
      </c>
      <c r="E110" t="s">
        <v>795</v>
      </c>
      <c r="F110" t="s">
        <v>796</v>
      </c>
    </row>
    <row r="111" spans="1:6" x14ac:dyDescent="0.25">
      <c r="A111" t="s">
        <v>86</v>
      </c>
      <c r="B111" t="s">
        <v>786</v>
      </c>
      <c r="C111">
        <v>-11.514188000000001</v>
      </c>
      <c r="D111">
        <v>15.971181</v>
      </c>
      <c r="E111" t="s">
        <v>793</v>
      </c>
      <c r="F111" t="s">
        <v>794</v>
      </c>
    </row>
    <row r="112" spans="1:6" x14ac:dyDescent="0.25">
      <c r="A112" t="s">
        <v>71</v>
      </c>
      <c r="B112" t="s">
        <v>785</v>
      </c>
      <c r="C112">
        <v>-2.7140689999999998</v>
      </c>
      <c r="D112">
        <v>22.222104000000002</v>
      </c>
      <c r="E112" t="s">
        <v>795</v>
      </c>
      <c r="F112" t="s">
        <v>804</v>
      </c>
    </row>
    <row r="113" spans="1:6" x14ac:dyDescent="0.25">
      <c r="A113" t="s">
        <v>269</v>
      </c>
      <c r="B113" t="s">
        <v>783</v>
      </c>
      <c r="C113">
        <v>-12.112399999999999</v>
      </c>
      <c r="D113">
        <v>15.872226</v>
      </c>
      <c r="E113" t="s">
        <v>795</v>
      </c>
      <c r="F113" t="s">
        <v>804</v>
      </c>
    </row>
    <row r="114" spans="1:6" x14ac:dyDescent="0.25">
      <c r="A114" t="s">
        <v>651</v>
      </c>
      <c r="B114" t="s">
        <v>781</v>
      </c>
      <c r="C114">
        <v>-5.8145569999999998</v>
      </c>
      <c r="D114">
        <v>21.942052</v>
      </c>
      <c r="E114" t="s">
        <v>793</v>
      </c>
      <c r="F114" t="s">
        <v>796</v>
      </c>
    </row>
    <row r="115" spans="1:6" x14ac:dyDescent="0.25">
      <c r="A115" t="s">
        <v>413</v>
      </c>
      <c r="B115" t="s">
        <v>782</v>
      </c>
      <c r="C115">
        <v>-11.468578000000001</v>
      </c>
      <c r="D115">
        <v>16.914501999999999</v>
      </c>
      <c r="E115" t="s">
        <v>795</v>
      </c>
      <c r="F115" t="s">
        <v>794</v>
      </c>
    </row>
    <row r="116" spans="1:6" x14ac:dyDescent="0.25">
      <c r="A116" t="s">
        <v>827</v>
      </c>
      <c r="B116" t="s">
        <v>770</v>
      </c>
      <c r="C116">
        <v>-3.967184</v>
      </c>
      <c r="D116">
        <v>21.177499999999998</v>
      </c>
      <c r="E116" t="s">
        <v>797</v>
      </c>
      <c r="F116" t="s">
        <v>796</v>
      </c>
    </row>
    <row r="117" spans="1:6" x14ac:dyDescent="0.25">
      <c r="A117" t="s">
        <v>708</v>
      </c>
      <c r="B117" t="s">
        <v>769</v>
      </c>
      <c r="C117">
        <v>0.92885200000000001</v>
      </c>
      <c r="D117">
        <v>25.868548000000001</v>
      </c>
      <c r="E117" t="s">
        <v>793</v>
      </c>
      <c r="F117" t="s">
        <v>804</v>
      </c>
    </row>
    <row r="118" spans="1:6" x14ac:dyDescent="0.25">
      <c r="A118" t="s">
        <v>457</v>
      </c>
      <c r="B118" t="s">
        <v>784</v>
      </c>
      <c r="C118">
        <v>-10.653247</v>
      </c>
      <c r="D118">
        <v>14.685601</v>
      </c>
      <c r="E118" t="s">
        <v>795</v>
      </c>
      <c r="F118" t="s">
        <v>794</v>
      </c>
    </row>
    <row r="119" spans="1:6" x14ac:dyDescent="0.25">
      <c r="A119" t="s">
        <v>828</v>
      </c>
      <c r="B119" t="s">
        <v>779</v>
      </c>
      <c r="C119">
        <v>-10.572326</v>
      </c>
      <c r="D119">
        <v>25.276349</v>
      </c>
      <c r="E119" t="s">
        <v>797</v>
      </c>
      <c r="F119" t="s">
        <v>798</v>
      </c>
    </row>
    <row r="120" spans="1:6" x14ac:dyDescent="0.25">
      <c r="A120" t="s">
        <v>829</v>
      </c>
      <c r="B120" t="s">
        <v>783</v>
      </c>
      <c r="C120">
        <v>-2.9326690000000002</v>
      </c>
      <c r="D120">
        <v>12.349382</v>
      </c>
      <c r="E120" t="s">
        <v>793</v>
      </c>
      <c r="F120" t="s">
        <v>798</v>
      </c>
    </row>
    <row r="121" spans="1:6" x14ac:dyDescent="0.25">
      <c r="A121" t="s">
        <v>562</v>
      </c>
      <c r="B121" t="s">
        <v>779</v>
      </c>
      <c r="C121">
        <v>-4.2184999999999997</v>
      </c>
      <c r="D121">
        <v>23.077093999999999</v>
      </c>
      <c r="E121" t="s">
        <v>795</v>
      </c>
      <c r="F121" t="s">
        <v>794</v>
      </c>
    </row>
    <row r="122" spans="1:6" x14ac:dyDescent="0.25">
      <c r="A122" t="s">
        <v>830</v>
      </c>
      <c r="B122" t="s">
        <v>765</v>
      </c>
      <c r="C122">
        <v>-1.259528</v>
      </c>
      <c r="D122">
        <v>24.607037999999999</v>
      </c>
      <c r="E122" t="s">
        <v>795</v>
      </c>
      <c r="F122" t="s">
        <v>798</v>
      </c>
    </row>
    <row r="123" spans="1:6" x14ac:dyDescent="0.25">
      <c r="A123" t="s">
        <v>114</v>
      </c>
      <c r="B123" t="s">
        <v>771</v>
      </c>
      <c r="C123">
        <v>-9.4702129999999993</v>
      </c>
      <c r="D123">
        <v>12.826158</v>
      </c>
      <c r="E123" t="s">
        <v>797</v>
      </c>
      <c r="F123" t="s">
        <v>794</v>
      </c>
    </row>
    <row r="124" spans="1:6" x14ac:dyDescent="0.25">
      <c r="A124" t="s">
        <v>295</v>
      </c>
      <c r="B124" t="s">
        <v>778</v>
      </c>
      <c r="C124">
        <v>-1.9120569999999999</v>
      </c>
      <c r="D124">
        <v>15.236072999999999</v>
      </c>
      <c r="E124" t="s">
        <v>793</v>
      </c>
      <c r="F124" t="s">
        <v>796</v>
      </c>
    </row>
    <row r="125" spans="1:6" x14ac:dyDescent="0.25">
      <c r="A125" t="s">
        <v>129</v>
      </c>
      <c r="B125" t="s">
        <v>778</v>
      </c>
      <c r="C125">
        <v>0.24202000000000001</v>
      </c>
      <c r="D125">
        <v>17.396256999999999</v>
      </c>
      <c r="E125" t="s">
        <v>795</v>
      </c>
      <c r="F125" t="s">
        <v>796</v>
      </c>
    </row>
    <row r="126" spans="1:6" x14ac:dyDescent="0.25">
      <c r="A126" t="s">
        <v>139</v>
      </c>
      <c r="B126" t="s">
        <v>762</v>
      </c>
      <c r="C126">
        <v>-8.5675749999999997</v>
      </c>
      <c r="D126">
        <v>26.994581</v>
      </c>
      <c r="E126" t="s">
        <v>797</v>
      </c>
      <c r="F126" t="s">
        <v>804</v>
      </c>
    </row>
    <row r="127" spans="1:6" x14ac:dyDescent="0.25">
      <c r="A127" t="s">
        <v>56</v>
      </c>
      <c r="B127" t="s">
        <v>779</v>
      </c>
      <c r="C127">
        <v>-11.710407999999999</v>
      </c>
      <c r="D127">
        <v>23.741330999999999</v>
      </c>
      <c r="E127" t="s">
        <v>797</v>
      </c>
      <c r="F127" t="s">
        <v>796</v>
      </c>
    </row>
    <row r="128" spans="1:6" x14ac:dyDescent="0.25">
      <c r="A128" t="s">
        <v>831</v>
      </c>
      <c r="B128" t="s">
        <v>776</v>
      </c>
      <c r="C128">
        <v>0.98189400000000004</v>
      </c>
      <c r="D128">
        <v>13.008620000000001</v>
      </c>
      <c r="E128" t="s">
        <v>795</v>
      </c>
      <c r="F128" t="s">
        <v>796</v>
      </c>
    </row>
    <row r="129" spans="1:6" x14ac:dyDescent="0.25">
      <c r="A129" t="s">
        <v>318</v>
      </c>
      <c r="B129" t="s">
        <v>781</v>
      </c>
      <c r="C129">
        <v>-7.1785899999999998</v>
      </c>
      <c r="D129">
        <v>24.4404</v>
      </c>
      <c r="E129" t="s">
        <v>795</v>
      </c>
      <c r="F129" t="s">
        <v>804</v>
      </c>
    </row>
    <row r="130" spans="1:6" x14ac:dyDescent="0.25">
      <c r="A130" t="s">
        <v>320</v>
      </c>
      <c r="B130" t="s">
        <v>786</v>
      </c>
      <c r="C130">
        <v>3.6344850000000002</v>
      </c>
      <c r="D130">
        <v>12.158348999999999</v>
      </c>
      <c r="E130" t="s">
        <v>793</v>
      </c>
      <c r="F130" t="s">
        <v>794</v>
      </c>
    </row>
    <row r="131" spans="1:6" x14ac:dyDescent="0.25">
      <c r="A131" t="s">
        <v>337</v>
      </c>
      <c r="B131" t="s">
        <v>772</v>
      </c>
      <c r="C131">
        <v>-11.387295999999999</v>
      </c>
      <c r="D131">
        <v>19.384257999999999</v>
      </c>
      <c r="E131" t="s">
        <v>797</v>
      </c>
      <c r="F131" t="s">
        <v>796</v>
      </c>
    </row>
    <row r="132" spans="1:6" x14ac:dyDescent="0.25">
      <c r="A132" t="s">
        <v>330</v>
      </c>
      <c r="B132" t="s">
        <v>766</v>
      </c>
      <c r="C132">
        <v>-0.90854400000000002</v>
      </c>
      <c r="D132">
        <v>17.154896999999998</v>
      </c>
      <c r="E132" t="s">
        <v>797</v>
      </c>
      <c r="F132" t="s">
        <v>796</v>
      </c>
    </row>
    <row r="133" spans="1:6" x14ac:dyDescent="0.25">
      <c r="A133" t="s">
        <v>307</v>
      </c>
      <c r="B133" t="s">
        <v>786</v>
      </c>
      <c r="C133">
        <v>-5.3762689999999997</v>
      </c>
      <c r="D133">
        <v>28.189575999999999</v>
      </c>
      <c r="E133" t="s">
        <v>793</v>
      </c>
      <c r="F133" t="s">
        <v>796</v>
      </c>
    </row>
    <row r="134" spans="1:6" x14ac:dyDescent="0.25">
      <c r="A134" t="s">
        <v>832</v>
      </c>
      <c r="B134" t="s">
        <v>779</v>
      </c>
      <c r="C134">
        <v>-6.7304589999999997</v>
      </c>
      <c r="D134">
        <v>24.541906999999998</v>
      </c>
      <c r="E134" t="s">
        <v>795</v>
      </c>
      <c r="F134" t="s">
        <v>804</v>
      </c>
    </row>
    <row r="135" spans="1:6" x14ac:dyDescent="0.25">
      <c r="A135" t="s">
        <v>650</v>
      </c>
      <c r="B135" t="s">
        <v>786</v>
      </c>
      <c r="C135">
        <v>-7.2267089999999996</v>
      </c>
      <c r="D135">
        <v>28.421362999999999</v>
      </c>
      <c r="E135" t="s">
        <v>793</v>
      </c>
      <c r="F135" t="s">
        <v>794</v>
      </c>
    </row>
    <row r="136" spans="1:6" x14ac:dyDescent="0.25">
      <c r="A136" t="s">
        <v>153</v>
      </c>
      <c r="B136" t="s">
        <v>769</v>
      </c>
      <c r="C136">
        <v>-2.3102109999999998</v>
      </c>
      <c r="D136">
        <v>12.362488000000001</v>
      </c>
      <c r="E136" t="s">
        <v>793</v>
      </c>
      <c r="F136" t="s">
        <v>804</v>
      </c>
    </row>
    <row r="137" spans="1:6" x14ac:dyDescent="0.25">
      <c r="A137" t="s">
        <v>243</v>
      </c>
      <c r="B137" t="s">
        <v>783</v>
      </c>
      <c r="C137">
        <v>-12.564277000000001</v>
      </c>
      <c r="D137">
        <v>28.480798</v>
      </c>
      <c r="E137" t="s">
        <v>793</v>
      </c>
      <c r="F137" t="s">
        <v>798</v>
      </c>
    </row>
    <row r="138" spans="1:6" x14ac:dyDescent="0.25">
      <c r="A138" t="s">
        <v>605</v>
      </c>
      <c r="B138" t="s">
        <v>785</v>
      </c>
      <c r="C138">
        <v>-7.513261</v>
      </c>
      <c r="D138">
        <v>24.338812000000001</v>
      </c>
      <c r="E138" t="s">
        <v>793</v>
      </c>
      <c r="F138" t="s">
        <v>796</v>
      </c>
    </row>
    <row r="139" spans="1:6" x14ac:dyDescent="0.25">
      <c r="A139" t="s">
        <v>429</v>
      </c>
      <c r="B139" t="s">
        <v>764</v>
      </c>
      <c r="C139">
        <v>4.7777349999999998</v>
      </c>
      <c r="D139">
        <v>16.392204</v>
      </c>
      <c r="E139" t="s">
        <v>793</v>
      </c>
      <c r="F139" t="s">
        <v>798</v>
      </c>
    </row>
    <row r="140" spans="1:6" x14ac:dyDescent="0.25">
      <c r="A140" t="s">
        <v>833</v>
      </c>
      <c r="B140" t="s">
        <v>783</v>
      </c>
      <c r="C140">
        <v>-1.9080220000000001</v>
      </c>
      <c r="D140">
        <v>19.233322999999999</v>
      </c>
      <c r="E140" t="s">
        <v>797</v>
      </c>
      <c r="F140" t="s">
        <v>794</v>
      </c>
    </row>
    <row r="141" spans="1:6" x14ac:dyDescent="0.25">
      <c r="A141" t="s">
        <v>479</v>
      </c>
      <c r="B141" t="s">
        <v>765</v>
      </c>
      <c r="C141">
        <v>4.8228650000000002</v>
      </c>
      <c r="D141">
        <v>30.555627000000001</v>
      </c>
      <c r="E141" t="s">
        <v>795</v>
      </c>
      <c r="F141" t="s">
        <v>796</v>
      </c>
    </row>
    <row r="142" spans="1:6" x14ac:dyDescent="0.25">
      <c r="A142" t="s">
        <v>128</v>
      </c>
      <c r="B142" t="s">
        <v>775</v>
      </c>
      <c r="C142">
        <v>-5.0402180000000003</v>
      </c>
      <c r="D142">
        <v>13.892471</v>
      </c>
      <c r="E142" t="s">
        <v>797</v>
      </c>
      <c r="F142" t="s">
        <v>798</v>
      </c>
    </row>
    <row r="143" spans="1:6" x14ac:dyDescent="0.25">
      <c r="A143" t="s">
        <v>19</v>
      </c>
      <c r="B143" t="s">
        <v>770</v>
      </c>
      <c r="C143">
        <v>-10.375266999999999</v>
      </c>
      <c r="D143">
        <v>17.993663000000002</v>
      </c>
      <c r="E143" t="s">
        <v>793</v>
      </c>
      <c r="F143" t="s">
        <v>798</v>
      </c>
    </row>
    <row r="144" spans="1:6" x14ac:dyDescent="0.25">
      <c r="A144" t="s">
        <v>418</v>
      </c>
      <c r="B144" t="s">
        <v>780</v>
      </c>
      <c r="C144">
        <v>-12.192204</v>
      </c>
      <c r="D144">
        <v>28.468682000000001</v>
      </c>
      <c r="E144" t="s">
        <v>797</v>
      </c>
      <c r="F144" t="s">
        <v>798</v>
      </c>
    </row>
    <row r="145" spans="1:6" x14ac:dyDescent="0.25">
      <c r="A145" t="s">
        <v>361</v>
      </c>
      <c r="B145" t="s">
        <v>765</v>
      </c>
      <c r="C145">
        <v>1.727095</v>
      </c>
      <c r="D145">
        <v>22.099651999999999</v>
      </c>
      <c r="E145" t="s">
        <v>795</v>
      </c>
      <c r="F145" t="s">
        <v>796</v>
      </c>
    </row>
    <row r="146" spans="1:6" x14ac:dyDescent="0.25">
      <c r="A146" t="s">
        <v>834</v>
      </c>
      <c r="B146" t="s">
        <v>764</v>
      </c>
      <c r="C146">
        <v>-9.4056660000000001</v>
      </c>
      <c r="D146">
        <v>15.541930000000001</v>
      </c>
      <c r="E146" t="s">
        <v>795</v>
      </c>
      <c r="F146" t="s">
        <v>796</v>
      </c>
    </row>
    <row r="147" spans="1:6" x14ac:dyDescent="0.25">
      <c r="A147" t="s">
        <v>835</v>
      </c>
      <c r="B147" t="s">
        <v>763</v>
      </c>
      <c r="C147">
        <v>-6.2712260000000004</v>
      </c>
      <c r="D147">
        <v>21.512366</v>
      </c>
      <c r="E147" t="s">
        <v>793</v>
      </c>
      <c r="F147" t="s">
        <v>796</v>
      </c>
    </row>
    <row r="148" spans="1:6" x14ac:dyDescent="0.25">
      <c r="A148" t="s">
        <v>204</v>
      </c>
      <c r="B148" t="s">
        <v>776</v>
      </c>
      <c r="C148">
        <v>0.639208</v>
      </c>
      <c r="D148">
        <v>20.701739</v>
      </c>
      <c r="E148" t="s">
        <v>795</v>
      </c>
      <c r="F148" t="s">
        <v>796</v>
      </c>
    </row>
    <row r="149" spans="1:6" x14ac:dyDescent="0.25">
      <c r="A149" t="s">
        <v>836</v>
      </c>
      <c r="B149" t="s">
        <v>780</v>
      </c>
      <c r="C149">
        <v>2.349755</v>
      </c>
      <c r="D149">
        <v>29.600649000000001</v>
      </c>
      <c r="E149" t="s">
        <v>795</v>
      </c>
      <c r="F149" t="s">
        <v>804</v>
      </c>
    </row>
    <row r="150" spans="1:6" x14ac:dyDescent="0.25">
      <c r="A150" t="s">
        <v>582</v>
      </c>
      <c r="B150" t="s">
        <v>783</v>
      </c>
      <c r="C150">
        <v>-10.977309</v>
      </c>
      <c r="D150">
        <v>12.408281000000001</v>
      </c>
      <c r="E150" t="s">
        <v>793</v>
      </c>
      <c r="F150" t="s">
        <v>798</v>
      </c>
    </row>
    <row r="151" spans="1:6" x14ac:dyDescent="0.25">
      <c r="A151" t="s">
        <v>719</v>
      </c>
      <c r="B151" t="s">
        <v>767</v>
      </c>
      <c r="C151">
        <v>-12.018316</v>
      </c>
      <c r="D151">
        <v>16.700451000000001</v>
      </c>
      <c r="E151" t="s">
        <v>797</v>
      </c>
      <c r="F151" t="s">
        <v>804</v>
      </c>
    </row>
    <row r="152" spans="1:6" x14ac:dyDescent="0.25">
      <c r="A152" t="s">
        <v>390</v>
      </c>
      <c r="B152" t="s">
        <v>776</v>
      </c>
      <c r="C152">
        <v>-1.648326</v>
      </c>
      <c r="D152">
        <v>25.528901999999999</v>
      </c>
      <c r="E152" t="s">
        <v>795</v>
      </c>
      <c r="F152" t="s">
        <v>796</v>
      </c>
    </row>
    <row r="153" spans="1:6" x14ac:dyDescent="0.25">
      <c r="A153" t="s">
        <v>189</v>
      </c>
      <c r="B153" t="s">
        <v>781</v>
      </c>
      <c r="C153">
        <v>-12.112682</v>
      </c>
      <c r="D153">
        <v>19.972052000000001</v>
      </c>
      <c r="E153" t="s">
        <v>795</v>
      </c>
      <c r="F153" t="s">
        <v>796</v>
      </c>
    </row>
    <row r="154" spans="1:6" x14ac:dyDescent="0.25">
      <c r="A154" t="s">
        <v>668</v>
      </c>
      <c r="B154" t="s">
        <v>767</v>
      </c>
      <c r="C154">
        <v>-7.7587710000000003</v>
      </c>
      <c r="D154">
        <v>17.880848</v>
      </c>
      <c r="E154" t="s">
        <v>797</v>
      </c>
      <c r="F154" t="s">
        <v>794</v>
      </c>
    </row>
    <row r="155" spans="1:6" x14ac:dyDescent="0.25">
      <c r="A155" t="s">
        <v>386</v>
      </c>
      <c r="B155" t="s">
        <v>768</v>
      </c>
      <c r="C155">
        <v>-5.8352820000000003</v>
      </c>
      <c r="D155">
        <v>26.603978000000001</v>
      </c>
      <c r="E155" t="s">
        <v>795</v>
      </c>
      <c r="F155" t="s">
        <v>796</v>
      </c>
    </row>
    <row r="156" spans="1:6" x14ac:dyDescent="0.25">
      <c r="A156" t="s">
        <v>837</v>
      </c>
      <c r="B156" t="s">
        <v>779</v>
      </c>
      <c r="C156">
        <v>-7.5180249999999997</v>
      </c>
      <c r="D156">
        <v>20.478905999999998</v>
      </c>
      <c r="E156" t="s">
        <v>793</v>
      </c>
      <c r="F156" t="s">
        <v>804</v>
      </c>
    </row>
    <row r="157" spans="1:6" x14ac:dyDescent="0.25">
      <c r="A157" t="s">
        <v>406</v>
      </c>
      <c r="B157" t="s">
        <v>768</v>
      </c>
      <c r="C157">
        <v>1.897178</v>
      </c>
      <c r="D157">
        <v>23.902604</v>
      </c>
      <c r="E157" t="s">
        <v>797</v>
      </c>
      <c r="F157" t="s">
        <v>804</v>
      </c>
    </row>
    <row r="158" spans="1:6" x14ac:dyDescent="0.25">
      <c r="A158" t="s">
        <v>427</v>
      </c>
      <c r="B158" t="s">
        <v>784</v>
      </c>
      <c r="C158">
        <v>-4.6957509999999996</v>
      </c>
      <c r="D158">
        <v>14.233525999999999</v>
      </c>
      <c r="E158" t="s">
        <v>795</v>
      </c>
      <c r="F158" t="s">
        <v>804</v>
      </c>
    </row>
    <row r="159" spans="1:6" x14ac:dyDescent="0.25">
      <c r="A159" t="s">
        <v>838</v>
      </c>
      <c r="B159" t="s">
        <v>774</v>
      </c>
      <c r="C159">
        <v>-5.3956809999999997</v>
      </c>
      <c r="D159">
        <v>14.49985</v>
      </c>
      <c r="E159" t="s">
        <v>795</v>
      </c>
      <c r="F159" t="s">
        <v>798</v>
      </c>
    </row>
    <row r="160" spans="1:6" x14ac:dyDescent="0.25">
      <c r="A160" t="s">
        <v>839</v>
      </c>
      <c r="B160" t="s">
        <v>761</v>
      </c>
      <c r="C160">
        <v>-1.9635830000000001</v>
      </c>
      <c r="D160">
        <v>15.854182</v>
      </c>
      <c r="E160" t="s">
        <v>797</v>
      </c>
      <c r="F160" t="s">
        <v>804</v>
      </c>
    </row>
    <row r="161" spans="1:6" x14ac:dyDescent="0.25">
      <c r="A161" t="s">
        <v>840</v>
      </c>
      <c r="B161" t="s">
        <v>772</v>
      </c>
      <c r="C161">
        <v>-12.01816</v>
      </c>
      <c r="D161">
        <v>23.828645999999999</v>
      </c>
      <c r="E161" t="s">
        <v>797</v>
      </c>
      <c r="F161" t="s">
        <v>796</v>
      </c>
    </row>
    <row r="162" spans="1:6" x14ac:dyDescent="0.25">
      <c r="A162" t="s">
        <v>171</v>
      </c>
      <c r="B162" t="s">
        <v>777</v>
      </c>
      <c r="C162">
        <v>-3.6945459999999999</v>
      </c>
      <c r="D162">
        <v>16.809108999999999</v>
      </c>
      <c r="E162" t="s">
        <v>793</v>
      </c>
      <c r="F162" t="s">
        <v>798</v>
      </c>
    </row>
    <row r="163" spans="1:6" x14ac:dyDescent="0.25">
      <c r="A163" t="s">
        <v>144</v>
      </c>
      <c r="B163" t="s">
        <v>763</v>
      </c>
      <c r="C163">
        <v>-10.439686999999999</v>
      </c>
      <c r="D163">
        <v>20.714210000000001</v>
      </c>
      <c r="E163" t="s">
        <v>795</v>
      </c>
      <c r="F163" t="s">
        <v>798</v>
      </c>
    </row>
    <row r="164" spans="1:6" x14ac:dyDescent="0.25">
      <c r="A164" t="s">
        <v>460</v>
      </c>
      <c r="B164" t="s">
        <v>765</v>
      </c>
      <c r="C164">
        <v>1.938083</v>
      </c>
      <c r="D164">
        <v>28.25281</v>
      </c>
      <c r="E164" t="s">
        <v>795</v>
      </c>
      <c r="F164" t="s">
        <v>804</v>
      </c>
    </row>
    <row r="165" spans="1:6" x14ac:dyDescent="0.25">
      <c r="A165" t="s">
        <v>278</v>
      </c>
      <c r="B165" t="s">
        <v>761</v>
      </c>
      <c r="C165">
        <v>-4.869434</v>
      </c>
      <c r="D165">
        <v>22.326522000000001</v>
      </c>
      <c r="E165" t="s">
        <v>793</v>
      </c>
      <c r="F165" t="s">
        <v>794</v>
      </c>
    </row>
    <row r="166" spans="1:6" x14ac:dyDescent="0.25">
      <c r="A166" t="s">
        <v>841</v>
      </c>
      <c r="B166" t="s">
        <v>776</v>
      </c>
      <c r="C166">
        <v>7.6420000000000004E-3</v>
      </c>
      <c r="D166">
        <v>12.109260000000001</v>
      </c>
      <c r="E166" t="s">
        <v>795</v>
      </c>
      <c r="F166" t="s">
        <v>794</v>
      </c>
    </row>
    <row r="167" spans="1:6" x14ac:dyDescent="0.25">
      <c r="A167" t="s">
        <v>842</v>
      </c>
      <c r="B167" t="s">
        <v>778</v>
      </c>
      <c r="C167">
        <v>-10.962911</v>
      </c>
      <c r="D167">
        <v>28.771355</v>
      </c>
      <c r="E167" t="s">
        <v>793</v>
      </c>
      <c r="F167" t="s">
        <v>796</v>
      </c>
    </row>
    <row r="168" spans="1:6" x14ac:dyDescent="0.25">
      <c r="A168" t="s">
        <v>103</v>
      </c>
      <c r="B168" t="s">
        <v>769</v>
      </c>
      <c r="C168">
        <v>1.017161</v>
      </c>
      <c r="D168">
        <v>16.519689</v>
      </c>
      <c r="E168" t="s">
        <v>797</v>
      </c>
      <c r="F168" t="s">
        <v>804</v>
      </c>
    </row>
    <row r="169" spans="1:6" x14ac:dyDescent="0.25">
      <c r="A169" t="s">
        <v>843</v>
      </c>
      <c r="B169" t="s">
        <v>779</v>
      </c>
      <c r="C169">
        <v>3.8811640000000001</v>
      </c>
      <c r="D169">
        <v>23.188383999999999</v>
      </c>
      <c r="E169" t="s">
        <v>793</v>
      </c>
      <c r="F169" t="s">
        <v>796</v>
      </c>
    </row>
    <row r="170" spans="1:6" x14ac:dyDescent="0.25">
      <c r="A170" t="s">
        <v>662</v>
      </c>
      <c r="B170" t="s">
        <v>783</v>
      </c>
      <c r="C170">
        <v>-0.469945</v>
      </c>
      <c r="D170">
        <v>21.038527999999999</v>
      </c>
      <c r="E170" t="s">
        <v>797</v>
      </c>
      <c r="F170" t="s">
        <v>794</v>
      </c>
    </row>
    <row r="171" spans="1:6" x14ac:dyDescent="0.25">
      <c r="A171" t="s">
        <v>30</v>
      </c>
      <c r="B171" t="s">
        <v>772</v>
      </c>
      <c r="C171">
        <v>-10.56448</v>
      </c>
      <c r="D171">
        <v>19.792876</v>
      </c>
      <c r="E171" t="s">
        <v>793</v>
      </c>
      <c r="F171" t="s">
        <v>794</v>
      </c>
    </row>
    <row r="172" spans="1:6" x14ac:dyDescent="0.25">
      <c r="A172" t="s">
        <v>577</v>
      </c>
      <c r="B172" t="s">
        <v>781</v>
      </c>
      <c r="C172">
        <v>-5.5559329999999996</v>
      </c>
      <c r="D172">
        <v>13.508692999999999</v>
      </c>
      <c r="E172" t="s">
        <v>797</v>
      </c>
      <c r="F172" t="s">
        <v>804</v>
      </c>
    </row>
    <row r="173" spans="1:6" x14ac:dyDescent="0.25">
      <c r="A173" t="s">
        <v>844</v>
      </c>
      <c r="B173" t="s">
        <v>769</v>
      </c>
      <c r="C173">
        <v>-4.884055</v>
      </c>
      <c r="D173">
        <v>23.40194</v>
      </c>
      <c r="E173" t="s">
        <v>797</v>
      </c>
      <c r="F173" t="s">
        <v>794</v>
      </c>
    </row>
    <row r="174" spans="1:6" x14ac:dyDescent="0.25">
      <c r="A174" t="s">
        <v>750</v>
      </c>
      <c r="B174" t="s">
        <v>781</v>
      </c>
      <c r="C174">
        <v>-9.7801860000000005</v>
      </c>
      <c r="D174">
        <v>16.649550000000001</v>
      </c>
      <c r="E174" t="s">
        <v>793</v>
      </c>
      <c r="F174" t="s">
        <v>794</v>
      </c>
    </row>
    <row r="175" spans="1:6" x14ac:dyDescent="0.25">
      <c r="A175" t="s">
        <v>160</v>
      </c>
      <c r="B175" t="s">
        <v>765</v>
      </c>
      <c r="C175">
        <v>-2.3743210000000001</v>
      </c>
      <c r="D175">
        <v>22.399491000000001</v>
      </c>
      <c r="E175" t="s">
        <v>793</v>
      </c>
      <c r="F175" t="s">
        <v>794</v>
      </c>
    </row>
    <row r="176" spans="1:6" x14ac:dyDescent="0.25">
      <c r="A176" t="s">
        <v>526</v>
      </c>
      <c r="B176" t="s">
        <v>769</v>
      </c>
      <c r="C176">
        <v>-0.17258100000000001</v>
      </c>
      <c r="D176">
        <v>23.775555000000001</v>
      </c>
      <c r="E176" t="s">
        <v>793</v>
      </c>
      <c r="F176" t="s">
        <v>804</v>
      </c>
    </row>
    <row r="177" spans="1:6" x14ac:dyDescent="0.25">
      <c r="A177" t="s">
        <v>92</v>
      </c>
      <c r="B177" t="s">
        <v>772</v>
      </c>
      <c r="C177">
        <v>-9.3652239999999995</v>
      </c>
      <c r="D177">
        <v>22.593423999999999</v>
      </c>
      <c r="E177" t="s">
        <v>793</v>
      </c>
      <c r="F177" t="s">
        <v>804</v>
      </c>
    </row>
    <row r="178" spans="1:6" x14ac:dyDescent="0.25">
      <c r="A178" t="s">
        <v>399</v>
      </c>
      <c r="B178" t="s">
        <v>781</v>
      </c>
      <c r="C178">
        <v>-4.8157019999999999</v>
      </c>
      <c r="D178">
        <v>27.679798000000002</v>
      </c>
      <c r="E178" t="s">
        <v>797</v>
      </c>
      <c r="F178" t="s">
        <v>794</v>
      </c>
    </row>
    <row r="179" spans="1:6" x14ac:dyDescent="0.25">
      <c r="A179" t="s">
        <v>463</v>
      </c>
      <c r="B179" t="s">
        <v>770</v>
      </c>
      <c r="C179">
        <v>-8.4985189999999999</v>
      </c>
      <c r="D179">
        <v>12.929456999999999</v>
      </c>
      <c r="E179" t="s">
        <v>795</v>
      </c>
      <c r="F179" t="s">
        <v>794</v>
      </c>
    </row>
    <row r="180" spans="1:6" x14ac:dyDescent="0.25">
      <c r="A180" t="s">
        <v>628</v>
      </c>
      <c r="B180" t="s">
        <v>772</v>
      </c>
      <c r="C180">
        <v>-0.54908599999999996</v>
      </c>
      <c r="D180">
        <v>14.816867</v>
      </c>
      <c r="E180" t="s">
        <v>793</v>
      </c>
      <c r="F180" t="s">
        <v>798</v>
      </c>
    </row>
    <row r="181" spans="1:6" x14ac:dyDescent="0.25">
      <c r="A181" t="s">
        <v>198</v>
      </c>
      <c r="B181" t="s">
        <v>775</v>
      </c>
      <c r="C181">
        <v>3.3289240000000002</v>
      </c>
      <c r="D181">
        <v>24.412261000000001</v>
      </c>
      <c r="E181" t="s">
        <v>793</v>
      </c>
      <c r="F181" t="s">
        <v>804</v>
      </c>
    </row>
    <row r="182" spans="1:6" x14ac:dyDescent="0.25">
      <c r="A182" t="s">
        <v>845</v>
      </c>
      <c r="B182" t="s">
        <v>764</v>
      </c>
      <c r="C182">
        <v>1.3367519999999999</v>
      </c>
      <c r="D182">
        <v>12.697699999999999</v>
      </c>
      <c r="E182" t="s">
        <v>793</v>
      </c>
      <c r="F182" t="s">
        <v>796</v>
      </c>
    </row>
    <row r="183" spans="1:6" x14ac:dyDescent="0.25">
      <c r="A183" t="s">
        <v>846</v>
      </c>
      <c r="B183" t="s">
        <v>786</v>
      </c>
      <c r="C183">
        <v>-6.9254999999999997E-2</v>
      </c>
      <c r="D183">
        <v>28.222756</v>
      </c>
      <c r="E183" t="s">
        <v>793</v>
      </c>
      <c r="F183" t="s">
        <v>796</v>
      </c>
    </row>
    <row r="184" spans="1:6" x14ac:dyDescent="0.25">
      <c r="A184" t="s">
        <v>44</v>
      </c>
      <c r="B184" t="s">
        <v>763</v>
      </c>
      <c r="C184">
        <v>-10.776204</v>
      </c>
      <c r="D184">
        <v>24.672934000000001</v>
      </c>
      <c r="E184" t="s">
        <v>795</v>
      </c>
      <c r="F184" t="s">
        <v>794</v>
      </c>
    </row>
    <row r="185" spans="1:6" x14ac:dyDescent="0.25">
      <c r="A185" t="s">
        <v>488</v>
      </c>
      <c r="B185" t="s">
        <v>782</v>
      </c>
      <c r="C185">
        <v>-10.945031</v>
      </c>
      <c r="D185">
        <v>27.922274000000002</v>
      </c>
      <c r="E185" t="s">
        <v>795</v>
      </c>
      <c r="F185" t="s">
        <v>794</v>
      </c>
    </row>
    <row r="186" spans="1:6" x14ac:dyDescent="0.25">
      <c r="A186" t="s">
        <v>716</v>
      </c>
      <c r="B186" t="s">
        <v>783</v>
      </c>
      <c r="C186">
        <v>-4.9108280000000004</v>
      </c>
      <c r="D186">
        <v>17.670389</v>
      </c>
      <c r="E186" t="s">
        <v>793</v>
      </c>
      <c r="F186" t="s">
        <v>798</v>
      </c>
    </row>
    <row r="187" spans="1:6" x14ac:dyDescent="0.25">
      <c r="A187" t="s">
        <v>667</v>
      </c>
      <c r="B187" t="s">
        <v>764</v>
      </c>
      <c r="C187">
        <v>-6.4670189999999996</v>
      </c>
      <c r="D187">
        <v>29.487309</v>
      </c>
      <c r="E187" t="s">
        <v>795</v>
      </c>
      <c r="F187" t="s">
        <v>798</v>
      </c>
    </row>
    <row r="188" spans="1:6" x14ac:dyDescent="0.25">
      <c r="A188" t="s">
        <v>730</v>
      </c>
      <c r="B188" t="s">
        <v>762</v>
      </c>
      <c r="C188">
        <v>-3.571288</v>
      </c>
      <c r="D188">
        <v>12.931596000000001</v>
      </c>
      <c r="E188" t="s">
        <v>795</v>
      </c>
      <c r="F188" t="s">
        <v>804</v>
      </c>
    </row>
    <row r="189" spans="1:6" x14ac:dyDescent="0.25">
      <c r="A189" t="s">
        <v>847</v>
      </c>
      <c r="B189" t="s">
        <v>761</v>
      </c>
      <c r="C189">
        <v>-6.0864269999999996</v>
      </c>
      <c r="D189">
        <v>19.922181999999999</v>
      </c>
      <c r="E189" t="s">
        <v>793</v>
      </c>
      <c r="F189" t="s">
        <v>796</v>
      </c>
    </row>
    <row r="190" spans="1:6" x14ac:dyDescent="0.25">
      <c r="A190" t="s">
        <v>464</v>
      </c>
      <c r="B190" t="s">
        <v>761</v>
      </c>
      <c r="C190">
        <v>1.2391989999999999</v>
      </c>
      <c r="D190">
        <v>15.386718999999999</v>
      </c>
      <c r="E190" t="s">
        <v>793</v>
      </c>
      <c r="F190" t="s">
        <v>798</v>
      </c>
    </row>
    <row r="191" spans="1:6" x14ac:dyDescent="0.25">
      <c r="A191" t="s">
        <v>848</v>
      </c>
      <c r="B191" t="s">
        <v>783</v>
      </c>
      <c r="C191">
        <v>-3.7900040000000002</v>
      </c>
      <c r="D191">
        <v>24.769718999999998</v>
      </c>
      <c r="E191" t="s">
        <v>793</v>
      </c>
      <c r="F191" t="s">
        <v>796</v>
      </c>
    </row>
    <row r="192" spans="1:6" x14ac:dyDescent="0.25">
      <c r="A192" t="s">
        <v>849</v>
      </c>
      <c r="B192" t="s">
        <v>776</v>
      </c>
      <c r="C192">
        <v>4.0955700000000004</v>
      </c>
      <c r="D192">
        <v>23.610704999999999</v>
      </c>
      <c r="E192" t="s">
        <v>795</v>
      </c>
      <c r="F192" t="s">
        <v>798</v>
      </c>
    </row>
    <row r="193" spans="1:6" x14ac:dyDescent="0.25">
      <c r="A193" t="s">
        <v>37</v>
      </c>
      <c r="B193" t="s">
        <v>764</v>
      </c>
      <c r="C193">
        <v>-6.1837850000000003</v>
      </c>
      <c r="D193">
        <v>25.138759</v>
      </c>
      <c r="E193" t="s">
        <v>797</v>
      </c>
      <c r="F193" t="s">
        <v>794</v>
      </c>
    </row>
    <row r="194" spans="1:6" x14ac:dyDescent="0.25">
      <c r="A194" t="s">
        <v>462</v>
      </c>
      <c r="B194" t="s">
        <v>775</v>
      </c>
      <c r="C194">
        <v>-6.1490739999999997</v>
      </c>
      <c r="D194">
        <v>23.304411000000002</v>
      </c>
      <c r="E194" t="s">
        <v>793</v>
      </c>
      <c r="F194" t="s">
        <v>798</v>
      </c>
    </row>
    <row r="195" spans="1:6" x14ac:dyDescent="0.25">
      <c r="A195" t="s">
        <v>69</v>
      </c>
      <c r="B195" t="s">
        <v>769</v>
      </c>
      <c r="C195">
        <v>0.82868600000000003</v>
      </c>
      <c r="D195">
        <v>26.958843999999999</v>
      </c>
      <c r="E195" t="s">
        <v>793</v>
      </c>
      <c r="F195" t="s">
        <v>798</v>
      </c>
    </row>
    <row r="196" spans="1:6" x14ac:dyDescent="0.25">
      <c r="A196" t="s">
        <v>850</v>
      </c>
      <c r="B196" t="s">
        <v>781</v>
      </c>
      <c r="C196">
        <v>3.42055</v>
      </c>
      <c r="D196">
        <v>15.370965999999999</v>
      </c>
      <c r="E196" t="s">
        <v>795</v>
      </c>
      <c r="F196" t="s">
        <v>804</v>
      </c>
    </row>
    <row r="197" spans="1:6" x14ac:dyDescent="0.25">
      <c r="A197" t="s">
        <v>12</v>
      </c>
      <c r="B197" t="s">
        <v>783</v>
      </c>
      <c r="C197">
        <v>-2.8211520000000001</v>
      </c>
      <c r="D197">
        <v>20.651419000000001</v>
      </c>
      <c r="E197" t="s">
        <v>793</v>
      </c>
      <c r="F197" t="s">
        <v>794</v>
      </c>
    </row>
    <row r="198" spans="1:6" x14ac:dyDescent="0.25">
      <c r="A198" t="s">
        <v>409</v>
      </c>
      <c r="B198" t="s">
        <v>775</v>
      </c>
      <c r="C198">
        <v>-1.1284540000000001</v>
      </c>
      <c r="D198">
        <v>23.000360000000001</v>
      </c>
      <c r="E198" t="s">
        <v>793</v>
      </c>
      <c r="F198" t="s">
        <v>794</v>
      </c>
    </row>
    <row r="199" spans="1:6" x14ac:dyDescent="0.25">
      <c r="A199" t="s">
        <v>595</v>
      </c>
      <c r="B199" t="s">
        <v>769</v>
      </c>
      <c r="C199">
        <v>-10.298385</v>
      </c>
      <c r="D199">
        <v>29.698117</v>
      </c>
      <c r="E199" t="s">
        <v>793</v>
      </c>
      <c r="F199" t="s">
        <v>804</v>
      </c>
    </row>
    <row r="200" spans="1:6" x14ac:dyDescent="0.25">
      <c r="A200" t="s">
        <v>851</v>
      </c>
      <c r="B200" t="s">
        <v>764</v>
      </c>
      <c r="C200">
        <v>2.6387339999999999</v>
      </c>
      <c r="D200">
        <v>13.769399</v>
      </c>
      <c r="E200" t="s">
        <v>795</v>
      </c>
      <c r="F200" t="s">
        <v>796</v>
      </c>
    </row>
    <row r="201" spans="1:6" x14ac:dyDescent="0.25">
      <c r="A201" t="s">
        <v>142</v>
      </c>
      <c r="B201" t="s">
        <v>779</v>
      </c>
      <c r="C201">
        <v>-9.7803979999999999</v>
      </c>
      <c r="D201">
        <v>17.686595000000001</v>
      </c>
      <c r="E201" t="s">
        <v>795</v>
      </c>
      <c r="F201" t="s">
        <v>794</v>
      </c>
    </row>
    <row r="202" spans="1:6" x14ac:dyDescent="0.25">
      <c r="A202" t="s">
        <v>852</v>
      </c>
      <c r="B202" t="s">
        <v>771</v>
      </c>
      <c r="C202">
        <v>-6.8779139999999996</v>
      </c>
      <c r="D202">
        <v>12.550860999999999</v>
      </c>
      <c r="E202" t="s">
        <v>793</v>
      </c>
      <c r="F202" t="s">
        <v>798</v>
      </c>
    </row>
    <row r="203" spans="1:6" x14ac:dyDescent="0.25">
      <c r="A203" t="s">
        <v>853</v>
      </c>
      <c r="B203" t="s">
        <v>784</v>
      </c>
      <c r="C203">
        <v>-4.2975050000000001</v>
      </c>
      <c r="D203">
        <v>29.162555999999999</v>
      </c>
      <c r="E203" t="s">
        <v>793</v>
      </c>
      <c r="F203" t="s">
        <v>794</v>
      </c>
    </row>
    <row r="204" spans="1:6" x14ac:dyDescent="0.25">
      <c r="A204" t="s">
        <v>854</v>
      </c>
      <c r="B204" t="s">
        <v>780</v>
      </c>
      <c r="C204">
        <v>2.7298239999999998</v>
      </c>
      <c r="D204">
        <v>12.958664000000001</v>
      </c>
      <c r="E204" t="s">
        <v>797</v>
      </c>
      <c r="F204" t="s">
        <v>798</v>
      </c>
    </row>
    <row r="205" spans="1:6" x14ac:dyDescent="0.25">
      <c r="A205" t="s">
        <v>855</v>
      </c>
      <c r="B205" t="s">
        <v>773</v>
      </c>
      <c r="C205">
        <v>-7.4135429999999998</v>
      </c>
      <c r="D205">
        <v>19.288392999999999</v>
      </c>
      <c r="E205" t="s">
        <v>795</v>
      </c>
      <c r="F205" t="s">
        <v>804</v>
      </c>
    </row>
    <row r="206" spans="1:6" x14ac:dyDescent="0.25">
      <c r="A206" t="s">
        <v>603</v>
      </c>
      <c r="B206" t="s">
        <v>766</v>
      </c>
      <c r="C206">
        <v>-7.1079169999999996</v>
      </c>
      <c r="D206">
        <v>13.636272</v>
      </c>
      <c r="E206" t="s">
        <v>793</v>
      </c>
      <c r="F206" t="s">
        <v>804</v>
      </c>
    </row>
    <row r="207" spans="1:6" x14ac:dyDescent="0.25">
      <c r="A207" t="s">
        <v>683</v>
      </c>
      <c r="B207" t="s">
        <v>765</v>
      </c>
      <c r="C207">
        <v>0.850665</v>
      </c>
      <c r="D207">
        <v>19.446418000000001</v>
      </c>
      <c r="E207" t="s">
        <v>795</v>
      </c>
      <c r="F207" t="s">
        <v>796</v>
      </c>
    </row>
    <row r="208" spans="1:6" x14ac:dyDescent="0.25">
      <c r="A208" t="s">
        <v>532</v>
      </c>
      <c r="B208" t="s">
        <v>769</v>
      </c>
      <c r="C208">
        <v>-11.231472</v>
      </c>
      <c r="D208">
        <v>25.388874000000001</v>
      </c>
      <c r="E208" t="s">
        <v>795</v>
      </c>
      <c r="F208" t="s">
        <v>796</v>
      </c>
    </row>
    <row r="209" spans="1:6" x14ac:dyDescent="0.25">
      <c r="A209" t="s">
        <v>292</v>
      </c>
      <c r="B209" t="s">
        <v>786</v>
      </c>
      <c r="C209">
        <v>4.6809229999999999</v>
      </c>
      <c r="D209">
        <v>28.934242000000001</v>
      </c>
      <c r="E209" t="s">
        <v>793</v>
      </c>
      <c r="F209" t="s">
        <v>804</v>
      </c>
    </row>
    <row r="210" spans="1:6" x14ac:dyDescent="0.25">
      <c r="A210" t="s">
        <v>856</v>
      </c>
      <c r="B210" t="s">
        <v>775</v>
      </c>
      <c r="C210">
        <v>-3.7093609999999999</v>
      </c>
      <c r="D210">
        <v>23.959942999999999</v>
      </c>
      <c r="E210" t="s">
        <v>795</v>
      </c>
      <c r="F210" t="s">
        <v>796</v>
      </c>
    </row>
    <row r="211" spans="1:6" x14ac:dyDescent="0.25">
      <c r="A211" t="s">
        <v>345</v>
      </c>
      <c r="B211" t="s">
        <v>774</v>
      </c>
      <c r="C211">
        <v>4.8689660000000003</v>
      </c>
      <c r="D211">
        <v>25.112373000000002</v>
      </c>
      <c r="E211" t="s">
        <v>797</v>
      </c>
      <c r="F211" t="s">
        <v>796</v>
      </c>
    </row>
    <row r="212" spans="1:6" x14ac:dyDescent="0.25">
      <c r="A212" t="s">
        <v>88</v>
      </c>
      <c r="B212" t="s">
        <v>770</v>
      </c>
      <c r="C212">
        <v>-9.3066320000000005</v>
      </c>
      <c r="D212">
        <v>20.470889</v>
      </c>
      <c r="E212" t="s">
        <v>793</v>
      </c>
      <c r="F212" t="s">
        <v>798</v>
      </c>
    </row>
    <row r="213" spans="1:6" x14ac:dyDescent="0.25">
      <c r="A213" t="s">
        <v>209</v>
      </c>
      <c r="B213" t="s">
        <v>772</v>
      </c>
      <c r="C213">
        <v>-12.342053999999999</v>
      </c>
      <c r="D213">
        <v>18.756862000000002</v>
      </c>
      <c r="E213" t="s">
        <v>797</v>
      </c>
      <c r="F213" t="s">
        <v>794</v>
      </c>
    </row>
    <row r="214" spans="1:6" x14ac:dyDescent="0.25">
      <c r="A214" t="s">
        <v>681</v>
      </c>
      <c r="B214" t="s">
        <v>769</v>
      </c>
      <c r="C214">
        <v>-6.0234120000000004</v>
      </c>
      <c r="D214">
        <v>18.314309999999999</v>
      </c>
      <c r="E214" t="s">
        <v>793</v>
      </c>
      <c r="F214" t="s">
        <v>798</v>
      </c>
    </row>
    <row r="215" spans="1:6" x14ac:dyDescent="0.25">
      <c r="A215" t="s">
        <v>571</v>
      </c>
      <c r="B215" t="s">
        <v>774</v>
      </c>
      <c r="C215">
        <v>2.5665840000000002</v>
      </c>
      <c r="D215">
        <v>15.764796</v>
      </c>
      <c r="E215" t="s">
        <v>797</v>
      </c>
      <c r="F215" t="s">
        <v>798</v>
      </c>
    </row>
    <row r="216" spans="1:6" x14ac:dyDescent="0.25">
      <c r="A216" t="s">
        <v>82</v>
      </c>
      <c r="B216" t="s">
        <v>772</v>
      </c>
      <c r="C216">
        <v>-10.914952</v>
      </c>
      <c r="D216">
        <v>26.409648000000001</v>
      </c>
      <c r="E216" t="s">
        <v>795</v>
      </c>
      <c r="F216" t="s">
        <v>796</v>
      </c>
    </row>
    <row r="217" spans="1:6" x14ac:dyDescent="0.25">
      <c r="A217" t="s">
        <v>487</v>
      </c>
      <c r="B217" t="s">
        <v>762</v>
      </c>
      <c r="C217">
        <v>-7.402336</v>
      </c>
      <c r="D217">
        <v>27.376697</v>
      </c>
      <c r="E217" t="s">
        <v>795</v>
      </c>
      <c r="F217" t="s">
        <v>796</v>
      </c>
    </row>
    <row r="218" spans="1:6" x14ac:dyDescent="0.25">
      <c r="A218" t="s">
        <v>857</v>
      </c>
      <c r="B218" t="s">
        <v>782</v>
      </c>
      <c r="C218">
        <v>-12.207461</v>
      </c>
      <c r="D218">
        <v>13.492367</v>
      </c>
      <c r="E218" t="s">
        <v>797</v>
      </c>
      <c r="F218" t="s">
        <v>794</v>
      </c>
    </row>
    <row r="219" spans="1:6" x14ac:dyDescent="0.25">
      <c r="A219" t="s">
        <v>707</v>
      </c>
      <c r="B219" t="s">
        <v>779</v>
      </c>
      <c r="C219">
        <v>2.266232</v>
      </c>
      <c r="D219">
        <v>29.532896000000001</v>
      </c>
      <c r="E219" t="s">
        <v>795</v>
      </c>
      <c r="F219" t="s">
        <v>794</v>
      </c>
    </row>
    <row r="220" spans="1:6" x14ac:dyDescent="0.25">
      <c r="A220" t="s">
        <v>858</v>
      </c>
      <c r="B220" t="s">
        <v>785</v>
      </c>
      <c r="C220">
        <v>2.6937519999999999</v>
      </c>
      <c r="D220">
        <v>26.524137</v>
      </c>
      <c r="E220" t="s">
        <v>797</v>
      </c>
      <c r="F220" t="s">
        <v>794</v>
      </c>
    </row>
    <row r="221" spans="1:6" x14ac:dyDescent="0.25">
      <c r="A221" t="s">
        <v>593</v>
      </c>
      <c r="B221" t="s">
        <v>763</v>
      </c>
      <c r="C221">
        <v>-7.0007840000000003</v>
      </c>
      <c r="D221">
        <v>22.787997000000001</v>
      </c>
      <c r="E221" t="s">
        <v>793</v>
      </c>
      <c r="F221" t="s">
        <v>798</v>
      </c>
    </row>
    <row r="222" spans="1:6" x14ac:dyDescent="0.25">
      <c r="A222" t="s">
        <v>859</v>
      </c>
      <c r="B222" t="s">
        <v>765</v>
      </c>
      <c r="C222">
        <v>3.0053459999999999</v>
      </c>
      <c r="D222">
        <v>13.765407</v>
      </c>
      <c r="E222" t="s">
        <v>793</v>
      </c>
      <c r="F222" t="s">
        <v>794</v>
      </c>
    </row>
    <row r="223" spans="1:6" x14ac:dyDescent="0.25">
      <c r="A223" t="s">
        <v>4</v>
      </c>
      <c r="B223" t="s">
        <v>763</v>
      </c>
      <c r="C223">
        <v>-11.144149000000001</v>
      </c>
      <c r="D223">
        <v>27.244658999999999</v>
      </c>
      <c r="E223" t="s">
        <v>795</v>
      </c>
      <c r="F223" t="s">
        <v>804</v>
      </c>
    </row>
    <row r="224" spans="1:6" x14ac:dyDescent="0.25">
      <c r="A224" t="s">
        <v>134</v>
      </c>
      <c r="B224" t="s">
        <v>783</v>
      </c>
      <c r="C224">
        <v>0.79124300000000003</v>
      </c>
      <c r="D224">
        <v>25.273389000000002</v>
      </c>
      <c r="E224" t="s">
        <v>795</v>
      </c>
      <c r="F224" t="s">
        <v>804</v>
      </c>
    </row>
    <row r="225" spans="1:6" x14ac:dyDescent="0.25">
      <c r="A225" t="s">
        <v>860</v>
      </c>
      <c r="B225" t="s">
        <v>773</v>
      </c>
      <c r="C225">
        <v>0.419985</v>
      </c>
      <c r="D225">
        <v>13.847996999999999</v>
      </c>
      <c r="E225" t="s">
        <v>793</v>
      </c>
      <c r="F225" t="s">
        <v>798</v>
      </c>
    </row>
    <row r="226" spans="1:6" x14ac:dyDescent="0.25">
      <c r="A226" t="s">
        <v>475</v>
      </c>
      <c r="B226" t="s">
        <v>778</v>
      </c>
      <c r="C226">
        <v>-12.595355</v>
      </c>
      <c r="D226">
        <v>17.897442000000002</v>
      </c>
      <c r="E226" t="s">
        <v>795</v>
      </c>
      <c r="F226" t="s">
        <v>796</v>
      </c>
    </row>
    <row r="227" spans="1:6" x14ac:dyDescent="0.25">
      <c r="A227" t="s">
        <v>493</v>
      </c>
      <c r="B227" t="s">
        <v>784</v>
      </c>
      <c r="C227">
        <v>0.65288900000000005</v>
      </c>
      <c r="D227">
        <v>24.243953999999999</v>
      </c>
      <c r="E227" t="s">
        <v>793</v>
      </c>
      <c r="F227" t="s">
        <v>794</v>
      </c>
    </row>
    <row r="228" spans="1:6" x14ac:dyDescent="0.25">
      <c r="A228" t="s">
        <v>520</v>
      </c>
      <c r="B228" t="s">
        <v>777</v>
      </c>
      <c r="C228">
        <v>-1.500685</v>
      </c>
      <c r="D228">
        <v>26.563376000000002</v>
      </c>
      <c r="E228" t="s">
        <v>793</v>
      </c>
      <c r="F228" t="s">
        <v>804</v>
      </c>
    </row>
    <row r="229" spans="1:6" x14ac:dyDescent="0.25">
      <c r="A229" t="s">
        <v>861</v>
      </c>
      <c r="B229" t="s">
        <v>776</v>
      </c>
      <c r="C229">
        <v>-9.2227779999999999</v>
      </c>
      <c r="D229">
        <v>20.940372</v>
      </c>
      <c r="E229" t="s">
        <v>797</v>
      </c>
      <c r="F229" t="s">
        <v>794</v>
      </c>
    </row>
    <row r="230" spans="1:6" x14ac:dyDescent="0.25">
      <c r="A230" t="s">
        <v>232</v>
      </c>
      <c r="B230" t="s">
        <v>771</v>
      </c>
      <c r="C230">
        <v>-9.3900009999999998</v>
      </c>
      <c r="D230">
        <v>30.001517</v>
      </c>
      <c r="E230" t="s">
        <v>797</v>
      </c>
      <c r="F230" t="s">
        <v>804</v>
      </c>
    </row>
    <row r="231" spans="1:6" x14ac:dyDescent="0.25">
      <c r="A231" t="s">
        <v>736</v>
      </c>
      <c r="B231" t="s">
        <v>761</v>
      </c>
      <c r="C231">
        <v>-7.8417870000000001</v>
      </c>
      <c r="D231">
        <v>14.730712</v>
      </c>
      <c r="E231" t="s">
        <v>793</v>
      </c>
      <c r="F231" t="s">
        <v>804</v>
      </c>
    </row>
    <row r="232" spans="1:6" x14ac:dyDescent="0.25">
      <c r="A232" t="s">
        <v>675</v>
      </c>
      <c r="B232" t="s">
        <v>785</v>
      </c>
      <c r="C232">
        <v>-3.419035</v>
      </c>
      <c r="D232">
        <v>29.018315999999999</v>
      </c>
      <c r="E232" t="s">
        <v>793</v>
      </c>
      <c r="F232" t="s">
        <v>794</v>
      </c>
    </row>
    <row r="233" spans="1:6" x14ac:dyDescent="0.25">
      <c r="A233" t="s">
        <v>862</v>
      </c>
      <c r="B233" t="s">
        <v>768</v>
      </c>
      <c r="C233">
        <v>0.91016799999999998</v>
      </c>
      <c r="D233">
        <v>16.903002999999998</v>
      </c>
      <c r="E233" t="s">
        <v>797</v>
      </c>
      <c r="F233" t="s">
        <v>804</v>
      </c>
    </row>
    <row r="234" spans="1:6" x14ac:dyDescent="0.25">
      <c r="A234" t="s">
        <v>559</v>
      </c>
      <c r="B234" t="s">
        <v>764</v>
      </c>
      <c r="C234">
        <v>-0.919767</v>
      </c>
      <c r="D234">
        <v>18.905538</v>
      </c>
      <c r="E234" t="s">
        <v>793</v>
      </c>
      <c r="F234" t="s">
        <v>794</v>
      </c>
    </row>
    <row r="235" spans="1:6" x14ac:dyDescent="0.25">
      <c r="A235" t="s">
        <v>105</v>
      </c>
      <c r="B235" t="s">
        <v>785</v>
      </c>
      <c r="C235">
        <v>-8.0922239999999999</v>
      </c>
      <c r="D235">
        <v>15.483708</v>
      </c>
      <c r="E235" t="s">
        <v>793</v>
      </c>
      <c r="F235" t="s">
        <v>804</v>
      </c>
    </row>
    <row r="236" spans="1:6" x14ac:dyDescent="0.25">
      <c r="A236" t="s">
        <v>238</v>
      </c>
      <c r="B236" t="s">
        <v>774</v>
      </c>
      <c r="C236">
        <v>-10.165072</v>
      </c>
      <c r="D236">
        <v>29.428024000000001</v>
      </c>
      <c r="E236" t="s">
        <v>793</v>
      </c>
      <c r="F236" t="s">
        <v>796</v>
      </c>
    </row>
    <row r="237" spans="1:6" x14ac:dyDescent="0.25">
      <c r="A237" t="s">
        <v>428</v>
      </c>
      <c r="B237" t="s">
        <v>762</v>
      </c>
      <c r="C237">
        <v>-10.939712999999999</v>
      </c>
      <c r="D237">
        <v>18.276230999999999</v>
      </c>
      <c r="E237" t="s">
        <v>795</v>
      </c>
      <c r="F237" t="s">
        <v>798</v>
      </c>
    </row>
    <row r="238" spans="1:6" x14ac:dyDescent="0.25">
      <c r="A238" t="s">
        <v>45</v>
      </c>
      <c r="B238" t="s">
        <v>771</v>
      </c>
      <c r="C238">
        <v>4.2493650000000001</v>
      </c>
      <c r="D238">
        <v>28.355039999999999</v>
      </c>
      <c r="E238" t="s">
        <v>797</v>
      </c>
      <c r="F238" t="s">
        <v>798</v>
      </c>
    </row>
    <row r="239" spans="1:6" x14ac:dyDescent="0.25">
      <c r="A239" t="s">
        <v>598</v>
      </c>
      <c r="B239" t="s">
        <v>782</v>
      </c>
      <c r="C239">
        <v>-2.926736</v>
      </c>
      <c r="D239">
        <v>18.170461</v>
      </c>
      <c r="E239" t="s">
        <v>793</v>
      </c>
      <c r="F239" t="s">
        <v>794</v>
      </c>
    </row>
    <row r="240" spans="1:6" x14ac:dyDescent="0.25">
      <c r="A240" t="s">
        <v>441</v>
      </c>
      <c r="B240" t="s">
        <v>783</v>
      </c>
      <c r="C240">
        <v>-11.157245</v>
      </c>
      <c r="D240">
        <v>21.262627999999999</v>
      </c>
      <c r="E240" t="s">
        <v>793</v>
      </c>
      <c r="F240" t="s">
        <v>798</v>
      </c>
    </row>
    <row r="241" spans="1:6" x14ac:dyDescent="0.25">
      <c r="A241" t="s">
        <v>711</v>
      </c>
      <c r="B241" t="s">
        <v>779</v>
      </c>
      <c r="C241">
        <v>-3.234483</v>
      </c>
      <c r="D241">
        <v>13.241939</v>
      </c>
      <c r="E241" t="s">
        <v>795</v>
      </c>
      <c r="F241" t="s">
        <v>798</v>
      </c>
    </row>
    <row r="242" spans="1:6" x14ac:dyDescent="0.25">
      <c r="A242" t="s">
        <v>148</v>
      </c>
      <c r="B242" t="s">
        <v>768</v>
      </c>
      <c r="C242">
        <v>-3.111418</v>
      </c>
      <c r="D242">
        <v>14.144854</v>
      </c>
      <c r="E242" t="s">
        <v>795</v>
      </c>
      <c r="F242" t="s">
        <v>798</v>
      </c>
    </row>
    <row r="243" spans="1:6" x14ac:dyDescent="0.25">
      <c r="A243" t="s">
        <v>331</v>
      </c>
      <c r="B243" t="s">
        <v>784</v>
      </c>
      <c r="C243">
        <v>-8.1210620000000002</v>
      </c>
      <c r="D243">
        <v>21.094390000000001</v>
      </c>
      <c r="E243" t="s">
        <v>793</v>
      </c>
      <c r="F243" t="s">
        <v>798</v>
      </c>
    </row>
    <row r="244" spans="1:6" x14ac:dyDescent="0.25">
      <c r="A244" t="s">
        <v>620</v>
      </c>
      <c r="C244">
        <v>3.9790009999999998</v>
      </c>
      <c r="D244">
        <v>28.069559000000002</v>
      </c>
      <c r="E244" t="s">
        <v>797</v>
      </c>
      <c r="F244" t="s">
        <v>796</v>
      </c>
    </row>
    <row r="245" spans="1:6" x14ac:dyDescent="0.25">
      <c r="A245" t="s">
        <v>689</v>
      </c>
      <c r="B245" t="s">
        <v>764</v>
      </c>
      <c r="C245">
        <v>1.472051</v>
      </c>
      <c r="D245">
        <v>17.36289</v>
      </c>
      <c r="E245" t="s">
        <v>795</v>
      </c>
      <c r="F245" t="s">
        <v>796</v>
      </c>
    </row>
    <row r="246" spans="1:6" x14ac:dyDescent="0.25">
      <c r="A246" t="s">
        <v>415</v>
      </c>
      <c r="B246" t="s">
        <v>766</v>
      </c>
      <c r="C246">
        <v>-2.6665070000000002</v>
      </c>
      <c r="D246">
        <v>18.623692999999999</v>
      </c>
      <c r="E246" t="s">
        <v>797</v>
      </c>
      <c r="F246" t="s">
        <v>798</v>
      </c>
    </row>
    <row r="247" spans="1:6" x14ac:dyDescent="0.25">
      <c r="A247" t="s">
        <v>863</v>
      </c>
      <c r="B247" t="s">
        <v>782</v>
      </c>
      <c r="C247">
        <v>-9.9170499999999997</v>
      </c>
      <c r="D247">
        <v>22.918887000000002</v>
      </c>
      <c r="E247" t="s">
        <v>795</v>
      </c>
      <c r="F247" t="s">
        <v>796</v>
      </c>
    </row>
    <row r="248" spans="1:6" x14ac:dyDescent="0.25">
      <c r="A248" t="s">
        <v>600</v>
      </c>
      <c r="B248" t="s">
        <v>777</v>
      </c>
      <c r="C248">
        <v>-7.3952039999999997</v>
      </c>
      <c r="D248">
        <v>21.651043999999999</v>
      </c>
      <c r="E248" t="s">
        <v>795</v>
      </c>
      <c r="F248" t="s">
        <v>796</v>
      </c>
    </row>
    <row r="249" spans="1:6" x14ac:dyDescent="0.25">
      <c r="A249" t="s">
        <v>155</v>
      </c>
      <c r="B249" t="s">
        <v>764</v>
      </c>
      <c r="C249">
        <v>3.0603760000000002</v>
      </c>
      <c r="D249">
        <v>19.708034000000001</v>
      </c>
      <c r="E249" t="s">
        <v>797</v>
      </c>
      <c r="F249" t="s">
        <v>798</v>
      </c>
    </row>
    <row r="250" spans="1:6" x14ac:dyDescent="0.25">
      <c r="A250" t="s">
        <v>864</v>
      </c>
      <c r="B250" t="s">
        <v>780</v>
      </c>
      <c r="C250">
        <v>-3.269612</v>
      </c>
      <c r="D250">
        <v>25.571189</v>
      </c>
      <c r="E250" t="s">
        <v>793</v>
      </c>
      <c r="F250" t="s">
        <v>794</v>
      </c>
    </row>
    <row r="251" spans="1:6" x14ac:dyDescent="0.25">
      <c r="A251" t="s">
        <v>865</v>
      </c>
      <c r="B251" t="s">
        <v>768</v>
      </c>
      <c r="C251">
        <v>-12.086929</v>
      </c>
      <c r="D251">
        <v>14.032645</v>
      </c>
      <c r="E251" t="s">
        <v>797</v>
      </c>
      <c r="F251" t="s">
        <v>798</v>
      </c>
    </row>
    <row r="252" spans="1:6" x14ac:dyDescent="0.25">
      <c r="A252" t="s">
        <v>68</v>
      </c>
      <c r="B252" t="s">
        <v>784</v>
      </c>
      <c r="C252">
        <v>-10.963041</v>
      </c>
      <c r="D252">
        <v>12.269857</v>
      </c>
      <c r="E252" t="s">
        <v>795</v>
      </c>
      <c r="F252" t="s">
        <v>796</v>
      </c>
    </row>
    <row r="253" spans="1:6" x14ac:dyDescent="0.25">
      <c r="A253" t="s">
        <v>866</v>
      </c>
      <c r="B253" t="s">
        <v>786</v>
      </c>
      <c r="C253">
        <v>-4.332408</v>
      </c>
      <c r="D253">
        <v>14.119439</v>
      </c>
      <c r="E253" t="s">
        <v>793</v>
      </c>
      <c r="F253" t="s">
        <v>804</v>
      </c>
    </row>
    <row r="254" spans="1:6" x14ac:dyDescent="0.25">
      <c r="A254" t="s">
        <v>502</v>
      </c>
      <c r="B254" t="s">
        <v>766</v>
      </c>
      <c r="C254">
        <v>-0.57104900000000003</v>
      </c>
      <c r="D254">
        <v>15.317663</v>
      </c>
      <c r="E254" t="s">
        <v>793</v>
      </c>
      <c r="F254" t="s">
        <v>804</v>
      </c>
    </row>
    <row r="255" spans="1:6" x14ac:dyDescent="0.25">
      <c r="A255" t="s">
        <v>180</v>
      </c>
      <c r="B255" t="s">
        <v>780</v>
      </c>
      <c r="C255">
        <v>-10.442425</v>
      </c>
      <c r="D255">
        <v>23.243632000000002</v>
      </c>
      <c r="E255" t="s">
        <v>795</v>
      </c>
      <c r="F255" t="s">
        <v>804</v>
      </c>
    </row>
    <row r="256" spans="1:6" x14ac:dyDescent="0.25">
      <c r="A256" t="s">
        <v>298</v>
      </c>
      <c r="B256" t="s">
        <v>781</v>
      </c>
      <c r="C256">
        <v>0.16327700000000001</v>
      </c>
      <c r="D256">
        <v>14.871577</v>
      </c>
      <c r="E256" t="s">
        <v>795</v>
      </c>
      <c r="F256" t="s">
        <v>796</v>
      </c>
    </row>
    <row r="257" spans="1:6" x14ac:dyDescent="0.25">
      <c r="A257" t="s">
        <v>867</v>
      </c>
      <c r="B257" t="s">
        <v>777</v>
      </c>
      <c r="C257">
        <v>4.7044240000000004</v>
      </c>
      <c r="D257">
        <v>20.486409999999999</v>
      </c>
      <c r="E257" t="s">
        <v>795</v>
      </c>
      <c r="F257" t="s">
        <v>798</v>
      </c>
    </row>
    <row r="258" spans="1:6" x14ac:dyDescent="0.25">
      <c r="A258" t="s">
        <v>868</v>
      </c>
      <c r="B258" t="s">
        <v>767</v>
      </c>
      <c r="C258">
        <v>4.7060310000000003</v>
      </c>
      <c r="D258">
        <v>27.348973000000001</v>
      </c>
      <c r="E258" t="s">
        <v>795</v>
      </c>
      <c r="F258" t="s">
        <v>796</v>
      </c>
    </row>
    <row r="259" spans="1:6" x14ac:dyDescent="0.25">
      <c r="A259" t="s">
        <v>869</v>
      </c>
      <c r="B259" t="s">
        <v>778</v>
      </c>
      <c r="C259">
        <v>1.019657</v>
      </c>
      <c r="D259">
        <v>16.963799000000002</v>
      </c>
      <c r="E259" t="s">
        <v>797</v>
      </c>
      <c r="F259" t="s">
        <v>804</v>
      </c>
    </row>
    <row r="260" spans="1:6" x14ac:dyDescent="0.25">
      <c r="A260" t="s">
        <v>594</v>
      </c>
      <c r="B260" t="s">
        <v>780</v>
      </c>
      <c r="C260">
        <v>-4.6311460000000002</v>
      </c>
      <c r="D260">
        <v>25.314723000000001</v>
      </c>
      <c r="E260" t="s">
        <v>795</v>
      </c>
      <c r="F260" t="s">
        <v>796</v>
      </c>
    </row>
    <row r="261" spans="1:6" x14ac:dyDescent="0.25">
      <c r="A261" t="s">
        <v>870</v>
      </c>
      <c r="B261" t="s">
        <v>784</v>
      </c>
      <c r="C261">
        <v>-11.591777</v>
      </c>
      <c r="D261">
        <v>21.213452</v>
      </c>
      <c r="E261" t="s">
        <v>793</v>
      </c>
      <c r="F261" t="s">
        <v>794</v>
      </c>
    </row>
    <row r="262" spans="1:6" x14ac:dyDescent="0.25">
      <c r="A262" t="s">
        <v>871</v>
      </c>
      <c r="B262" t="s">
        <v>780</v>
      </c>
      <c r="C262">
        <v>3.0184790000000001</v>
      </c>
      <c r="D262">
        <v>27.188068000000001</v>
      </c>
      <c r="E262" t="s">
        <v>793</v>
      </c>
      <c r="F262" t="s">
        <v>794</v>
      </c>
    </row>
    <row r="263" spans="1:6" x14ac:dyDescent="0.25">
      <c r="A263" t="s">
        <v>436</v>
      </c>
      <c r="B263" t="s">
        <v>786</v>
      </c>
      <c r="C263">
        <v>-11.407966</v>
      </c>
      <c r="D263">
        <v>28.378274000000001</v>
      </c>
      <c r="E263" t="s">
        <v>795</v>
      </c>
      <c r="F263" t="s">
        <v>798</v>
      </c>
    </row>
    <row r="264" spans="1:6" x14ac:dyDescent="0.25">
      <c r="A264" t="s">
        <v>432</v>
      </c>
      <c r="B264" t="s">
        <v>782</v>
      </c>
      <c r="C264">
        <v>-4.4958720000000003</v>
      </c>
      <c r="D264">
        <v>18.514112000000001</v>
      </c>
      <c r="E264" t="s">
        <v>795</v>
      </c>
      <c r="F264" t="s">
        <v>804</v>
      </c>
    </row>
    <row r="265" spans="1:6" x14ac:dyDescent="0.25">
      <c r="A265" t="s">
        <v>872</v>
      </c>
      <c r="B265" t="s">
        <v>778</v>
      </c>
      <c r="C265">
        <v>0.35034999999999999</v>
      </c>
      <c r="D265">
        <v>13.603628</v>
      </c>
      <c r="E265" t="s">
        <v>793</v>
      </c>
      <c r="F265" t="s">
        <v>798</v>
      </c>
    </row>
    <row r="266" spans="1:6" x14ac:dyDescent="0.25">
      <c r="A266" t="s">
        <v>873</v>
      </c>
      <c r="B266" t="s">
        <v>761</v>
      </c>
      <c r="C266">
        <v>4.2873989999999997</v>
      </c>
      <c r="D266">
        <v>14.756335</v>
      </c>
      <c r="E266" t="s">
        <v>793</v>
      </c>
      <c r="F266" t="s">
        <v>794</v>
      </c>
    </row>
    <row r="267" spans="1:6" x14ac:dyDescent="0.25">
      <c r="A267" t="s">
        <v>291</v>
      </c>
      <c r="B267" t="s">
        <v>782</v>
      </c>
      <c r="C267">
        <v>-11.594525000000001</v>
      </c>
      <c r="D267">
        <v>29.744895</v>
      </c>
      <c r="E267" t="s">
        <v>797</v>
      </c>
      <c r="F267" t="s">
        <v>798</v>
      </c>
    </row>
    <row r="268" spans="1:6" x14ac:dyDescent="0.25">
      <c r="A268" t="s">
        <v>260</v>
      </c>
      <c r="B268" t="s">
        <v>763</v>
      </c>
      <c r="C268">
        <v>-1.5936220000000001</v>
      </c>
      <c r="D268">
        <v>14.928856</v>
      </c>
      <c r="E268" t="s">
        <v>793</v>
      </c>
      <c r="F268" t="s">
        <v>794</v>
      </c>
    </row>
    <row r="269" spans="1:6" x14ac:dyDescent="0.25">
      <c r="A269" t="s">
        <v>874</v>
      </c>
      <c r="B269" t="s">
        <v>772</v>
      </c>
      <c r="C269">
        <v>1.3657680000000001</v>
      </c>
      <c r="D269">
        <v>21.423017000000002</v>
      </c>
      <c r="E269" t="s">
        <v>793</v>
      </c>
      <c r="F269" t="s">
        <v>794</v>
      </c>
    </row>
    <row r="270" spans="1:6" x14ac:dyDescent="0.25">
      <c r="A270" t="s">
        <v>875</v>
      </c>
      <c r="B270" t="s">
        <v>778</v>
      </c>
      <c r="C270">
        <v>-7.3750049999999998</v>
      </c>
      <c r="D270">
        <v>30.878126000000002</v>
      </c>
      <c r="E270" t="s">
        <v>793</v>
      </c>
      <c r="F270" t="s">
        <v>796</v>
      </c>
    </row>
    <row r="271" spans="1:6" x14ac:dyDescent="0.25">
      <c r="A271" t="s">
        <v>451</v>
      </c>
      <c r="B271" t="s">
        <v>772</v>
      </c>
      <c r="C271">
        <v>-12.050063</v>
      </c>
      <c r="D271">
        <v>26.636987999999999</v>
      </c>
      <c r="E271" t="s">
        <v>797</v>
      </c>
      <c r="F271" t="s">
        <v>804</v>
      </c>
    </row>
    <row r="272" spans="1:6" x14ac:dyDescent="0.25">
      <c r="A272" t="s">
        <v>876</v>
      </c>
      <c r="B272" t="s">
        <v>774</v>
      </c>
      <c r="C272">
        <v>-6.8161690000000004</v>
      </c>
      <c r="D272">
        <v>16.521000999999998</v>
      </c>
      <c r="E272" t="s">
        <v>793</v>
      </c>
      <c r="F272" t="s">
        <v>794</v>
      </c>
    </row>
    <row r="273" spans="1:6" x14ac:dyDescent="0.25">
      <c r="A273" t="s">
        <v>647</v>
      </c>
      <c r="B273" t="s">
        <v>761</v>
      </c>
      <c r="C273">
        <v>1.0134879999999999</v>
      </c>
      <c r="D273">
        <v>20.363515</v>
      </c>
      <c r="E273" t="s">
        <v>795</v>
      </c>
      <c r="F273" t="s">
        <v>804</v>
      </c>
    </row>
    <row r="274" spans="1:6" x14ac:dyDescent="0.25">
      <c r="A274" t="s">
        <v>168</v>
      </c>
      <c r="B274" t="s">
        <v>764</v>
      </c>
      <c r="C274">
        <v>-4.5603610000000003</v>
      </c>
      <c r="D274">
        <v>24.113918999999999</v>
      </c>
      <c r="E274" t="s">
        <v>793</v>
      </c>
      <c r="F274" t="s">
        <v>798</v>
      </c>
    </row>
    <row r="275" spans="1:6" x14ac:dyDescent="0.25">
      <c r="A275" t="s">
        <v>271</v>
      </c>
      <c r="B275" t="s">
        <v>778</v>
      </c>
      <c r="C275">
        <v>-3.7720639999999999</v>
      </c>
      <c r="D275">
        <v>16.006277999999998</v>
      </c>
      <c r="E275" t="s">
        <v>793</v>
      </c>
      <c r="F275" t="s">
        <v>798</v>
      </c>
    </row>
    <row r="276" spans="1:6" x14ac:dyDescent="0.25">
      <c r="A276" t="s">
        <v>877</v>
      </c>
      <c r="B276" t="s">
        <v>775</v>
      </c>
      <c r="C276">
        <v>-4.5538169999999996</v>
      </c>
      <c r="D276">
        <v>25.952860999999999</v>
      </c>
      <c r="E276" t="s">
        <v>797</v>
      </c>
      <c r="F276" t="s">
        <v>794</v>
      </c>
    </row>
    <row r="277" spans="1:6" x14ac:dyDescent="0.25">
      <c r="A277" t="s">
        <v>393</v>
      </c>
      <c r="B277" t="s">
        <v>761</v>
      </c>
      <c r="C277">
        <v>0.20866199999999999</v>
      </c>
      <c r="D277">
        <v>18.556439000000001</v>
      </c>
      <c r="E277" t="s">
        <v>795</v>
      </c>
      <c r="F277" t="s">
        <v>804</v>
      </c>
    </row>
    <row r="278" spans="1:6" x14ac:dyDescent="0.25">
      <c r="A278" t="s">
        <v>384</v>
      </c>
      <c r="B278" t="s">
        <v>769</v>
      </c>
      <c r="C278">
        <v>-5.42171</v>
      </c>
      <c r="D278">
        <v>24.202960999999998</v>
      </c>
      <c r="E278" t="s">
        <v>793</v>
      </c>
      <c r="F278" t="s">
        <v>794</v>
      </c>
    </row>
    <row r="279" spans="1:6" x14ac:dyDescent="0.25">
      <c r="A279" t="s">
        <v>324</v>
      </c>
      <c r="B279" t="s">
        <v>771</v>
      </c>
      <c r="C279">
        <v>4.2904629999999999</v>
      </c>
      <c r="D279">
        <v>26.354195000000001</v>
      </c>
      <c r="E279" t="s">
        <v>797</v>
      </c>
      <c r="F279" t="s">
        <v>794</v>
      </c>
    </row>
    <row r="280" spans="1:6" x14ac:dyDescent="0.25">
      <c r="A280" t="s">
        <v>878</v>
      </c>
      <c r="B280" t="s">
        <v>776</v>
      </c>
      <c r="C280">
        <v>1.368018</v>
      </c>
      <c r="D280">
        <v>14.203893000000001</v>
      </c>
      <c r="E280" t="s">
        <v>793</v>
      </c>
      <c r="F280" t="s">
        <v>796</v>
      </c>
    </row>
    <row r="281" spans="1:6" x14ac:dyDescent="0.25">
      <c r="A281" t="s">
        <v>879</v>
      </c>
      <c r="B281" t="s">
        <v>774</v>
      </c>
      <c r="C281">
        <v>-7.7942479999999996</v>
      </c>
      <c r="D281">
        <v>15.184407999999999</v>
      </c>
      <c r="E281" t="s">
        <v>797</v>
      </c>
      <c r="F281" t="s">
        <v>798</v>
      </c>
    </row>
    <row r="282" spans="1:6" x14ac:dyDescent="0.25">
      <c r="A282" t="s">
        <v>469</v>
      </c>
      <c r="B282" t="s">
        <v>778</v>
      </c>
      <c r="C282">
        <v>-12.364127999999999</v>
      </c>
      <c r="D282">
        <v>19.576150999999999</v>
      </c>
      <c r="E282" t="s">
        <v>797</v>
      </c>
      <c r="F282" t="s">
        <v>804</v>
      </c>
    </row>
    <row r="283" spans="1:6" x14ac:dyDescent="0.25">
      <c r="A283" t="s">
        <v>477</v>
      </c>
      <c r="B283" t="s">
        <v>772</v>
      </c>
      <c r="C283">
        <v>3.611561</v>
      </c>
      <c r="D283">
        <v>17.725974999999998</v>
      </c>
      <c r="E283" t="s">
        <v>797</v>
      </c>
      <c r="F283" t="s">
        <v>798</v>
      </c>
    </row>
    <row r="284" spans="1:6" x14ac:dyDescent="0.25">
      <c r="A284" t="s">
        <v>241</v>
      </c>
      <c r="B284" t="s">
        <v>766</v>
      </c>
      <c r="C284">
        <v>0.48965500000000001</v>
      </c>
      <c r="D284">
        <v>26.176860000000001</v>
      </c>
      <c r="E284" t="s">
        <v>795</v>
      </c>
      <c r="F284" t="s">
        <v>796</v>
      </c>
    </row>
    <row r="285" spans="1:6" x14ac:dyDescent="0.25">
      <c r="A285" t="s">
        <v>421</v>
      </c>
      <c r="B285" t="s">
        <v>770</v>
      </c>
      <c r="C285">
        <v>8.5490999999999998E-2</v>
      </c>
      <c r="D285">
        <v>26.296129000000001</v>
      </c>
      <c r="E285" t="s">
        <v>797</v>
      </c>
      <c r="F285" t="s">
        <v>798</v>
      </c>
    </row>
    <row r="286" spans="1:6" x14ac:dyDescent="0.25">
      <c r="A286" t="s">
        <v>388</v>
      </c>
      <c r="B286" t="s">
        <v>777</v>
      </c>
      <c r="C286">
        <v>-2.8532869999999999</v>
      </c>
      <c r="D286">
        <v>22.117896000000002</v>
      </c>
      <c r="E286" t="s">
        <v>793</v>
      </c>
      <c r="F286" t="s">
        <v>796</v>
      </c>
    </row>
    <row r="287" spans="1:6" x14ac:dyDescent="0.25">
      <c r="A287" t="s">
        <v>573</v>
      </c>
      <c r="B287" t="s">
        <v>781</v>
      </c>
      <c r="C287">
        <v>-11.89448</v>
      </c>
      <c r="D287">
        <v>19.216214999999998</v>
      </c>
      <c r="E287" t="s">
        <v>797</v>
      </c>
      <c r="F287" t="s">
        <v>798</v>
      </c>
    </row>
    <row r="288" spans="1:6" x14ac:dyDescent="0.25">
      <c r="A288" t="s">
        <v>366</v>
      </c>
      <c r="B288" t="s">
        <v>776</v>
      </c>
      <c r="C288">
        <v>-4.4831099999999999</v>
      </c>
      <c r="D288">
        <v>25.406548000000001</v>
      </c>
      <c r="E288" t="s">
        <v>793</v>
      </c>
      <c r="F288" t="s">
        <v>804</v>
      </c>
    </row>
    <row r="289" spans="1:6" x14ac:dyDescent="0.25">
      <c r="A289" t="s">
        <v>340</v>
      </c>
      <c r="B289" t="s">
        <v>763</v>
      </c>
      <c r="C289">
        <v>-9.9565739999999998</v>
      </c>
      <c r="D289">
        <v>21.017202000000001</v>
      </c>
      <c r="E289" t="s">
        <v>795</v>
      </c>
      <c r="F289" t="s">
        <v>796</v>
      </c>
    </row>
    <row r="290" spans="1:6" x14ac:dyDescent="0.25">
      <c r="A290" t="s">
        <v>568</v>
      </c>
      <c r="B290" t="s">
        <v>764</v>
      </c>
      <c r="C290">
        <v>-12.070842000000001</v>
      </c>
      <c r="D290">
        <v>14.757847</v>
      </c>
      <c r="E290" t="s">
        <v>795</v>
      </c>
      <c r="F290" t="s">
        <v>798</v>
      </c>
    </row>
    <row r="291" spans="1:6" x14ac:dyDescent="0.25">
      <c r="A291" t="s">
        <v>529</v>
      </c>
      <c r="B291" t="s">
        <v>773</v>
      </c>
      <c r="C291">
        <v>4.8265669999999998</v>
      </c>
      <c r="D291">
        <v>28.535277000000001</v>
      </c>
      <c r="E291" t="s">
        <v>797</v>
      </c>
      <c r="F291" t="s">
        <v>796</v>
      </c>
    </row>
    <row r="292" spans="1:6" x14ac:dyDescent="0.25">
      <c r="A292" t="s">
        <v>880</v>
      </c>
      <c r="B292" t="s">
        <v>778</v>
      </c>
      <c r="C292">
        <v>1.5601240000000001</v>
      </c>
      <c r="D292">
        <v>12.225398</v>
      </c>
      <c r="E292" t="s">
        <v>793</v>
      </c>
      <c r="F292" t="s">
        <v>804</v>
      </c>
    </row>
    <row r="293" spans="1:6" x14ac:dyDescent="0.25">
      <c r="A293" t="s">
        <v>881</v>
      </c>
      <c r="B293" t="s">
        <v>775</v>
      </c>
      <c r="C293">
        <v>-1.762294</v>
      </c>
      <c r="D293">
        <v>29.617228000000001</v>
      </c>
      <c r="E293" t="s">
        <v>795</v>
      </c>
      <c r="F293" t="s">
        <v>798</v>
      </c>
    </row>
    <row r="294" spans="1:6" x14ac:dyDescent="0.25">
      <c r="A294" t="s">
        <v>613</v>
      </c>
      <c r="B294" t="s">
        <v>770</v>
      </c>
      <c r="C294">
        <v>-7.8373179999999998</v>
      </c>
      <c r="D294">
        <v>20.527591999999999</v>
      </c>
      <c r="E294" t="s">
        <v>795</v>
      </c>
      <c r="F294" t="s">
        <v>794</v>
      </c>
    </row>
    <row r="295" spans="1:6" x14ac:dyDescent="0.25">
      <c r="A295" t="s">
        <v>506</v>
      </c>
      <c r="B295" t="s">
        <v>771</v>
      </c>
      <c r="C295">
        <v>-11.514817000000001</v>
      </c>
      <c r="D295">
        <v>24.891375</v>
      </c>
      <c r="E295" t="s">
        <v>797</v>
      </c>
      <c r="F295" t="s">
        <v>804</v>
      </c>
    </row>
    <row r="296" spans="1:6" x14ac:dyDescent="0.25">
      <c r="A296" t="s">
        <v>882</v>
      </c>
      <c r="B296" t="s">
        <v>783</v>
      </c>
      <c r="C296">
        <v>-3.89927</v>
      </c>
      <c r="D296">
        <v>30.273492000000001</v>
      </c>
      <c r="E296" t="s">
        <v>797</v>
      </c>
      <c r="F296" t="s">
        <v>804</v>
      </c>
    </row>
    <row r="297" spans="1:6" x14ac:dyDescent="0.25">
      <c r="A297" t="s">
        <v>883</v>
      </c>
      <c r="B297" t="s">
        <v>783</v>
      </c>
      <c r="C297">
        <v>2.3260149999999999</v>
      </c>
      <c r="D297">
        <v>24.97465</v>
      </c>
      <c r="E297" t="s">
        <v>797</v>
      </c>
      <c r="F297" t="s">
        <v>804</v>
      </c>
    </row>
    <row r="298" spans="1:6" x14ac:dyDescent="0.25">
      <c r="A298" t="s">
        <v>135</v>
      </c>
      <c r="B298" t="s">
        <v>770</v>
      </c>
      <c r="C298">
        <v>-7.9987219999999999</v>
      </c>
      <c r="D298">
        <v>12.779335</v>
      </c>
      <c r="E298" t="s">
        <v>793</v>
      </c>
      <c r="F298" t="s">
        <v>804</v>
      </c>
    </row>
    <row r="299" spans="1:6" x14ac:dyDescent="0.25">
      <c r="A299" t="s">
        <v>884</v>
      </c>
      <c r="B299" t="s">
        <v>777</v>
      </c>
      <c r="C299">
        <v>-10.614302</v>
      </c>
      <c r="D299">
        <v>29.436530999999999</v>
      </c>
      <c r="E299" t="s">
        <v>797</v>
      </c>
      <c r="F299" t="s">
        <v>794</v>
      </c>
    </row>
    <row r="300" spans="1:6" x14ac:dyDescent="0.25">
      <c r="A300" t="s">
        <v>440</v>
      </c>
      <c r="B300" t="s">
        <v>763</v>
      </c>
      <c r="C300">
        <v>-7.9425049999999997</v>
      </c>
      <c r="D300">
        <v>24.111059000000001</v>
      </c>
      <c r="E300" t="s">
        <v>797</v>
      </c>
      <c r="F300" t="s">
        <v>798</v>
      </c>
    </row>
    <row r="301" spans="1:6" x14ac:dyDescent="0.25">
      <c r="A301" t="s">
        <v>420</v>
      </c>
      <c r="B301" t="s">
        <v>771</v>
      </c>
      <c r="C301">
        <v>2.4414509999999998</v>
      </c>
      <c r="D301">
        <v>30.167489</v>
      </c>
      <c r="E301" t="s">
        <v>793</v>
      </c>
      <c r="F301" t="s">
        <v>804</v>
      </c>
    </row>
    <row r="302" spans="1:6" x14ac:dyDescent="0.25">
      <c r="A302" t="s">
        <v>106</v>
      </c>
      <c r="B302" t="s">
        <v>766</v>
      </c>
      <c r="C302">
        <v>-1.339734</v>
      </c>
      <c r="D302">
        <v>15.243098</v>
      </c>
      <c r="E302" t="s">
        <v>797</v>
      </c>
      <c r="F302" t="s">
        <v>804</v>
      </c>
    </row>
    <row r="303" spans="1:6" x14ac:dyDescent="0.25">
      <c r="A303" t="s">
        <v>398</v>
      </c>
      <c r="B303" t="s">
        <v>783</v>
      </c>
      <c r="C303">
        <v>-9.8208710000000004</v>
      </c>
      <c r="D303">
        <v>23.229807000000001</v>
      </c>
      <c r="E303" t="s">
        <v>793</v>
      </c>
      <c r="F303" t="s">
        <v>804</v>
      </c>
    </row>
    <row r="304" spans="1:6" x14ac:dyDescent="0.25">
      <c r="A304" t="s">
        <v>258</v>
      </c>
      <c r="B304" t="s">
        <v>767</v>
      </c>
      <c r="C304">
        <v>-12.292039000000001</v>
      </c>
      <c r="D304">
        <v>27.538202999999999</v>
      </c>
      <c r="E304" t="s">
        <v>797</v>
      </c>
      <c r="F304" t="s">
        <v>796</v>
      </c>
    </row>
    <row r="305" spans="1:6" x14ac:dyDescent="0.25">
      <c r="A305" t="s">
        <v>885</v>
      </c>
      <c r="B305" t="s">
        <v>769</v>
      </c>
      <c r="C305">
        <v>-6.0850540000000004</v>
      </c>
      <c r="D305">
        <v>14.020293000000001</v>
      </c>
      <c r="E305" t="s">
        <v>793</v>
      </c>
      <c r="F305" t="s">
        <v>796</v>
      </c>
    </row>
    <row r="306" spans="1:6" x14ac:dyDescent="0.25">
      <c r="A306" t="s">
        <v>546</v>
      </c>
      <c r="B306" t="s">
        <v>773</v>
      </c>
      <c r="C306">
        <v>-9.5619429999999994</v>
      </c>
      <c r="D306">
        <v>21.445726000000001</v>
      </c>
      <c r="E306" t="s">
        <v>795</v>
      </c>
      <c r="F306" t="s">
        <v>804</v>
      </c>
    </row>
    <row r="307" spans="1:6" x14ac:dyDescent="0.25">
      <c r="A307" t="s">
        <v>433</v>
      </c>
      <c r="B307" t="s">
        <v>780</v>
      </c>
      <c r="C307">
        <v>-0.47411900000000001</v>
      </c>
      <c r="D307">
        <v>27.184329000000002</v>
      </c>
      <c r="E307" t="s">
        <v>793</v>
      </c>
      <c r="F307" t="s">
        <v>798</v>
      </c>
    </row>
    <row r="308" spans="1:6" x14ac:dyDescent="0.25">
      <c r="A308" t="s">
        <v>62</v>
      </c>
      <c r="B308" t="s">
        <v>763</v>
      </c>
      <c r="C308">
        <v>3.1362930000000002</v>
      </c>
      <c r="D308">
        <v>16.190878000000001</v>
      </c>
      <c r="E308" t="s">
        <v>797</v>
      </c>
      <c r="F308" t="s">
        <v>804</v>
      </c>
    </row>
    <row r="309" spans="1:6" x14ac:dyDescent="0.25">
      <c r="A309" t="s">
        <v>450</v>
      </c>
      <c r="B309" t="s">
        <v>765</v>
      </c>
      <c r="C309">
        <v>-1.6488929999999999</v>
      </c>
      <c r="D309">
        <v>27.284617000000001</v>
      </c>
      <c r="E309" t="s">
        <v>793</v>
      </c>
      <c r="F309" t="s">
        <v>804</v>
      </c>
    </row>
    <row r="310" spans="1:6" x14ac:dyDescent="0.25">
      <c r="A310" t="s">
        <v>404</v>
      </c>
      <c r="B310" t="s">
        <v>769</v>
      </c>
      <c r="C310">
        <v>-6.5332999999999997</v>
      </c>
      <c r="D310">
        <v>20.098018</v>
      </c>
      <c r="E310" t="s">
        <v>795</v>
      </c>
      <c r="F310" t="s">
        <v>796</v>
      </c>
    </row>
    <row r="311" spans="1:6" x14ac:dyDescent="0.25">
      <c r="A311" t="s">
        <v>886</v>
      </c>
      <c r="B311" t="s">
        <v>770</v>
      </c>
      <c r="C311">
        <v>-11.472474999999999</v>
      </c>
      <c r="D311">
        <v>27.418900000000001</v>
      </c>
      <c r="E311" t="s">
        <v>795</v>
      </c>
      <c r="F311" t="s">
        <v>798</v>
      </c>
    </row>
    <row r="312" spans="1:6" x14ac:dyDescent="0.25">
      <c r="A312" t="s">
        <v>136</v>
      </c>
      <c r="B312" t="s">
        <v>766</v>
      </c>
      <c r="C312">
        <v>-1.6097570000000001</v>
      </c>
      <c r="D312">
        <v>30.661662</v>
      </c>
      <c r="E312" t="s">
        <v>795</v>
      </c>
      <c r="F312" t="s">
        <v>794</v>
      </c>
    </row>
    <row r="313" spans="1:6" x14ac:dyDescent="0.25">
      <c r="A313" t="s">
        <v>33</v>
      </c>
      <c r="B313" t="s">
        <v>764</v>
      </c>
      <c r="C313">
        <v>0.23583499999999999</v>
      </c>
      <c r="D313">
        <v>24.889558999999998</v>
      </c>
      <c r="E313" t="s">
        <v>797</v>
      </c>
      <c r="F313" t="s">
        <v>798</v>
      </c>
    </row>
    <row r="314" spans="1:6" x14ac:dyDescent="0.25">
      <c r="A314" t="s">
        <v>194</v>
      </c>
      <c r="B314" t="s">
        <v>763</v>
      </c>
      <c r="C314">
        <v>-10.481026999999999</v>
      </c>
      <c r="D314">
        <v>18.160464000000001</v>
      </c>
      <c r="E314" t="s">
        <v>793</v>
      </c>
      <c r="F314" t="s">
        <v>796</v>
      </c>
    </row>
    <row r="315" spans="1:6" x14ac:dyDescent="0.25">
      <c r="A315" t="s">
        <v>185</v>
      </c>
      <c r="B315" t="s">
        <v>779</v>
      </c>
      <c r="C315">
        <v>-9.5243310000000001</v>
      </c>
      <c r="D315">
        <v>30.541212000000002</v>
      </c>
      <c r="E315" t="s">
        <v>797</v>
      </c>
      <c r="F315" t="s">
        <v>794</v>
      </c>
    </row>
    <row r="316" spans="1:6" x14ac:dyDescent="0.25">
      <c r="A316" t="s">
        <v>89</v>
      </c>
      <c r="B316" t="s">
        <v>777</v>
      </c>
      <c r="C316">
        <v>-4.4697000000000001E-2</v>
      </c>
      <c r="D316">
        <v>22.943373000000001</v>
      </c>
      <c r="E316" t="s">
        <v>797</v>
      </c>
      <c r="F316" t="s">
        <v>796</v>
      </c>
    </row>
    <row r="317" spans="1:6" x14ac:dyDescent="0.25">
      <c r="A317" t="s">
        <v>602</v>
      </c>
      <c r="B317" t="s">
        <v>777</v>
      </c>
      <c r="C317">
        <v>-2.3269820000000001</v>
      </c>
      <c r="D317">
        <v>14.609259</v>
      </c>
      <c r="E317" t="s">
        <v>797</v>
      </c>
      <c r="F317" t="s">
        <v>804</v>
      </c>
    </row>
    <row r="318" spans="1:6" x14ac:dyDescent="0.25">
      <c r="A318" t="s">
        <v>887</v>
      </c>
      <c r="B318" t="s">
        <v>778</v>
      </c>
      <c r="C318">
        <v>-4.1938139999999997</v>
      </c>
      <c r="D318">
        <v>27.892115</v>
      </c>
      <c r="E318" t="s">
        <v>793</v>
      </c>
      <c r="F318" t="s">
        <v>794</v>
      </c>
    </row>
    <row r="319" spans="1:6" x14ac:dyDescent="0.25">
      <c r="A319" t="s">
        <v>51</v>
      </c>
      <c r="B319" t="s">
        <v>769</v>
      </c>
      <c r="C319">
        <v>-11.866133</v>
      </c>
      <c r="D319">
        <v>27.068932</v>
      </c>
      <c r="E319" t="s">
        <v>797</v>
      </c>
      <c r="F319" t="s">
        <v>796</v>
      </c>
    </row>
    <row r="320" spans="1:6" x14ac:dyDescent="0.25">
      <c r="A320" t="s">
        <v>888</v>
      </c>
      <c r="B320" t="s">
        <v>781</v>
      </c>
      <c r="C320">
        <v>-3.2700629999999999</v>
      </c>
      <c r="D320">
        <v>26.520330000000001</v>
      </c>
      <c r="E320" t="s">
        <v>793</v>
      </c>
      <c r="F320" t="s">
        <v>804</v>
      </c>
    </row>
    <row r="321" spans="1:6" x14ac:dyDescent="0.25">
      <c r="A321" t="s">
        <v>95</v>
      </c>
      <c r="B321" t="s">
        <v>779</v>
      </c>
      <c r="C321">
        <v>-7.4608439999999998</v>
      </c>
      <c r="D321">
        <v>23.268619999999999</v>
      </c>
      <c r="E321" t="s">
        <v>795</v>
      </c>
      <c r="F321" t="s">
        <v>796</v>
      </c>
    </row>
    <row r="322" spans="1:6" x14ac:dyDescent="0.25">
      <c r="A322" t="s">
        <v>146</v>
      </c>
      <c r="B322" t="s">
        <v>782</v>
      </c>
      <c r="C322">
        <v>-3.3890790000000002</v>
      </c>
      <c r="D322">
        <v>18.374571</v>
      </c>
      <c r="E322" t="s">
        <v>793</v>
      </c>
      <c r="F322" t="s">
        <v>798</v>
      </c>
    </row>
    <row r="323" spans="1:6" x14ac:dyDescent="0.25">
      <c r="A323" t="s">
        <v>250</v>
      </c>
      <c r="B323" t="s">
        <v>782</v>
      </c>
      <c r="C323">
        <v>2.016505</v>
      </c>
      <c r="D323">
        <v>14.294164</v>
      </c>
      <c r="E323" t="s">
        <v>793</v>
      </c>
      <c r="F323" t="s">
        <v>796</v>
      </c>
    </row>
    <row r="324" spans="1:6" x14ac:dyDescent="0.25">
      <c r="A324" t="s">
        <v>889</v>
      </c>
      <c r="B324" t="s">
        <v>784</v>
      </c>
      <c r="C324">
        <v>-4.9124689999999998</v>
      </c>
      <c r="D324">
        <v>14.683498999999999</v>
      </c>
      <c r="E324" t="s">
        <v>797</v>
      </c>
      <c r="F324" t="s">
        <v>798</v>
      </c>
    </row>
    <row r="325" spans="1:6" x14ac:dyDescent="0.25">
      <c r="A325" t="s">
        <v>46</v>
      </c>
      <c r="B325" t="s">
        <v>775</v>
      </c>
      <c r="C325">
        <v>4.9250049999999996</v>
      </c>
      <c r="D325">
        <v>19.887931999999999</v>
      </c>
      <c r="E325" t="s">
        <v>795</v>
      </c>
      <c r="F325" t="s">
        <v>796</v>
      </c>
    </row>
    <row r="326" spans="1:6" x14ac:dyDescent="0.25">
      <c r="A326" t="s">
        <v>130</v>
      </c>
      <c r="B326" t="s">
        <v>776</v>
      </c>
      <c r="C326">
        <v>-12.333232000000001</v>
      </c>
      <c r="D326">
        <v>25.229620000000001</v>
      </c>
      <c r="E326" t="s">
        <v>793</v>
      </c>
      <c r="F326" t="s">
        <v>804</v>
      </c>
    </row>
    <row r="327" spans="1:6" x14ac:dyDescent="0.25">
      <c r="A327" t="s">
        <v>167</v>
      </c>
      <c r="B327" t="s">
        <v>766</v>
      </c>
      <c r="C327">
        <v>-11.991020000000001</v>
      </c>
      <c r="D327">
        <v>22.514747</v>
      </c>
      <c r="E327" t="s">
        <v>793</v>
      </c>
      <c r="F327" t="s">
        <v>798</v>
      </c>
    </row>
    <row r="328" spans="1:6" x14ac:dyDescent="0.25">
      <c r="A328" t="s">
        <v>890</v>
      </c>
      <c r="B328" t="s">
        <v>769</v>
      </c>
      <c r="C328">
        <v>1.1800139999999999</v>
      </c>
      <c r="D328">
        <v>20.334562999999999</v>
      </c>
      <c r="E328" t="s">
        <v>797</v>
      </c>
      <c r="F328" t="s">
        <v>798</v>
      </c>
    </row>
    <row r="329" spans="1:6" x14ac:dyDescent="0.25">
      <c r="A329" t="s">
        <v>309</v>
      </c>
      <c r="B329" t="s">
        <v>763</v>
      </c>
      <c r="C329">
        <v>-12.229338</v>
      </c>
      <c r="D329">
        <v>29.587834999999998</v>
      </c>
      <c r="E329" t="s">
        <v>795</v>
      </c>
      <c r="F329" t="s">
        <v>804</v>
      </c>
    </row>
    <row r="330" spans="1:6" x14ac:dyDescent="0.25">
      <c r="A330" t="s">
        <v>179</v>
      </c>
      <c r="B330" t="s">
        <v>779</v>
      </c>
      <c r="C330">
        <v>-10.872631999999999</v>
      </c>
      <c r="D330">
        <v>12.773279</v>
      </c>
      <c r="E330" t="s">
        <v>797</v>
      </c>
      <c r="F330" t="s">
        <v>798</v>
      </c>
    </row>
    <row r="331" spans="1:6" x14ac:dyDescent="0.25">
      <c r="A331" t="s">
        <v>191</v>
      </c>
      <c r="B331" t="s">
        <v>777</v>
      </c>
      <c r="C331">
        <v>1.5278670000000001</v>
      </c>
      <c r="D331">
        <v>13.899388999999999</v>
      </c>
      <c r="E331" t="s">
        <v>797</v>
      </c>
      <c r="F331" t="s">
        <v>796</v>
      </c>
    </row>
    <row r="332" spans="1:6" x14ac:dyDescent="0.25">
      <c r="A332" t="s">
        <v>326</v>
      </c>
      <c r="B332" t="s">
        <v>762</v>
      </c>
      <c r="C332">
        <v>-0.98830399999999996</v>
      </c>
      <c r="D332">
        <v>28.099966999999999</v>
      </c>
      <c r="E332" t="s">
        <v>797</v>
      </c>
      <c r="F332" t="s">
        <v>796</v>
      </c>
    </row>
    <row r="333" spans="1:6" x14ac:dyDescent="0.25">
      <c r="A333" t="s">
        <v>891</v>
      </c>
      <c r="B333" t="s">
        <v>770</v>
      </c>
      <c r="C333">
        <v>-4.749333</v>
      </c>
      <c r="D333">
        <v>23.636389000000001</v>
      </c>
      <c r="E333" t="s">
        <v>797</v>
      </c>
      <c r="F333" t="s">
        <v>798</v>
      </c>
    </row>
    <row r="334" spans="1:6" x14ac:dyDescent="0.25">
      <c r="A334" t="s">
        <v>385</v>
      </c>
      <c r="B334" t="s">
        <v>775</v>
      </c>
      <c r="C334">
        <v>-0.79459900000000006</v>
      </c>
      <c r="D334">
        <v>26.775570999999999</v>
      </c>
      <c r="E334" t="s">
        <v>793</v>
      </c>
      <c r="F334" t="s">
        <v>796</v>
      </c>
    </row>
    <row r="335" spans="1:6" x14ac:dyDescent="0.25">
      <c r="A335" t="s">
        <v>892</v>
      </c>
      <c r="B335" t="s">
        <v>771</v>
      </c>
      <c r="C335">
        <v>2.7365970000000002</v>
      </c>
      <c r="D335">
        <v>12.296976000000001</v>
      </c>
      <c r="E335" t="s">
        <v>795</v>
      </c>
      <c r="F335" t="s">
        <v>798</v>
      </c>
    </row>
    <row r="336" spans="1:6" x14ac:dyDescent="0.25">
      <c r="A336" t="s">
        <v>610</v>
      </c>
      <c r="B336" t="s">
        <v>765</v>
      </c>
      <c r="C336">
        <v>-10.318835</v>
      </c>
      <c r="D336">
        <v>21.252382000000001</v>
      </c>
      <c r="E336" t="s">
        <v>795</v>
      </c>
      <c r="F336" t="s">
        <v>794</v>
      </c>
    </row>
    <row r="337" spans="1:6" x14ac:dyDescent="0.25">
      <c r="A337" t="s">
        <v>281</v>
      </c>
      <c r="B337" t="s">
        <v>767</v>
      </c>
      <c r="C337">
        <v>-2.571777</v>
      </c>
      <c r="D337">
        <v>12.120642</v>
      </c>
      <c r="E337" t="s">
        <v>797</v>
      </c>
      <c r="F337" t="s">
        <v>796</v>
      </c>
    </row>
    <row r="338" spans="1:6" x14ac:dyDescent="0.25">
      <c r="A338" t="s">
        <v>893</v>
      </c>
      <c r="B338" t="s">
        <v>785</v>
      </c>
      <c r="C338">
        <v>3.6466850000000002</v>
      </c>
      <c r="D338">
        <v>15.408844</v>
      </c>
      <c r="E338" t="s">
        <v>797</v>
      </c>
      <c r="F338" t="s">
        <v>798</v>
      </c>
    </row>
    <row r="339" spans="1:6" x14ac:dyDescent="0.25">
      <c r="A339" t="s">
        <v>170</v>
      </c>
      <c r="B339" t="s">
        <v>769</v>
      </c>
      <c r="C339">
        <v>-12.336202</v>
      </c>
      <c r="D339">
        <v>13.693683999999999</v>
      </c>
      <c r="E339" t="s">
        <v>793</v>
      </c>
      <c r="F339" t="s">
        <v>796</v>
      </c>
    </row>
    <row r="340" spans="1:6" x14ac:dyDescent="0.25">
      <c r="A340" t="s">
        <v>894</v>
      </c>
      <c r="B340" t="s">
        <v>783</v>
      </c>
      <c r="C340">
        <v>-10.451371</v>
      </c>
      <c r="D340">
        <v>24.38336</v>
      </c>
      <c r="E340" t="s">
        <v>797</v>
      </c>
      <c r="F340" t="s">
        <v>794</v>
      </c>
    </row>
    <row r="341" spans="1:6" x14ac:dyDescent="0.25">
      <c r="A341" t="s">
        <v>312</v>
      </c>
      <c r="B341" t="s">
        <v>786</v>
      </c>
      <c r="C341">
        <v>-1.231033</v>
      </c>
      <c r="D341">
        <v>28.851388</v>
      </c>
      <c r="E341" t="s">
        <v>797</v>
      </c>
      <c r="F341" t="s">
        <v>794</v>
      </c>
    </row>
    <row r="342" spans="1:6" x14ac:dyDescent="0.25">
      <c r="A342" t="s">
        <v>895</v>
      </c>
      <c r="B342" t="s">
        <v>786</v>
      </c>
      <c r="C342">
        <v>-4.5180470000000001</v>
      </c>
      <c r="D342">
        <v>19.908223</v>
      </c>
      <c r="E342" t="s">
        <v>793</v>
      </c>
      <c r="F342" t="s">
        <v>796</v>
      </c>
    </row>
    <row r="343" spans="1:6" x14ac:dyDescent="0.25">
      <c r="A343" t="s">
        <v>896</v>
      </c>
      <c r="B343" t="s">
        <v>784</v>
      </c>
      <c r="C343">
        <v>3.524343</v>
      </c>
      <c r="D343">
        <v>27.340824000000001</v>
      </c>
      <c r="E343" t="s">
        <v>795</v>
      </c>
      <c r="F343" t="s">
        <v>794</v>
      </c>
    </row>
    <row r="344" spans="1:6" x14ac:dyDescent="0.25">
      <c r="A344" t="s">
        <v>897</v>
      </c>
      <c r="B344" t="s">
        <v>771</v>
      </c>
      <c r="C344">
        <v>-12.17557</v>
      </c>
      <c r="D344">
        <v>26.678691000000001</v>
      </c>
      <c r="E344" t="s">
        <v>795</v>
      </c>
      <c r="F344" t="s">
        <v>796</v>
      </c>
    </row>
    <row r="345" spans="1:6" x14ac:dyDescent="0.25">
      <c r="A345" t="s">
        <v>201</v>
      </c>
      <c r="B345" t="s">
        <v>775</v>
      </c>
      <c r="C345">
        <v>-0.37665700000000002</v>
      </c>
      <c r="D345">
        <v>25.154807999999999</v>
      </c>
      <c r="E345" t="s">
        <v>797</v>
      </c>
      <c r="F345" t="s">
        <v>804</v>
      </c>
    </row>
    <row r="346" spans="1:6" x14ac:dyDescent="0.25">
      <c r="A346" t="s">
        <v>604</v>
      </c>
      <c r="B346" t="s">
        <v>765</v>
      </c>
      <c r="C346">
        <v>-10.650321</v>
      </c>
      <c r="D346">
        <v>15.917044000000001</v>
      </c>
      <c r="E346" t="s">
        <v>795</v>
      </c>
      <c r="F346" t="s">
        <v>804</v>
      </c>
    </row>
    <row r="347" spans="1:6" x14ac:dyDescent="0.25">
      <c r="A347" t="s">
        <v>672</v>
      </c>
      <c r="B347" t="s">
        <v>784</v>
      </c>
      <c r="C347">
        <v>-9.8995180000000005</v>
      </c>
      <c r="D347">
        <v>24.156687999999999</v>
      </c>
      <c r="E347" t="s">
        <v>795</v>
      </c>
      <c r="F347" t="s">
        <v>794</v>
      </c>
    </row>
    <row r="348" spans="1:6" x14ac:dyDescent="0.25">
      <c r="A348" t="s">
        <v>122</v>
      </c>
      <c r="B348" t="s">
        <v>761</v>
      </c>
      <c r="C348">
        <v>-12.100756000000001</v>
      </c>
      <c r="D348">
        <v>21.938649999999999</v>
      </c>
      <c r="E348" t="s">
        <v>795</v>
      </c>
      <c r="F348" t="s">
        <v>796</v>
      </c>
    </row>
    <row r="349" spans="1:6" x14ac:dyDescent="0.25">
      <c r="A349" t="s">
        <v>898</v>
      </c>
      <c r="B349" t="s">
        <v>779</v>
      </c>
      <c r="C349">
        <v>-7.4679279999999997</v>
      </c>
      <c r="D349">
        <v>19.828595</v>
      </c>
      <c r="E349" t="s">
        <v>793</v>
      </c>
      <c r="F349" t="s">
        <v>804</v>
      </c>
    </row>
    <row r="350" spans="1:6" x14ac:dyDescent="0.25">
      <c r="A350" t="s">
        <v>332</v>
      </c>
      <c r="B350" t="s">
        <v>779</v>
      </c>
      <c r="C350">
        <v>1.286548</v>
      </c>
      <c r="D350">
        <v>29.823702999999998</v>
      </c>
      <c r="E350" t="s">
        <v>795</v>
      </c>
      <c r="F350" t="s">
        <v>798</v>
      </c>
    </row>
    <row r="351" spans="1:6" x14ac:dyDescent="0.25">
      <c r="A351" t="s">
        <v>276</v>
      </c>
      <c r="B351" t="s">
        <v>785</v>
      </c>
      <c r="C351">
        <v>-4.7886769999999999</v>
      </c>
      <c r="D351">
        <v>23.600221999999999</v>
      </c>
      <c r="E351" t="s">
        <v>797</v>
      </c>
      <c r="F351" t="s">
        <v>798</v>
      </c>
    </row>
    <row r="352" spans="1:6" x14ac:dyDescent="0.25">
      <c r="A352" t="s">
        <v>579</v>
      </c>
      <c r="B352" t="s">
        <v>776</v>
      </c>
      <c r="C352">
        <v>1.7832440000000001</v>
      </c>
      <c r="D352">
        <v>25.477405999999998</v>
      </c>
      <c r="E352" t="s">
        <v>793</v>
      </c>
      <c r="F352" t="s">
        <v>796</v>
      </c>
    </row>
    <row r="353" spans="1:6" x14ac:dyDescent="0.25">
      <c r="A353" t="s">
        <v>899</v>
      </c>
      <c r="B353" t="s">
        <v>785</v>
      </c>
      <c r="C353">
        <v>-4.8560549999999996</v>
      </c>
      <c r="D353">
        <v>15.889538999999999</v>
      </c>
      <c r="E353" t="s">
        <v>797</v>
      </c>
      <c r="F353" t="s">
        <v>796</v>
      </c>
    </row>
    <row r="354" spans="1:6" x14ac:dyDescent="0.25">
      <c r="A354" t="s">
        <v>900</v>
      </c>
      <c r="B354" t="s">
        <v>772</v>
      </c>
      <c r="C354">
        <v>-8.6707929999999998</v>
      </c>
      <c r="D354">
        <v>30.643781000000001</v>
      </c>
      <c r="E354" t="s">
        <v>795</v>
      </c>
      <c r="F354" t="s">
        <v>796</v>
      </c>
    </row>
    <row r="355" spans="1:6" x14ac:dyDescent="0.25">
      <c r="A355" t="s">
        <v>901</v>
      </c>
      <c r="B355" t="s">
        <v>774</v>
      </c>
      <c r="C355">
        <v>-2.947235</v>
      </c>
      <c r="D355">
        <v>16.534020999999999</v>
      </c>
      <c r="E355" t="s">
        <v>797</v>
      </c>
      <c r="F355" t="s">
        <v>804</v>
      </c>
    </row>
    <row r="356" spans="1:6" x14ac:dyDescent="0.25">
      <c r="A356" t="s">
        <v>701</v>
      </c>
      <c r="B356" t="s">
        <v>782</v>
      </c>
      <c r="C356">
        <v>-12.776386</v>
      </c>
      <c r="D356">
        <v>14.157596</v>
      </c>
      <c r="E356" t="s">
        <v>797</v>
      </c>
      <c r="F356" t="s">
        <v>804</v>
      </c>
    </row>
    <row r="357" spans="1:6" x14ac:dyDescent="0.25">
      <c r="A357" t="s">
        <v>26</v>
      </c>
      <c r="B357" t="s">
        <v>782</v>
      </c>
      <c r="C357">
        <v>0.172153</v>
      </c>
      <c r="D357">
        <v>21.091376</v>
      </c>
      <c r="E357" t="s">
        <v>797</v>
      </c>
      <c r="F357" t="s">
        <v>794</v>
      </c>
    </row>
    <row r="358" spans="1:6" x14ac:dyDescent="0.25">
      <c r="A358" t="s">
        <v>666</v>
      </c>
      <c r="B358" t="s">
        <v>786</v>
      </c>
      <c r="C358">
        <v>4.0988100000000003</v>
      </c>
      <c r="D358">
        <v>29.843810999999999</v>
      </c>
      <c r="E358" t="s">
        <v>797</v>
      </c>
      <c r="F358" t="s">
        <v>796</v>
      </c>
    </row>
    <row r="359" spans="1:6" x14ac:dyDescent="0.25">
      <c r="A359" t="s">
        <v>357</v>
      </c>
      <c r="B359" t="s">
        <v>772</v>
      </c>
      <c r="C359">
        <v>-10.611184</v>
      </c>
      <c r="D359">
        <v>23.022268</v>
      </c>
      <c r="E359" t="s">
        <v>793</v>
      </c>
      <c r="F359" t="s">
        <v>798</v>
      </c>
    </row>
    <row r="360" spans="1:6" x14ac:dyDescent="0.25">
      <c r="A360" t="s">
        <v>523</v>
      </c>
      <c r="B360" t="s">
        <v>774</v>
      </c>
      <c r="C360">
        <v>-7.6757720000000003</v>
      </c>
      <c r="D360">
        <v>30.222971000000001</v>
      </c>
      <c r="E360" t="s">
        <v>793</v>
      </c>
      <c r="F360" t="s">
        <v>794</v>
      </c>
    </row>
    <row r="361" spans="1:6" x14ac:dyDescent="0.25">
      <c r="A361" t="s">
        <v>149</v>
      </c>
      <c r="B361" t="s">
        <v>770</v>
      </c>
      <c r="C361">
        <v>-1.342476</v>
      </c>
      <c r="D361">
        <v>15.986086</v>
      </c>
      <c r="E361" t="s">
        <v>795</v>
      </c>
      <c r="F361" t="s">
        <v>794</v>
      </c>
    </row>
    <row r="362" spans="1:6" x14ac:dyDescent="0.25">
      <c r="A362" t="s">
        <v>902</v>
      </c>
      <c r="B362" t="s">
        <v>775</v>
      </c>
      <c r="C362">
        <v>-11.366868999999999</v>
      </c>
      <c r="D362">
        <v>26.155318000000001</v>
      </c>
      <c r="E362" t="s">
        <v>795</v>
      </c>
      <c r="F362" t="s">
        <v>796</v>
      </c>
    </row>
    <row r="363" spans="1:6" x14ac:dyDescent="0.25">
      <c r="A363" t="s">
        <v>434</v>
      </c>
      <c r="B363" t="s">
        <v>776</v>
      </c>
      <c r="C363">
        <v>-4.3639070000000002</v>
      </c>
      <c r="D363">
        <v>16.283307000000001</v>
      </c>
      <c r="E363" t="s">
        <v>793</v>
      </c>
      <c r="F363" t="s">
        <v>796</v>
      </c>
    </row>
    <row r="364" spans="1:6" x14ac:dyDescent="0.25">
      <c r="A364" t="s">
        <v>261</v>
      </c>
      <c r="B364" t="s">
        <v>784</v>
      </c>
      <c r="C364">
        <v>-7.5129409999999996</v>
      </c>
      <c r="D364">
        <v>18.701522000000001</v>
      </c>
      <c r="E364" t="s">
        <v>795</v>
      </c>
      <c r="F364" t="s">
        <v>804</v>
      </c>
    </row>
    <row r="365" spans="1:6" x14ac:dyDescent="0.25">
      <c r="A365" t="s">
        <v>334</v>
      </c>
      <c r="B365" t="s">
        <v>778</v>
      </c>
      <c r="C365">
        <v>-0.34051900000000002</v>
      </c>
      <c r="D365">
        <v>17.079799000000001</v>
      </c>
      <c r="E365" t="s">
        <v>793</v>
      </c>
      <c r="F365" t="s">
        <v>794</v>
      </c>
    </row>
    <row r="366" spans="1:6" x14ac:dyDescent="0.25">
      <c r="A366" t="s">
        <v>230</v>
      </c>
      <c r="B366" t="s">
        <v>764</v>
      </c>
      <c r="C366">
        <v>2.4425979999999998</v>
      </c>
      <c r="D366">
        <v>24.924308</v>
      </c>
      <c r="E366" t="s">
        <v>793</v>
      </c>
      <c r="F366" t="s">
        <v>794</v>
      </c>
    </row>
    <row r="367" spans="1:6" x14ac:dyDescent="0.25">
      <c r="A367" t="s">
        <v>513</v>
      </c>
      <c r="B367" t="s">
        <v>777</v>
      </c>
      <c r="C367">
        <v>0.45116099999999998</v>
      </c>
      <c r="D367">
        <v>17.265761000000001</v>
      </c>
      <c r="E367" t="s">
        <v>795</v>
      </c>
      <c r="F367" t="s">
        <v>796</v>
      </c>
    </row>
    <row r="368" spans="1:6" x14ac:dyDescent="0.25">
      <c r="A368" t="s">
        <v>501</v>
      </c>
      <c r="B368" t="s">
        <v>768</v>
      </c>
      <c r="C368">
        <v>-12.560556999999999</v>
      </c>
      <c r="D368">
        <v>13.204014000000001</v>
      </c>
      <c r="E368" t="s">
        <v>795</v>
      </c>
      <c r="F368" t="s">
        <v>794</v>
      </c>
    </row>
    <row r="369" spans="1:6" x14ac:dyDescent="0.25">
      <c r="A369" t="s">
        <v>275</v>
      </c>
      <c r="B369" t="s">
        <v>770</v>
      </c>
      <c r="C369">
        <v>-4.8128659999999996</v>
      </c>
      <c r="D369">
        <v>18.559304999999998</v>
      </c>
      <c r="E369" t="s">
        <v>793</v>
      </c>
      <c r="F369" t="s">
        <v>798</v>
      </c>
    </row>
    <row r="370" spans="1:6" x14ac:dyDescent="0.25">
      <c r="A370" t="s">
        <v>903</v>
      </c>
      <c r="B370" t="s">
        <v>777</v>
      </c>
      <c r="C370">
        <v>0.89302999999999999</v>
      </c>
      <c r="D370">
        <v>21.238310999999999</v>
      </c>
      <c r="E370" t="s">
        <v>793</v>
      </c>
      <c r="F370" t="s">
        <v>796</v>
      </c>
    </row>
    <row r="371" spans="1:6" x14ac:dyDescent="0.25">
      <c r="A371" t="s">
        <v>904</v>
      </c>
      <c r="B371" t="s">
        <v>761</v>
      </c>
      <c r="C371">
        <v>2.7355830000000001</v>
      </c>
      <c r="D371">
        <v>22.006969000000002</v>
      </c>
      <c r="E371" t="s">
        <v>793</v>
      </c>
      <c r="F371" t="s">
        <v>794</v>
      </c>
    </row>
    <row r="372" spans="1:6" x14ac:dyDescent="0.25">
      <c r="A372" t="s">
        <v>131</v>
      </c>
      <c r="B372" t="s">
        <v>773</v>
      </c>
      <c r="C372">
        <v>-5.7035130000000001</v>
      </c>
      <c r="D372">
        <v>14.331479</v>
      </c>
      <c r="E372" t="s">
        <v>793</v>
      </c>
      <c r="F372" t="s">
        <v>804</v>
      </c>
    </row>
    <row r="373" spans="1:6" x14ac:dyDescent="0.25">
      <c r="A373" t="s">
        <v>753</v>
      </c>
      <c r="B373" t="s">
        <v>766</v>
      </c>
      <c r="C373">
        <v>1.217457</v>
      </c>
      <c r="D373">
        <v>25.48668</v>
      </c>
      <c r="E373" t="s">
        <v>793</v>
      </c>
      <c r="F373" t="s">
        <v>804</v>
      </c>
    </row>
    <row r="374" spans="1:6" x14ac:dyDescent="0.25">
      <c r="A374" t="s">
        <v>220</v>
      </c>
      <c r="B374" t="s">
        <v>781</v>
      </c>
      <c r="C374">
        <v>-6.3324319999999998</v>
      </c>
      <c r="D374">
        <v>24.887858000000001</v>
      </c>
      <c r="E374" t="s">
        <v>795</v>
      </c>
      <c r="F374" t="s">
        <v>798</v>
      </c>
    </row>
    <row r="375" spans="1:6" x14ac:dyDescent="0.25">
      <c r="A375" t="s">
        <v>636</v>
      </c>
      <c r="B375" t="s">
        <v>778</v>
      </c>
      <c r="C375">
        <v>-4.6426759999999998</v>
      </c>
      <c r="D375">
        <v>22.124254000000001</v>
      </c>
      <c r="E375" t="s">
        <v>795</v>
      </c>
      <c r="F375" t="s">
        <v>798</v>
      </c>
    </row>
    <row r="376" spans="1:6" x14ac:dyDescent="0.25">
      <c r="A376" t="s">
        <v>905</v>
      </c>
      <c r="B376" t="s">
        <v>781</v>
      </c>
      <c r="C376">
        <v>-1.598759</v>
      </c>
      <c r="D376">
        <v>17.553023</v>
      </c>
      <c r="E376" t="s">
        <v>795</v>
      </c>
      <c r="F376" t="s">
        <v>796</v>
      </c>
    </row>
    <row r="377" spans="1:6" x14ac:dyDescent="0.25">
      <c r="A377" t="s">
        <v>321</v>
      </c>
      <c r="B377" t="s">
        <v>776</v>
      </c>
      <c r="C377">
        <v>2.486888</v>
      </c>
      <c r="D377">
        <v>23.798074</v>
      </c>
      <c r="E377" t="s">
        <v>793</v>
      </c>
      <c r="F377" t="s">
        <v>798</v>
      </c>
    </row>
    <row r="378" spans="1:6" x14ac:dyDescent="0.25">
      <c r="A378" t="s">
        <v>906</v>
      </c>
      <c r="B378" t="s">
        <v>776</v>
      </c>
      <c r="C378">
        <v>-11.727425</v>
      </c>
      <c r="D378">
        <v>27.198173000000001</v>
      </c>
      <c r="E378" t="s">
        <v>797</v>
      </c>
      <c r="F378" t="s">
        <v>794</v>
      </c>
    </row>
    <row r="379" spans="1:6" x14ac:dyDescent="0.25">
      <c r="A379" t="s">
        <v>706</v>
      </c>
      <c r="B379" t="s">
        <v>765</v>
      </c>
      <c r="C379">
        <v>3.08182</v>
      </c>
      <c r="D379">
        <v>29.961940999999999</v>
      </c>
      <c r="E379" t="s">
        <v>795</v>
      </c>
      <c r="F379" t="s">
        <v>796</v>
      </c>
    </row>
    <row r="380" spans="1:6" x14ac:dyDescent="0.25">
      <c r="A380" t="s">
        <v>85</v>
      </c>
      <c r="B380" t="s">
        <v>778</v>
      </c>
      <c r="C380">
        <v>-7.0076900000000002</v>
      </c>
      <c r="D380">
        <v>27.367121999999998</v>
      </c>
      <c r="E380" t="s">
        <v>797</v>
      </c>
      <c r="F380" t="s">
        <v>804</v>
      </c>
    </row>
    <row r="381" spans="1:6" x14ac:dyDescent="0.25">
      <c r="A381" t="s">
        <v>907</v>
      </c>
      <c r="B381" t="s">
        <v>770</v>
      </c>
      <c r="C381">
        <v>-12.411144999999999</v>
      </c>
      <c r="D381">
        <v>29.876642</v>
      </c>
      <c r="E381" t="s">
        <v>795</v>
      </c>
      <c r="F381" t="s">
        <v>794</v>
      </c>
    </row>
    <row r="382" spans="1:6" x14ac:dyDescent="0.25">
      <c r="A382" t="s">
        <v>908</v>
      </c>
      <c r="B382" t="s">
        <v>776</v>
      </c>
      <c r="C382">
        <v>-5.3337589999999997</v>
      </c>
      <c r="D382">
        <v>13.246924</v>
      </c>
      <c r="E382" t="s">
        <v>797</v>
      </c>
      <c r="F382" t="s">
        <v>794</v>
      </c>
    </row>
    <row r="383" spans="1:6" x14ac:dyDescent="0.25">
      <c r="A383" t="s">
        <v>36</v>
      </c>
      <c r="B383" t="s">
        <v>770</v>
      </c>
      <c r="C383">
        <v>-8.1437910000000002</v>
      </c>
      <c r="D383">
        <v>28.946161</v>
      </c>
      <c r="E383" t="s">
        <v>795</v>
      </c>
      <c r="F383" t="s">
        <v>798</v>
      </c>
    </row>
    <row r="384" spans="1:6" x14ac:dyDescent="0.25">
      <c r="A384" t="s">
        <v>909</v>
      </c>
      <c r="B384" t="s">
        <v>780</v>
      </c>
      <c r="C384">
        <v>4.0297190000000001</v>
      </c>
      <c r="D384">
        <v>20.699608000000001</v>
      </c>
      <c r="E384" t="s">
        <v>795</v>
      </c>
      <c r="F384" t="s">
        <v>794</v>
      </c>
    </row>
    <row r="385" spans="1:6" x14ac:dyDescent="0.25">
      <c r="A385" t="s">
        <v>910</v>
      </c>
      <c r="B385" t="s">
        <v>770</v>
      </c>
      <c r="C385">
        <v>-3.2361680000000002</v>
      </c>
      <c r="D385">
        <v>13.523237999999999</v>
      </c>
      <c r="E385" t="s">
        <v>795</v>
      </c>
      <c r="F385" t="s">
        <v>796</v>
      </c>
    </row>
    <row r="386" spans="1:6" x14ac:dyDescent="0.25">
      <c r="A386" t="s">
        <v>412</v>
      </c>
      <c r="B386" t="s">
        <v>766</v>
      </c>
      <c r="C386">
        <v>1.3006180000000001</v>
      </c>
      <c r="D386">
        <v>29.060970999999999</v>
      </c>
      <c r="E386" t="s">
        <v>797</v>
      </c>
      <c r="F386" t="s">
        <v>798</v>
      </c>
    </row>
    <row r="387" spans="1:6" x14ac:dyDescent="0.25">
      <c r="A387" t="s">
        <v>911</v>
      </c>
      <c r="B387" t="s">
        <v>778</v>
      </c>
      <c r="C387">
        <v>1.178453</v>
      </c>
      <c r="D387">
        <v>17.479081000000001</v>
      </c>
      <c r="E387" t="s">
        <v>797</v>
      </c>
      <c r="F387" t="s">
        <v>794</v>
      </c>
    </row>
    <row r="388" spans="1:6" x14ac:dyDescent="0.25">
      <c r="A388" t="s">
        <v>912</v>
      </c>
      <c r="B388" t="s">
        <v>783</v>
      </c>
      <c r="C388">
        <v>-11.542737000000001</v>
      </c>
      <c r="D388">
        <v>30.175912</v>
      </c>
      <c r="E388" t="s">
        <v>795</v>
      </c>
      <c r="F388" t="s">
        <v>804</v>
      </c>
    </row>
    <row r="389" spans="1:6" x14ac:dyDescent="0.25">
      <c r="A389" t="s">
        <v>564</v>
      </c>
      <c r="B389" t="s">
        <v>783</v>
      </c>
      <c r="C389">
        <v>2.8552499999999998</v>
      </c>
      <c r="D389">
        <v>14.077933</v>
      </c>
      <c r="E389" t="s">
        <v>795</v>
      </c>
      <c r="F389" t="s">
        <v>798</v>
      </c>
    </row>
    <row r="390" spans="1:6" x14ac:dyDescent="0.25">
      <c r="A390" t="s">
        <v>913</v>
      </c>
      <c r="B390" t="s">
        <v>777</v>
      </c>
      <c r="C390">
        <v>0.24369399999999999</v>
      </c>
      <c r="D390">
        <v>17.242912</v>
      </c>
      <c r="E390" t="s">
        <v>795</v>
      </c>
      <c r="F390" t="s">
        <v>804</v>
      </c>
    </row>
    <row r="391" spans="1:6" x14ac:dyDescent="0.25">
      <c r="A391" t="s">
        <v>914</v>
      </c>
      <c r="B391" t="s">
        <v>781</v>
      </c>
      <c r="C391">
        <v>-12.013389999999999</v>
      </c>
      <c r="D391">
        <v>25.24456</v>
      </c>
      <c r="E391" t="s">
        <v>797</v>
      </c>
      <c r="F391" t="s">
        <v>796</v>
      </c>
    </row>
    <row r="392" spans="1:6" x14ac:dyDescent="0.25">
      <c r="A392" t="s">
        <v>231</v>
      </c>
      <c r="B392" t="s">
        <v>779</v>
      </c>
      <c r="C392">
        <v>4.0157999999999996</v>
      </c>
      <c r="D392">
        <v>21.430246</v>
      </c>
      <c r="E392" t="s">
        <v>793</v>
      </c>
      <c r="F392" t="s">
        <v>804</v>
      </c>
    </row>
    <row r="393" spans="1:6" x14ac:dyDescent="0.25">
      <c r="A393" t="s">
        <v>359</v>
      </c>
      <c r="B393" t="s">
        <v>764</v>
      </c>
      <c r="C393">
        <v>-0.85624699999999998</v>
      </c>
      <c r="D393">
        <v>28.624870000000001</v>
      </c>
      <c r="E393" t="s">
        <v>797</v>
      </c>
      <c r="F393" t="s">
        <v>794</v>
      </c>
    </row>
    <row r="394" spans="1:6" x14ac:dyDescent="0.25">
      <c r="A394" t="s">
        <v>677</v>
      </c>
      <c r="B394" t="s">
        <v>783</v>
      </c>
      <c r="C394">
        <v>2.9836019999999999</v>
      </c>
      <c r="D394">
        <v>21.893065</v>
      </c>
      <c r="E394" t="s">
        <v>793</v>
      </c>
      <c r="F394" t="s">
        <v>804</v>
      </c>
    </row>
    <row r="395" spans="1:6" x14ac:dyDescent="0.25">
      <c r="A395" t="s">
        <v>329</v>
      </c>
      <c r="B395" t="s">
        <v>778</v>
      </c>
      <c r="C395">
        <v>-11.002602</v>
      </c>
      <c r="D395">
        <v>23.918247999999998</v>
      </c>
      <c r="E395" t="s">
        <v>793</v>
      </c>
      <c r="F395" t="s">
        <v>798</v>
      </c>
    </row>
    <row r="396" spans="1:6" x14ac:dyDescent="0.25">
      <c r="A396" t="s">
        <v>915</v>
      </c>
      <c r="B396" t="s">
        <v>764</v>
      </c>
      <c r="C396">
        <v>-6.419365</v>
      </c>
      <c r="D396">
        <v>17.570219000000002</v>
      </c>
      <c r="E396" t="s">
        <v>795</v>
      </c>
      <c r="F396" t="s">
        <v>796</v>
      </c>
    </row>
    <row r="397" spans="1:6" x14ac:dyDescent="0.25">
      <c r="A397" t="s">
        <v>196</v>
      </c>
      <c r="B397" t="s">
        <v>769</v>
      </c>
      <c r="C397">
        <v>-1.8555980000000001</v>
      </c>
      <c r="D397">
        <v>30.421918000000002</v>
      </c>
      <c r="E397" t="s">
        <v>797</v>
      </c>
      <c r="F397" t="s">
        <v>798</v>
      </c>
    </row>
    <row r="398" spans="1:6" x14ac:dyDescent="0.25">
      <c r="A398" t="s">
        <v>323</v>
      </c>
      <c r="B398" t="s">
        <v>777</v>
      </c>
      <c r="C398">
        <v>-6.4197189999999997</v>
      </c>
      <c r="D398">
        <v>22.287264</v>
      </c>
      <c r="E398" t="s">
        <v>797</v>
      </c>
      <c r="F398" t="s">
        <v>794</v>
      </c>
    </row>
    <row r="399" spans="1:6" x14ac:dyDescent="0.25">
      <c r="A399" t="s">
        <v>916</v>
      </c>
      <c r="B399" t="s">
        <v>782</v>
      </c>
      <c r="C399">
        <v>-9.8451869999999992</v>
      </c>
      <c r="D399">
        <v>14.508520000000001</v>
      </c>
      <c r="E399" t="s">
        <v>793</v>
      </c>
      <c r="F399" t="s">
        <v>804</v>
      </c>
    </row>
    <row r="400" spans="1:6" x14ac:dyDescent="0.25">
      <c r="A400" t="s">
        <v>67</v>
      </c>
      <c r="B400" t="s">
        <v>782</v>
      </c>
      <c r="C400">
        <v>-2.9417719999999998</v>
      </c>
      <c r="D400">
        <v>18.587305000000001</v>
      </c>
      <c r="E400" t="s">
        <v>793</v>
      </c>
      <c r="F400" t="s">
        <v>794</v>
      </c>
    </row>
    <row r="401" spans="1:6" x14ac:dyDescent="0.25">
      <c r="A401" t="s">
        <v>405</v>
      </c>
      <c r="B401" t="s">
        <v>763</v>
      </c>
      <c r="C401">
        <v>-11.793894</v>
      </c>
      <c r="D401">
        <v>20.433340999999999</v>
      </c>
      <c r="E401" t="s">
        <v>793</v>
      </c>
      <c r="F401" t="s">
        <v>804</v>
      </c>
    </row>
    <row r="402" spans="1:6" x14ac:dyDescent="0.25">
      <c r="A402" t="s">
        <v>917</v>
      </c>
      <c r="B402" t="s">
        <v>776</v>
      </c>
      <c r="C402">
        <v>0.114899</v>
      </c>
      <c r="D402">
        <v>30.510916000000002</v>
      </c>
      <c r="E402" t="s">
        <v>797</v>
      </c>
      <c r="F402" t="s">
        <v>804</v>
      </c>
    </row>
    <row r="403" spans="1:6" x14ac:dyDescent="0.25">
      <c r="A403" t="s">
        <v>64</v>
      </c>
      <c r="B403" t="s">
        <v>782</v>
      </c>
      <c r="C403">
        <v>-5.5445120000000001</v>
      </c>
      <c r="D403">
        <v>27.547335</v>
      </c>
      <c r="E403" t="s">
        <v>795</v>
      </c>
      <c r="F403" t="s">
        <v>794</v>
      </c>
    </row>
    <row r="404" spans="1:6" x14ac:dyDescent="0.25">
      <c r="A404" t="s">
        <v>382</v>
      </c>
      <c r="B404" t="s">
        <v>779</v>
      </c>
      <c r="C404">
        <v>2.0392079999999999</v>
      </c>
      <c r="D404">
        <v>19.090841999999999</v>
      </c>
      <c r="E404" t="s">
        <v>795</v>
      </c>
      <c r="F404" t="s">
        <v>804</v>
      </c>
    </row>
    <row r="405" spans="1:6" x14ac:dyDescent="0.25">
      <c r="A405" t="s">
        <v>22</v>
      </c>
      <c r="B405" t="s">
        <v>773</v>
      </c>
      <c r="C405">
        <v>-2.2371569999999998</v>
      </c>
      <c r="D405">
        <v>25.926188</v>
      </c>
      <c r="E405" t="s">
        <v>797</v>
      </c>
      <c r="F405" t="s">
        <v>804</v>
      </c>
    </row>
    <row r="406" spans="1:6" x14ac:dyDescent="0.25">
      <c r="A406" t="s">
        <v>133</v>
      </c>
      <c r="B406" t="s">
        <v>768</v>
      </c>
      <c r="C406">
        <v>-10.414493</v>
      </c>
      <c r="D406">
        <v>12.333356999999999</v>
      </c>
      <c r="E406" t="s">
        <v>797</v>
      </c>
      <c r="F406" t="s">
        <v>794</v>
      </c>
    </row>
    <row r="407" spans="1:6" x14ac:dyDescent="0.25">
      <c r="A407" t="s">
        <v>176</v>
      </c>
      <c r="B407" t="s">
        <v>766</v>
      </c>
      <c r="C407">
        <v>-7.5418399999999997</v>
      </c>
      <c r="D407">
        <v>16.931206</v>
      </c>
      <c r="E407" t="s">
        <v>797</v>
      </c>
      <c r="F407" t="s">
        <v>804</v>
      </c>
    </row>
    <row r="408" spans="1:6" x14ac:dyDescent="0.25">
      <c r="A408" t="s">
        <v>918</v>
      </c>
      <c r="B408" t="s">
        <v>784</v>
      </c>
      <c r="C408">
        <v>4.7908840000000001</v>
      </c>
      <c r="D408">
        <v>23.051435000000001</v>
      </c>
      <c r="E408" t="s">
        <v>797</v>
      </c>
      <c r="F408" t="s">
        <v>804</v>
      </c>
    </row>
    <row r="409" spans="1:6" x14ac:dyDescent="0.25">
      <c r="A409" t="s">
        <v>691</v>
      </c>
      <c r="B409" t="s">
        <v>775</v>
      </c>
      <c r="C409">
        <v>-3.544581</v>
      </c>
      <c r="D409">
        <v>14.776605</v>
      </c>
      <c r="E409" t="s">
        <v>795</v>
      </c>
      <c r="F409" t="s">
        <v>804</v>
      </c>
    </row>
    <row r="410" spans="1:6" x14ac:dyDescent="0.25">
      <c r="A410" t="s">
        <v>341</v>
      </c>
      <c r="B410" t="s">
        <v>761</v>
      </c>
      <c r="C410">
        <v>-6.9624990000000002</v>
      </c>
      <c r="D410">
        <v>20.759834999999999</v>
      </c>
      <c r="E410" t="s">
        <v>795</v>
      </c>
      <c r="F410" t="s">
        <v>796</v>
      </c>
    </row>
    <row r="411" spans="1:6" x14ac:dyDescent="0.25">
      <c r="A411" t="s">
        <v>919</v>
      </c>
      <c r="B411" t="s">
        <v>767</v>
      </c>
      <c r="C411">
        <v>3.796754</v>
      </c>
      <c r="D411">
        <v>25.172377999999998</v>
      </c>
      <c r="E411" t="s">
        <v>795</v>
      </c>
      <c r="F411" t="s">
        <v>796</v>
      </c>
    </row>
    <row r="412" spans="1:6" x14ac:dyDescent="0.25">
      <c r="A412" t="s">
        <v>145</v>
      </c>
      <c r="B412" t="s">
        <v>767</v>
      </c>
      <c r="C412">
        <v>-2.3677800000000002</v>
      </c>
      <c r="D412">
        <v>18.790323999999998</v>
      </c>
      <c r="E412" t="s">
        <v>793</v>
      </c>
      <c r="F412" t="s">
        <v>796</v>
      </c>
    </row>
    <row r="413" spans="1:6" x14ac:dyDescent="0.25">
      <c r="A413" t="s">
        <v>920</v>
      </c>
      <c r="B413" t="s">
        <v>784</v>
      </c>
      <c r="C413">
        <v>-6.236097</v>
      </c>
      <c r="D413">
        <v>13.004878</v>
      </c>
      <c r="E413" t="s">
        <v>795</v>
      </c>
      <c r="F413" t="s">
        <v>794</v>
      </c>
    </row>
    <row r="414" spans="1:6" x14ac:dyDescent="0.25">
      <c r="A414" t="s">
        <v>921</v>
      </c>
      <c r="B414" t="s">
        <v>764</v>
      </c>
      <c r="C414">
        <v>-12.88086</v>
      </c>
      <c r="D414">
        <v>18.862106000000001</v>
      </c>
      <c r="E414" t="s">
        <v>797</v>
      </c>
      <c r="F414" t="s">
        <v>804</v>
      </c>
    </row>
    <row r="415" spans="1:6" x14ac:dyDescent="0.25">
      <c r="A415" t="s">
        <v>922</v>
      </c>
      <c r="B415" t="s">
        <v>769</v>
      </c>
      <c r="C415">
        <v>-1.501492</v>
      </c>
      <c r="D415">
        <v>24.088695999999999</v>
      </c>
      <c r="E415" t="s">
        <v>795</v>
      </c>
      <c r="F415" t="s">
        <v>804</v>
      </c>
    </row>
    <row r="416" spans="1:6" x14ac:dyDescent="0.25">
      <c r="A416" t="s">
        <v>638</v>
      </c>
      <c r="B416" t="s">
        <v>768</v>
      </c>
      <c r="C416">
        <v>-8.0800809999999998</v>
      </c>
      <c r="D416">
        <v>30.147970999999998</v>
      </c>
      <c r="E416" t="s">
        <v>793</v>
      </c>
      <c r="F416" t="s">
        <v>796</v>
      </c>
    </row>
    <row r="417" spans="1:6" x14ac:dyDescent="0.25">
      <c r="A417" t="s">
        <v>923</v>
      </c>
      <c r="B417" t="s">
        <v>777</v>
      </c>
      <c r="C417">
        <v>-9.8519260000000006</v>
      </c>
      <c r="D417">
        <v>12.925583</v>
      </c>
      <c r="E417" t="s">
        <v>793</v>
      </c>
      <c r="F417" t="s">
        <v>794</v>
      </c>
    </row>
    <row r="418" spans="1:6" x14ac:dyDescent="0.25">
      <c r="A418" t="s">
        <v>156</v>
      </c>
      <c r="B418" t="s">
        <v>765</v>
      </c>
      <c r="C418">
        <v>-4.6818410000000004</v>
      </c>
      <c r="D418">
        <v>17.541618</v>
      </c>
      <c r="E418" t="s">
        <v>795</v>
      </c>
      <c r="F418" t="s">
        <v>794</v>
      </c>
    </row>
    <row r="419" spans="1:6" x14ac:dyDescent="0.25">
      <c r="A419" t="s">
        <v>924</v>
      </c>
      <c r="B419" t="s">
        <v>772</v>
      </c>
      <c r="C419">
        <v>-2.7775059999999998</v>
      </c>
      <c r="D419">
        <v>24.139983999999998</v>
      </c>
      <c r="E419" t="s">
        <v>797</v>
      </c>
      <c r="F419" t="s">
        <v>794</v>
      </c>
    </row>
    <row r="420" spans="1:6" x14ac:dyDescent="0.25">
      <c r="A420" t="s">
        <v>720</v>
      </c>
      <c r="B420" t="s">
        <v>772</v>
      </c>
      <c r="C420">
        <v>3.4676979999999999</v>
      </c>
      <c r="D420">
        <v>13.459707</v>
      </c>
      <c r="E420" t="s">
        <v>793</v>
      </c>
      <c r="F420" t="s">
        <v>796</v>
      </c>
    </row>
    <row r="421" spans="1:6" x14ac:dyDescent="0.25">
      <c r="A421" t="s">
        <v>339</v>
      </c>
      <c r="B421" t="s">
        <v>764</v>
      </c>
      <c r="C421">
        <v>-9.4133639999999996</v>
      </c>
      <c r="D421">
        <v>15.682482</v>
      </c>
      <c r="E421" t="s">
        <v>795</v>
      </c>
      <c r="F421" t="s">
        <v>796</v>
      </c>
    </row>
    <row r="422" spans="1:6" x14ac:dyDescent="0.25">
      <c r="A422" t="s">
        <v>531</v>
      </c>
      <c r="B422" t="s">
        <v>783</v>
      </c>
      <c r="C422">
        <v>1.981107</v>
      </c>
      <c r="D422">
        <v>23.932569000000001</v>
      </c>
      <c r="E422" t="s">
        <v>797</v>
      </c>
      <c r="F422" t="s">
        <v>804</v>
      </c>
    </row>
    <row r="423" spans="1:6" x14ac:dyDescent="0.25">
      <c r="A423" t="s">
        <v>407</v>
      </c>
      <c r="B423" t="s">
        <v>767</v>
      </c>
      <c r="C423">
        <v>-7.789663</v>
      </c>
      <c r="D423">
        <v>26.529098000000001</v>
      </c>
      <c r="E423" t="s">
        <v>793</v>
      </c>
      <c r="F423" t="s">
        <v>804</v>
      </c>
    </row>
    <row r="424" spans="1:6" x14ac:dyDescent="0.25">
      <c r="A424" t="s">
        <v>311</v>
      </c>
      <c r="B424" t="s">
        <v>771</v>
      </c>
      <c r="C424">
        <v>-4.1694589999999998</v>
      </c>
      <c r="D424">
        <v>23.376487000000001</v>
      </c>
      <c r="E424" t="s">
        <v>797</v>
      </c>
      <c r="F424" t="s">
        <v>804</v>
      </c>
    </row>
    <row r="425" spans="1:6" x14ac:dyDescent="0.25">
      <c r="A425" t="s">
        <v>101</v>
      </c>
      <c r="B425" t="s">
        <v>769</v>
      </c>
      <c r="C425">
        <v>1.8103860000000001</v>
      </c>
      <c r="D425">
        <v>15.175582</v>
      </c>
      <c r="E425" t="s">
        <v>797</v>
      </c>
      <c r="F425" t="s">
        <v>796</v>
      </c>
    </row>
    <row r="426" spans="1:6" x14ac:dyDescent="0.25">
      <c r="A426" t="s">
        <v>623</v>
      </c>
      <c r="B426" t="s">
        <v>780</v>
      </c>
      <c r="C426">
        <v>-7.5641280000000002</v>
      </c>
      <c r="D426">
        <v>18.129529999999999</v>
      </c>
      <c r="E426" t="s">
        <v>797</v>
      </c>
      <c r="F426" t="s">
        <v>796</v>
      </c>
    </row>
    <row r="427" spans="1:6" x14ac:dyDescent="0.25">
      <c r="A427" t="s">
        <v>35</v>
      </c>
      <c r="B427" t="s">
        <v>763</v>
      </c>
      <c r="C427">
        <v>-2.4662510000000002</v>
      </c>
      <c r="D427">
        <v>18.007998000000001</v>
      </c>
      <c r="E427" t="s">
        <v>793</v>
      </c>
      <c r="F427" t="s">
        <v>794</v>
      </c>
    </row>
    <row r="428" spans="1:6" x14ac:dyDescent="0.25">
      <c r="A428" t="s">
        <v>925</v>
      </c>
      <c r="B428" t="s">
        <v>778</v>
      </c>
      <c r="C428">
        <v>-4.1061909999999999</v>
      </c>
      <c r="D428">
        <v>28.054902999999999</v>
      </c>
      <c r="E428" t="s">
        <v>797</v>
      </c>
      <c r="F428" t="s">
        <v>796</v>
      </c>
    </row>
    <row r="429" spans="1:6" x14ac:dyDescent="0.25">
      <c r="A429" t="s">
        <v>287</v>
      </c>
      <c r="B429" t="s">
        <v>771</v>
      </c>
      <c r="C429">
        <v>0.31740800000000002</v>
      </c>
      <c r="D429">
        <v>27.197666999999999</v>
      </c>
      <c r="E429" t="s">
        <v>793</v>
      </c>
      <c r="F429" t="s">
        <v>804</v>
      </c>
    </row>
    <row r="430" spans="1:6" x14ac:dyDescent="0.25">
      <c r="A430" t="s">
        <v>534</v>
      </c>
      <c r="B430" t="s">
        <v>769</v>
      </c>
      <c r="C430">
        <v>-8.9586360000000003</v>
      </c>
      <c r="D430">
        <v>17.157720000000001</v>
      </c>
      <c r="E430" t="s">
        <v>797</v>
      </c>
      <c r="F430" t="s">
        <v>804</v>
      </c>
    </row>
    <row r="431" spans="1:6" x14ac:dyDescent="0.25">
      <c r="A431" t="s">
        <v>273</v>
      </c>
      <c r="B431" t="s">
        <v>771</v>
      </c>
      <c r="C431">
        <v>1.2419519999999999</v>
      </c>
      <c r="D431">
        <v>25.261382999999999</v>
      </c>
      <c r="E431" t="s">
        <v>795</v>
      </c>
      <c r="F431" t="s">
        <v>796</v>
      </c>
    </row>
    <row r="432" spans="1:6" x14ac:dyDescent="0.25">
      <c r="A432" t="s">
        <v>658</v>
      </c>
      <c r="B432" t="s">
        <v>766</v>
      </c>
      <c r="C432">
        <v>-10.227569000000001</v>
      </c>
      <c r="D432">
        <v>18.887930999999998</v>
      </c>
      <c r="E432" t="s">
        <v>797</v>
      </c>
      <c r="F432" t="s">
        <v>798</v>
      </c>
    </row>
    <row r="433" spans="1:6" x14ac:dyDescent="0.25">
      <c r="A433" t="s">
        <v>235</v>
      </c>
      <c r="B433" t="s">
        <v>785</v>
      </c>
      <c r="C433">
        <v>-7.5969509999999998</v>
      </c>
      <c r="D433">
        <v>22.153986</v>
      </c>
      <c r="E433" t="s">
        <v>797</v>
      </c>
      <c r="F433" t="s">
        <v>794</v>
      </c>
    </row>
    <row r="434" spans="1:6" x14ac:dyDescent="0.25">
      <c r="A434" t="s">
        <v>542</v>
      </c>
      <c r="B434" t="s">
        <v>771</v>
      </c>
      <c r="C434">
        <v>-1.4700059999999999</v>
      </c>
      <c r="D434">
        <v>18.680958</v>
      </c>
      <c r="E434" t="s">
        <v>797</v>
      </c>
      <c r="F434" t="s">
        <v>796</v>
      </c>
    </row>
    <row r="435" spans="1:6" x14ac:dyDescent="0.25">
      <c r="A435" t="s">
        <v>264</v>
      </c>
      <c r="B435" t="s">
        <v>771</v>
      </c>
      <c r="C435">
        <v>-1.5419050000000001</v>
      </c>
      <c r="D435">
        <v>14.730632999999999</v>
      </c>
      <c r="E435" t="s">
        <v>797</v>
      </c>
      <c r="F435" t="s">
        <v>798</v>
      </c>
    </row>
    <row r="436" spans="1:6" x14ac:dyDescent="0.25">
      <c r="A436" t="s">
        <v>644</v>
      </c>
      <c r="B436" t="s">
        <v>785</v>
      </c>
      <c r="C436">
        <v>-10.764815</v>
      </c>
      <c r="D436">
        <v>14.602039</v>
      </c>
      <c r="E436" t="s">
        <v>795</v>
      </c>
      <c r="F436" t="s">
        <v>804</v>
      </c>
    </row>
    <row r="437" spans="1:6" x14ac:dyDescent="0.25">
      <c r="A437" t="s">
        <v>303</v>
      </c>
      <c r="B437" t="s">
        <v>761</v>
      </c>
      <c r="C437">
        <v>-1.013558</v>
      </c>
      <c r="D437">
        <v>17.346937</v>
      </c>
      <c r="E437" t="s">
        <v>793</v>
      </c>
      <c r="F437" t="s">
        <v>796</v>
      </c>
    </row>
    <row r="438" spans="1:6" x14ac:dyDescent="0.25">
      <c r="A438" t="s">
        <v>641</v>
      </c>
      <c r="B438" t="s">
        <v>775</v>
      </c>
      <c r="C438">
        <v>-7.8215969999999997</v>
      </c>
      <c r="D438">
        <v>26.797349000000001</v>
      </c>
      <c r="E438" t="s">
        <v>797</v>
      </c>
      <c r="F438" t="s">
        <v>794</v>
      </c>
    </row>
    <row r="439" spans="1:6" x14ac:dyDescent="0.25">
      <c r="A439" t="s">
        <v>81</v>
      </c>
      <c r="B439" t="s">
        <v>784</v>
      </c>
      <c r="C439">
        <v>-9.7712979999999998</v>
      </c>
      <c r="D439">
        <v>19.827895999999999</v>
      </c>
      <c r="E439" t="s">
        <v>797</v>
      </c>
      <c r="F439" t="s">
        <v>798</v>
      </c>
    </row>
    <row r="440" spans="1:6" x14ac:dyDescent="0.25">
      <c r="A440" t="s">
        <v>926</v>
      </c>
      <c r="B440" t="s">
        <v>768</v>
      </c>
      <c r="C440">
        <v>3.3222779999999998</v>
      </c>
      <c r="D440">
        <v>29.497240000000001</v>
      </c>
      <c r="E440" t="s">
        <v>797</v>
      </c>
      <c r="F440" t="s">
        <v>798</v>
      </c>
    </row>
    <row r="441" spans="1:6" x14ac:dyDescent="0.25">
      <c r="A441" t="s">
        <v>530</v>
      </c>
      <c r="B441" t="s">
        <v>781</v>
      </c>
      <c r="C441">
        <v>-1.3938550000000001</v>
      </c>
      <c r="D441">
        <v>15.097554000000001</v>
      </c>
      <c r="E441" t="s">
        <v>795</v>
      </c>
      <c r="F441" t="s">
        <v>796</v>
      </c>
    </row>
    <row r="442" spans="1:6" x14ac:dyDescent="0.25">
      <c r="A442" t="s">
        <v>437</v>
      </c>
      <c r="B442" t="s">
        <v>761</v>
      </c>
      <c r="C442">
        <v>-12.488033</v>
      </c>
      <c r="D442">
        <v>16.139648000000001</v>
      </c>
      <c r="E442" t="s">
        <v>795</v>
      </c>
      <c r="F442" t="s">
        <v>796</v>
      </c>
    </row>
    <row r="443" spans="1:6" x14ac:dyDescent="0.25">
      <c r="A443" t="s">
        <v>927</v>
      </c>
      <c r="B443" t="s">
        <v>781</v>
      </c>
      <c r="C443">
        <v>0.76493</v>
      </c>
      <c r="D443">
        <v>21.564274999999999</v>
      </c>
      <c r="E443" t="s">
        <v>797</v>
      </c>
      <c r="F443" t="s">
        <v>798</v>
      </c>
    </row>
    <row r="444" spans="1:6" x14ac:dyDescent="0.25">
      <c r="A444" t="s">
        <v>293</v>
      </c>
      <c r="B444" t="s">
        <v>778</v>
      </c>
      <c r="C444">
        <v>-4.1250960000000001</v>
      </c>
      <c r="D444">
        <v>27.799897999999999</v>
      </c>
      <c r="E444" t="s">
        <v>797</v>
      </c>
      <c r="F444" t="s">
        <v>804</v>
      </c>
    </row>
    <row r="445" spans="1:6" x14ac:dyDescent="0.25">
      <c r="A445" t="s">
        <v>77</v>
      </c>
      <c r="B445" t="s">
        <v>782</v>
      </c>
      <c r="C445">
        <v>4.4712560000000003</v>
      </c>
      <c r="D445">
        <v>27.107028</v>
      </c>
      <c r="E445" t="s">
        <v>797</v>
      </c>
      <c r="F445" t="s">
        <v>794</v>
      </c>
    </row>
    <row r="446" spans="1:6" x14ac:dyDescent="0.25">
      <c r="A446" t="s">
        <v>565</v>
      </c>
      <c r="B446" t="s">
        <v>761</v>
      </c>
      <c r="C446">
        <v>-2.2199559999999998</v>
      </c>
      <c r="D446">
        <v>22.614449</v>
      </c>
      <c r="E446" t="s">
        <v>797</v>
      </c>
      <c r="F446" t="s">
        <v>804</v>
      </c>
    </row>
    <row r="447" spans="1:6" x14ac:dyDescent="0.25">
      <c r="A447" t="s">
        <v>360</v>
      </c>
      <c r="B447" t="s">
        <v>785</v>
      </c>
      <c r="C447">
        <v>-6.4883290000000002</v>
      </c>
      <c r="D447">
        <v>25.103404000000001</v>
      </c>
      <c r="E447" t="s">
        <v>793</v>
      </c>
      <c r="F447" t="s">
        <v>798</v>
      </c>
    </row>
    <row r="448" spans="1:6" x14ac:dyDescent="0.25">
      <c r="A448" t="s">
        <v>199</v>
      </c>
      <c r="B448" t="s">
        <v>774</v>
      </c>
      <c r="C448">
        <v>-4.351254</v>
      </c>
      <c r="D448">
        <v>30.097408999999999</v>
      </c>
      <c r="E448" t="s">
        <v>793</v>
      </c>
      <c r="F448" t="s">
        <v>804</v>
      </c>
    </row>
    <row r="449" spans="1:6" x14ac:dyDescent="0.25">
      <c r="A449" t="s">
        <v>621</v>
      </c>
      <c r="B449" t="s">
        <v>782</v>
      </c>
      <c r="C449">
        <v>-5.1507670000000001</v>
      </c>
      <c r="D449">
        <v>28.075324999999999</v>
      </c>
      <c r="E449" t="s">
        <v>793</v>
      </c>
      <c r="F449" t="s">
        <v>796</v>
      </c>
    </row>
    <row r="450" spans="1:6" x14ac:dyDescent="0.25">
      <c r="A450" t="s">
        <v>928</v>
      </c>
      <c r="B450" t="s">
        <v>781</v>
      </c>
      <c r="C450">
        <v>-8.3575920000000004</v>
      </c>
      <c r="D450">
        <v>25.538395000000001</v>
      </c>
      <c r="E450" t="s">
        <v>797</v>
      </c>
      <c r="F450" t="s">
        <v>798</v>
      </c>
    </row>
    <row r="451" spans="1:6" x14ac:dyDescent="0.25">
      <c r="A451" t="s">
        <v>929</v>
      </c>
      <c r="B451" t="s">
        <v>778</v>
      </c>
      <c r="C451">
        <v>-0.65356899999999996</v>
      </c>
      <c r="D451">
        <v>25.343032999999998</v>
      </c>
      <c r="E451" t="s">
        <v>795</v>
      </c>
      <c r="F451" t="s">
        <v>794</v>
      </c>
    </row>
    <row r="452" spans="1:6" x14ac:dyDescent="0.25">
      <c r="A452" t="s">
        <v>930</v>
      </c>
      <c r="B452" t="s">
        <v>783</v>
      </c>
      <c r="C452">
        <v>-2.290705</v>
      </c>
      <c r="D452">
        <v>19.150395</v>
      </c>
      <c r="E452" t="s">
        <v>793</v>
      </c>
      <c r="F452" t="s">
        <v>794</v>
      </c>
    </row>
    <row r="453" spans="1:6" x14ac:dyDescent="0.25">
      <c r="A453" t="s">
        <v>17</v>
      </c>
      <c r="B453" t="s">
        <v>784</v>
      </c>
      <c r="C453">
        <v>4.8319039999999998</v>
      </c>
      <c r="D453">
        <v>20.733468999999999</v>
      </c>
      <c r="E453" t="s">
        <v>793</v>
      </c>
      <c r="F453" t="s">
        <v>794</v>
      </c>
    </row>
    <row r="454" spans="1:6" x14ac:dyDescent="0.25">
      <c r="A454" t="s">
        <v>931</v>
      </c>
      <c r="B454" t="s">
        <v>765</v>
      </c>
      <c r="C454">
        <v>-10.790281</v>
      </c>
      <c r="D454">
        <v>12.624336</v>
      </c>
      <c r="E454" t="s">
        <v>795</v>
      </c>
      <c r="F454" t="s">
        <v>804</v>
      </c>
    </row>
    <row r="455" spans="1:6" x14ac:dyDescent="0.25">
      <c r="A455" t="s">
        <v>932</v>
      </c>
      <c r="B455" t="s">
        <v>777</v>
      </c>
      <c r="C455">
        <v>2.0859640000000002</v>
      </c>
      <c r="D455">
        <v>22.576664000000001</v>
      </c>
      <c r="E455" t="s">
        <v>795</v>
      </c>
      <c r="F455" t="s">
        <v>798</v>
      </c>
    </row>
    <row r="456" spans="1:6" x14ac:dyDescent="0.25">
      <c r="A456" t="s">
        <v>445</v>
      </c>
      <c r="B456" t="s">
        <v>762</v>
      </c>
      <c r="C456">
        <v>5.3608999999999997E-2</v>
      </c>
      <c r="D456">
        <v>28.346852999999999</v>
      </c>
      <c r="E456" t="s">
        <v>797</v>
      </c>
      <c r="F456" t="s">
        <v>798</v>
      </c>
    </row>
    <row r="457" spans="1:6" x14ac:dyDescent="0.25">
      <c r="A457" t="s">
        <v>495</v>
      </c>
      <c r="B457" t="s">
        <v>769</v>
      </c>
      <c r="C457">
        <v>-7.9866700000000002</v>
      </c>
      <c r="D457">
        <v>17.757847000000002</v>
      </c>
      <c r="E457" t="s">
        <v>793</v>
      </c>
      <c r="F457" t="s">
        <v>796</v>
      </c>
    </row>
    <row r="458" spans="1:6" x14ac:dyDescent="0.25">
      <c r="A458" t="s">
        <v>550</v>
      </c>
      <c r="B458" t="s">
        <v>785</v>
      </c>
      <c r="C458">
        <v>-0.157111</v>
      </c>
      <c r="D458">
        <v>25.415125</v>
      </c>
      <c r="E458" t="s">
        <v>795</v>
      </c>
      <c r="F458" t="s">
        <v>794</v>
      </c>
    </row>
    <row r="459" spans="1:6" x14ac:dyDescent="0.25">
      <c r="A459" t="s">
        <v>727</v>
      </c>
      <c r="B459" t="s">
        <v>761</v>
      </c>
      <c r="C459">
        <v>-2.5254650000000001</v>
      </c>
      <c r="D459">
        <v>21.338113</v>
      </c>
      <c r="E459" t="s">
        <v>793</v>
      </c>
      <c r="F459" t="s">
        <v>804</v>
      </c>
    </row>
    <row r="460" spans="1:6" x14ac:dyDescent="0.25">
      <c r="A460" t="s">
        <v>368</v>
      </c>
      <c r="B460" t="s">
        <v>772</v>
      </c>
      <c r="C460">
        <v>-8.0864899999999995</v>
      </c>
      <c r="D460">
        <v>14.555277</v>
      </c>
      <c r="E460" t="s">
        <v>797</v>
      </c>
      <c r="F460" t="s">
        <v>794</v>
      </c>
    </row>
    <row r="461" spans="1:6" x14ac:dyDescent="0.25">
      <c r="A461" t="s">
        <v>192</v>
      </c>
      <c r="B461" t="s">
        <v>781</v>
      </c>
      <c r="C461">
        <v>1.210869</v>
      </c>
      <c r="D461">
        <v>25.598741</v>
      </c>
      <c r="E461" t="s">
        <v>795</v>
      </c>
      <c r="F461" t="s">
        <v>794</v>
      </c>
    </row>
    <row r="462" spans="1:6" x14ac:dyDescent="0.25">
      <c r="A462" t="s">
        <v>308</v>
      </c>
      <c r="B462" t="s">
        <v>785</v>
      </c>
      <c r="C462">
        <v>-1.4110389999999999</v>
      </c>
      <c r="D462">
        <v>21.261644</v>
      </c>
      <c r="E462" t="s">
        <v>795</v>
      </c>
      <c r="F462" t="s">
        <v>798</v>
      </c>
    </row>
    <row r="463" spans="1:6" x14ac:dyDescent="0.25">
      <c r="A463" t="s">
        <v>654</v>
      </c>
      <c r="B463" t="s">
        <v>767</v>
      </c>
      <c r="C463">
        <v>-5.7957599999999996</v>
      </c>
      <c r="D463">
        <v>14.078258</v>
      </c>
      <c r="E463" t="s">
        <v>793</v>
      </c>
      <c r="F463" t="s">
        <v>794</v>
      </c>
    </row>
    <row r="464" spans="1:6" x14ac:dyDescent="0.25">
      <c r="A464" t="s">
        <v>143</v>
      </c>
      <c r="B464" t="s">
        <v>761</v>
      </c>
      <c r="C464">
        <v>-4.4351269999999996</v>
      </c>
      <c r="D464">
        <v>24.825467</v>
      </c>
      <c r="E464" t="s">
        <v>795</v>
      </c>
      <c r="F464" t="s">
        <v>796</v>
      </c>
    </row>
    <row r="465" spans="1:6" x14ac:dyDescent="0.25">
      <c r="A465" t="s">
        <v>933</v>
      </c>
      <c r="B465" t="s">
        <v>776</v>
      </c>
      <c r="C465">
        <v>-2.1430220000000002</v>
      </c>
      <c r="D465">
        <v>24.541492999999999</v>
      </c>
      <c r="E465" t="s">
        <v>795</v>
      </c>
      <c r="F465" t="s">
        <v>798</v>
      </c>
    </row>
    <row r="466" spans="1:6" x14ac:dyDescent="0.25">
      <c r="A466" t="s">
        <v>389</v>
      </c>
      <c r="B466" t="s">
        <v>775</v>
      </c>
      <c r="C466">
        <v>-5.7200150000000001</v>
      </c>
      <c r="D466">
        <v>25.022109</v>
      </c>
      <c r="E466" t="s">
        <v>793</v>
      </c>
      <c r="F466" t="s">
        <v>798</v>
      </c>
    </row>
    <row r="467" spans="1:6" x14ac:dyDescent="0.25">
      <c r="A467" t="s">
        <v>934</v>
      </c>
      <c r="B467" t="s">
        <v>778</v>
      </c>
      <c r="C467">
        <v>-4.2784089999999999</v>
      </c>
      <c r="D467">
        <v>22.871994000000001</v>
      </c>
      <c r="E467" t="s">
        <v>797</v>
      </c>
      <c r="F467" t="s">
        <v>794</v>
      </c>
    </row>
    <row r="468" spans="1:6" x14ac:dyDescent="0.25">
      <c r="A468" t="s">
        <v>935</v>
      </c>
      <c r="B468" t="s">
        <v>785</v>
      </c>
      <c r="C468">
        <v>-7.9799689999999996</v>
      </c>
      <c r="D468">
        <v>21.042310000000001</v>
      </c>
      <c r="E468" t="s">
        <v>795</v>
      </c>
      <c r="F468" t="s">
        <v>798</v>
      </c>
    </row>
    <row r="469" spans="1:6" x14ac:dyDescent="0.25">
      <c r="A469" t="s">
        <v>936</v>
      </c>
      <c r="B469" t="s">
        <v>778</v>
      </c>
      <c r="C469">
        <v>0.82399199999999995</v>
      </c>
      <c r="D469">
        <v>28.232678</v>
      </c>
      <c r="E469" t="s">
        <v>797</v>
      </c>
      <c r="F469" t="s">
        <v>796</v>
      </c>
    </row>
    <row r="470" spans="1:6" x14ac:dyDescent="0.25">
      <c r="A470" t="s">
        <v>937</v>
      </c>
      <c r="B470" t="s">
        <v>768</v>
      </c>
      <c r="C470">
        <v>-11.055339999999999</v>
      </c>
      <c r="D470">
        <v>21.627016000000001</v>
      </c>
      <c r="E470" t="s">
        <v>793</v>
      </c>
      <c r="F470" t="s">
        <v>804</v>
      </c>
    </row>
    <row r="471" spans="1:6" x14ac:dyDescent="0.25">
      <c r="A471" t="s">
        <v>938</v>
      </c>
      <c r="C471">
        <v>-8.4875830000000008</v>
      </c>
      <c r="D471">
        <v>19.436312000000001</v>
      </c>
      <c r="E471" t="s">
        <v>793</v>
      </c>
      <c r="F471" t="s">
        <v>796</v>
      </c>
    </row>
    <row r="472" spans="1:6" x14ac:dyDescent="0.25">
      <c r="A472" t="s">
        <v>939</v>
      </c>
      <c r="B472" t="s">
        <v>782</v>
      </c>
      <c r="C472">
        <v>-4.0490719999999998</v>
      </c>
      <c r="D472">
        <v>21.399131000000001</v>
      </c>
      <c r="E472" t="s">
        <v>797</v>
      </c>
      <c r="F472" t="s">
        <v>798</v>
      </c>
    </row>
    <row r="473" spans="1:6" x14ac:dyDescent="0.25">
      <c r="A473" t="s">
        <v>622</v>
      </c>
      <c r="B473" t="s">
        <v>777</v>
      </c>
      <c r="C473">
        <v>-1.6893210000000001</v>
      </c>
      <c r="D473">
        <v>30.446543999999999</v>
      </c>
      <c r="E473" t="s">
        <v>795</v>
      </c>
      <c r="F473" t="s">
        <v>796</v>
      </c>
    </row>
    <row r="474" spans="1:6" x14ac:dyDescent="0.25">
      <c r="A474" t="s">
        <v>283</v>
      </c>
      <c r="B474" t="s">
        <v>767</v>
      </c>
      <c r="C474">
        <v>-10.577049000000001</v>
      </c>
      <c r="D474">
        <v>23.721854</v>
      </c>
      <c r="E474" t="s">
        <v>795</v>
      </c>
      <c r="F474" t="s">
        <v>798</v>
      </c>
    </row>
    <row r="475" spans="1:6" x14ac:dyDescent="0.25">
      <c r="A475" t="s">
        <v>665</v>
      </c>
      <c r="B475" t="s">
        <v>771</v>
      </c>
      <c r="C475">
        <v>-11.207139</v>
      </c>
      <c r="D475">
        <v>18.702511999999999</v>
      </c>
      <c r="E475" t="s">
        <v>793</v>
      </c>
      <c r="F475" t="s">
        <v>794</v>
      </c>
    </row>
    <row r="476" spans="1:6" x14ac:dyDescent="0.25">
      <c r="A476" t="s">
        <v>940</v>
      </c>
      <c r="B476" t="s">
        <v>774</v>
      </c>
      <c r="C476">
        <v>-12.048655999999999</v>
      </c>
      <c r="D476">
        <v>30.577876</v>
      </c>
      <c r="E476" t="s">
        <v>793</v>
      </c>
      <c r="F476" t="s">
        <v>798</v>
      </c>
    </row>
    <row r="477" spans="1:6" x14ac:dyDescent="0.25">
      <c r="A477" t="s">
        <v>941</v>
      </c>
      <c r="B477" t="s">
        <v>766</v>
      </c>
      <c r="C477">
        <v>-11.771884</v>
      </c>
      <c r="D477">
        <v>18.089172999999999</v>
      </c>
      <c r="E477" t="s">
        <v>795</v>
      </c>
      <c r="F477" t="s">
        <v>804</v>
      </c>
    </row>
    <row r="478" spans="1:6" x14ac:dyDescent="0.25">
      <c r="A478" t="s">
        <v>162</v>
      </c>
      <c r="B478" t="s">
        <v>767</v>
      </c>
      <c r="C478">
        <v>-0.79406600000000005</v>
      </c>
      <c r="D478">
        <v>12.534793000000001</v>
      </c>
      <c r="E478" t="s">
        <v>797</v>
      </c>
      <c r="F478" t="s">
        <v>796</v>
      </c>
    </row>
    <row r="479" spans="1:6" x14ac:dyDescent="0.25">
      <c r="A479" t="s">
        <v>316</v>
      </c>
      <c r="B479" t="s">
        <v>777</v>
      </c>
      <c r="C479">
        <v>4.497306</v>
      </c>
      <c r="D479">
        <v>12.857251</v>
      </c>
      <c r="E479" t="s">
        <v>793</v>
      </c>
      <c r="F479" t="s">
        <v>794</v>
      </c>
    </row>
    <row r="480" spans="1:6" x14ac:dyDescent="0.25">
      <c r="A480" t="s">
        <v>942</v>
      </c>
      <c r="B480" t="s">
        <v>767</v>
      </c>
      <c r="C480">
        <v>-6.1126060000000004</v>
      </c>
      <c r="D480">
        <v>27.901748999999999</v>
      </c>
      <c r="E480" t="s">
        <v>795</v>
      </c>
      <c r="F480" t="s">
        <v>798</v>
      </c>
    </row>
    <row r="481" spans="1:6" x14ac:dyDescent="0.25">
      <c r="A481" t="s">
        <v>42</v>
      </c>
      <c r="B481" t="s">
        <v>762</v>
      </c>
      <c r="C481">
        <v>-0.77432100000000004</v>
      </c>
      <c r="D481">
        <v>18.628658999999999</v>
      </c>
      <c r="E481" t="s">
        <v>795</v>
      </c>
      <c r="F481" t="s">
        <v>796</v>
      </c>
    </row>
    <row r="482" spans="1:6" x14ac:dyDescent="0.25">
      <c r="A482" t="s">
        <v>127</v>
      </c>
      <c r="B482" t="s">
        <v>769</v>
      </c>
      <c r="C482">
        <v>-10.25074</v>
      </c>
      <c r="D482">
        <v>26.099086</v>
      </c>
      <c r="E482" t="s">
        <v>795</v>
      </c>
      <c r="F482" t="s">
        <v>796</v>
      </c>
    </row>
    <row r="483" spans="1:6" x14ac:dyDescent="0.25">
      <c r="A483" t="s">
        <v>151</v>
      </c>
      <c r="B483" t="s">
        <v>761</v>
      </c>
      <c r="C483">
        <v>-1.8045979999999999</v>
      </c>
      <c r="D483">
        <v>12.511096999999999</v>
      </c>
      <c r="E483" t="s">
        <v>797</v>
      </c>
      <c r="F483" t="s">
        <v>796</v>
      </c>
    </row>
    <row r="484" spans="1:6" x14ac:dyDescent="0.25">
      <c r="A484" t="s">
        <v>476</v>
      </c>
      <c r="B484" t="s">
        <v>764</v>
      </c>
      <c r="C484">
        <v>-11.265995</v>
      </c>
      <c r="D484">
        <v>28.935514999999999</v>
      </c>
      <c r="E484" t="s">
        <v>795</v>
      </c>
      <c r="F484" t="s">
        <v>794</v>
      </c>
    </row>
    <row r="485" spans="1:6" x14ac:dyDescent="0.25">
      <c r="A485" t="s">
        <v>132</v>
      </c>
      <c r="B485" t="s">
        <v>767</v>
      </c>
      <c r="C485">
        <v>-11.622688999999999</v>
      </c>
      <c r="D485">
        <v>18.483874</v>
      </c>
      <c r="E485" t="s">
        <v>793</v>
      </c>
      <c r="F485" t="s">
        <v>798</v>
      </c>
    </row>
    <row r="486" spans="1:6" x14ac:dyDescent="0.25">
      <c r="A486" t="s">
        <v>181</v>
      </c>
      <c r="B486" t="s">
        <v>767</v>
      </c>
      <c r="C486">
        <v>0.52897499999999997</v>
      </c>
      <c r="D486">
        <v>13.849651</v>
      </c>
      <c r="E486" t="s">
        <v>797</v>
      </c>
      <c r="F486" t="s">
        <v>798</v>
      </c>
    </row>
    <row r="487" spans="1:6" x14ac:dyDescent="0.25">
      <c r="A487" t="s">
        <v>943</v>
      </c>
      <c r="B487" t="s">
        <v>784</v>
      </c>
      <c r="C487">
        <v>0.81629799999999997</v>
      </c>
      <c r="D487">
        <v>18.557718000000001</v>
      </c>
      <c r="E487" t="s">
        <v>793</v>
      </c>
      <c r="F487" t="s">
        <v>794</v>
      </c>
    </row>
    <row r="488" spans="1:6" x14ac:dyDescent="0.25">
      <c r="A488" t="s">
        <v>653</v>
      </c>
      <c r="B488" t="s">
        <v>762</v>
      </c>
      <c r="C488">
        <v>1.2691650000000001</v>
      </c>
      <c r="D488">
        <v>18.789956</v>
      </c>
      <c r="E488" t="s">
        <v>797</v>
      </c>
      <c r="F488" t="s">
        <v>804</v>
      </c>
    </row>
    <row r="489" spans="1:6" x14ac:dyDescent="0.25">
      <c r="A489" t="s">
        <v>186</v>
      </c>
      <c r="B489" t="s">
        <v>780</v>
      </c>
      <c r="C489">
        <v>-9.3652280000000001</v>
      </c>
      <c r="D489">
        <v>18.674116000000001</v>
      </c>
      <c r="E489" t="s">
        <v>795</v>
      </c>
      <c r="F489" t="s">
        <v>796</v>
      </c>
    </row>
    <row r="490" spans="1:6" x14ac:dyDescent="0.25">
      <c r="A490" t="s">
        <v>944</v>
      </c>
      <c r="B490" t="s">
        <v>769</v>
      </c>
      <c r="C490">
        <v>-1.082322</v>
      </c>
      <c r="D490">
        <v>24.563559999999999</v>
      </c>
      <c r="E490" t="s">
        <v>795</v>
      </c>
      <c r="F490" t="s">
        <v>798</v>
      </c>
    </row>
    <row r="491" spans="1:6" x14ac:dyDescent="0.25">
      <c r="A491" t="s">
        <v>262</v>
      </c>
      <c r="B491" t="s">
        <v>769</v>
      </c>
      <c r="C491">
        <v>-4.1754939999999996</v>
      </c>
      <c r="D491">
        <v>16.704664999999999</v>
      </c>
      <c r="E491" t="s">
        <v>797</v>
      </c>
      <c r="F491" t="s">
        <v>794</v>
      </c>
    </row>
    <row r="492" spans="1:6" x14ac:dyDescent="0.25">
      <c r="A492" t="s">
        <v>945</v>
      </c>
      <c r="B492" t="s">
        <v>763</v>
      </c>
      <c r="C492">
        <v>-8.290025</v>
      </c>
      <c r="D492">
        <v>24.313573999999999</v>
      </c>
      <c r="E492" t="s">
        <v>795</v>
      </c>
      <c r="F492" t="s">
        <v>794</v>
      </c>
    </row>
    <row r="493" spans="1:6" x14ac:dyDescent="0.25">
      <c r="A493" t="s">
        <v>597</v>
      </c>
      <c r="B493" t="s">
        <v>770</v>
      </c>
      <c r="C493">
        <v>-6.8149179999999996</v>
      </c>
      <c r="D493">
        <v>23.258102000000001</v>
      </c>
      <c r="E493" t="s">
        <v>793</v>
      </c>
      <c r="F493" t="s">
        <v>796</v>
      </c>
    </row>
    <row r="494" spans="1:6" x14ac:dyDescent="0.25">
      <c r="A494" t="s">
        <v>118</v>
      </c>
      <c r="B494" t="s">
        <v>762</v>
      </c>
      <c r="C494">
        <v>2.4741019999999998</v>
      </c>
      <c r="D494">
        <v>29.297391000000001</v>
      </c>
      <c r="E494" t="s">
        <v>795</v>
      </c>
      <c r="F494" t="s">
        <v>794</v>
      </c>
    </row>
    <row r="495" spans="1:6" x14ac:dyDescent="0.25">
      <c r="A495" t="s">
        <v>566</v>
      </c>
      <c r="B495" t="s">
        <v>781</v>
      </c>
      <c r="C495">
        <v>-3.1608390000000002</v>
      </c>
      <c r="D495">
        <v>13.244503999999999</v>
      </c>
      <c r="E495" t="s">
        <v>797</v>
      </c>
      <c r="F495" t="s">
        <v>796</v>
      </c>
    </row>
    <row r="496" spans="1:6" x14ac:dyDescent="0.25">
      <c r="A496" t="s">
        <v>738</v>
      </c>
      <c r="B496" t="s">
        <v>774</v>
      </c>
      <c r="C496">
        <v>4.1464489999999996</v>
      </c>
      <c r="D496">
        <v>17.793337000000001</v>
      </c>
      <c r="E496" t="s">
        <v>793</v>
      </c>
      <c r="F496" t="s">
        <v>798</v>
      </c>
    </row>
    <row r="497" spans="1:6" x14ac:dyDescent="0.25">
      <c r="A497" t="s">
        <v>244</v>
      </c>
      <c r="B497" t="s">
        <v>784</v>
      </c>
      <c r="C497">
        <v>-12.431227</v>
      </c>
      <c r="D497">
        <v>18.414290999999999</v>
      </c>
      <c r="E497" t="s">
        <v>793</v>
      </c>
      <c r="F497" t="s">
        <v>796</v>
      </c>
    </row>
    <row r="498" spans="1:6" x14ac:dyDescent="0.25">
      <c r="A498" t="s">
        <v>91</v>
      </c>
      <c r="B498" t="s">
        <v>771</v>
      </c>
      <c r="C498">
        <v>-5.2526849999999996</v>
      </c>
      <c r="D498">
        <v>12.374528</v>
      </c>
      <c r="E498" t="s">
        <v>797</v>
      </c>
      <c r="F498" t="s">
        <v>804</v>
      </c>
    </row>
    <row r="499" spans="1:6" x14ac:dyDescent="0.25">
      <c r="A499" t="s">
        <v>946</v>
      </c>
      <c r="B499" t="s">
        <v>768</v>
      </c>
      <c r="C499">
        <v>3.4689049999999999</v>
      </c>
      <c r="D499">
        <v>18.19622</v>
      </c>
      <c r="E499" t="s">
        <v>793</v>
      </c>
      <c r="F499" t="s">
        <v>796</v>
      </c>
    </row>
    <row r="500" spans="1:6" x14ac:dyDescent="0.25">
      <c r="A500" t="s">
        <v>947</v>
      </c>
      <c r="B500" t="s">
        <v>765</v>
      </c>
      <c r="C500">
        <v>-6.0946619999999996</v>
      </c>
      <c r="D500">
        <v>20.757277999999999</v>
      </c>
      <c r="E500" t="s">
        <v>793</v>
      </c>
      <c r="F500" t="s">
        <v>796</v>
      </c>
    </row>
    <row r="501" spans="1:6" x14ac:dyDescent="0.25">
      <c r="A501" t="s">
        <v>500</v>
      </c>
      <c r="B501" t="s">
        <v>768</v>
      </c>
      <c r="C501">
        <v>-7.3379339999999997</v>
      </c>
      <c r="D501">
        <v>28.404001999999998</v>
      </c>
      <c r="E501" t="s">
        <v>797</v>
      </c>
      <c r="F501" t="s">
        <v>804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3D439-4338-4803-9F45-92F99C634C84}">
  <dimension ref="A3:C134"/>
  <sheetViews>
    <sheetView workbookViewId="0">
      <selection activeCell="E14" sqref="E14"/>
    </sheetView>
  </sheetViews>
  <sheetFormatPr baseColWidth="10" defaultColWidth="11.42578125" defaultRowHeight="15" x14ac:dyDescent="0.25"/>
  <cols>
    <col min="1" max="1" width="21.7109375" bestFit="1" customWidth="1"/>
    <col min="2" max="2" width="27.5703125" bestFit="1" customWidth="1"/>
    <col min="3" max="3" width="34.42578125" bestFit="1" customWidth="1"/>
  </cols>
  <sheetData>
    <row r="3" spans="1:3" x14ac:dyDescent="0.25">
      <c r="A3" s="2" t="s">
        <v>1715</v>
      </c>
      <c r="B3" t="s">
        <v>1712</v>
      </c>
      <c r="C3" s="7" t="s">
        <v>1713</v>
      </c>
    </row>
    <row r="4" spans="1:3" x14ac:dyDescent="0.25">
      <c r="A4" s="8" t="s">
        <v>777</v>
      </c>
      <c r="B4" s="9">
        <v>9532</v>
      </c>
      <c r="C4" s="10">
        <v>2.3030303030303032</v>
      </c>
    </row>
    <row r="5" spans="1:3" x14ac:dyDescent="0.25">
      <c r="A5" s="6" t="s">
        <v>953</v>
      </c>
      <c r="B5">
        <v>2581</v>
      </c>
      <c r="C5" s="7">
        <v>2.2222222222222223</v>
      </c>
    </row>
    <row r="6" spans="1:3" x14ac:dyDescent="0.25">
      <c r="A6" s="6" t="s">
        <v>957</v>
      </c>
      <c r="B6">
        <v>1470</v>
      </c>
      <c r="C6" s="7">
        <v>2</v>
      </c>
    </row>
    <row r="7" spans="1:3" x14ac:dyDescent="0.25">
      <c r="A7" s="6" t="s">
        <v>961</v>
      </c>
      <c r="B7">
        <v>2467</v>
      </c>
      <c r="C7" s="7">
        <v>2.25</v>
      </c>
    </row>
    <row r="8" spans="1:3" x14ac:dyDescent="0.25">
      <c r="A8" s="6" t="s">
        <v>955</v>
      </c>
      <c r="B8">
        <v>3014</v>
      </c>
      <c r="C8" s="7">
        <v>2.6</v>
      </c>
    </row>
    <row r="9" spans="1:3" x14ac:dyDescent="0.25">
      <c r="A9" s="11" t="s">
        <v>775</v>
      </c>
      <c r="B9" s="12">
        <v>6172</v>
      </c>
      <c r="C9" s="13">
        <v>2.2083333333333335</v>
      </c>
    </row>
    <row r="10" spans="1:3" x14ac:dyDescent="0.25">
      <c r="A10" s="6" t="s">
        <v>953</v>
      </c>
      <c r="B10">
        <v>1075</v>
      </c>
      <c r="C10" s="7">
        <v>1.6666666666666667</v>
      </c>
    </row>
    <row r="11" spans="1:3" x14ac:dyDescent="0.25">
      <c r="A11" s="6" t="s">
        <v>957</v>
      </c>
      <c r="B11">
        <v>2143</v>
      </c>
      <c r="C11" s="7">
        <v>3.125</v>
      </c>
    </row>
    <row r="12" spans="1:3" x14ac:dyDescent="0.25">
      <c r="A12" s="6" t="s">
        <v>961</v>
      </c>
      <c r="B12">
        <v>1922</v>
      </c>
      <c r="C12" s="7">
        <v>1.7142857142857142</v>
      </c>
    </row>
    <row r="13" spans="1:3" x14ac:dyDescent="0.25">
      <c r="A13" s="6" t="s">
        <v>955</v>
      </c>
      <c r="B13">
        <v>1032</v>
      </c>
      <c r="C13" s="7">
        <v>1.8333333333333333</v>
      </c>
    </row>
    <row r="14" spans="1:3" x14ac:dyDescent="0.25">
      <c r="A14" s="14" t="s">
        <v>782</v>
      </c>
      <c r="B14" s="15">
        <v>10202</v>
      </c>
      <c r="C14" s="16">
        <v>2.5</v>
      </c>
    </row>
    <row r="15" spans="1:3" x14ac:dyDescent="0.25">
      <c r="A15" s="6" t="s">
        <v>953</v>
      </c>
      <c r="B15">
        <v>3037</v>
      </c>
      <c r="C15" s="7">
        <v>1.6</v>
      </c>
    </row>
    <row r="16" spans="1:3" x14ac:dyDescent="0.25">
      <c r="A16" s="6" t="s">
        <v>957</v>
      </c>
      <c r="B16">
        <v>1604</v>
      </c>
      <c r="C16" s="7">
        <v>2.625</v>
      </c>
    </row>
    <row r="17" spans="1:3" x14ac:dyDescent="0.25">
      <c r="A17" s="6" t="s">
        <v>961</v>
      </c>
      <c r="B17">
        <v>2590</v>
      </c>
      <c r="C17" s="7">
        <v>2.6666666666666665</v>
      </c>
    </row>
    <row r="18" spans="1:3" x14ac:dyDescent="0.25">
      <c r="A18" s="6" t="s">
        <v>955</v>
      </c>
      <c r="B18">
        <v>2971</v>
      </c>
      <c r="C18" s="7">
        <v>3.0909090909090908</v>
      </c>
    </row>
    <row r="19" spans="1:3" x14ac:dyDescent="0.25">
      <c r="A19" s="8" t="s">
        <v>781</v>
      </c>
      <c r="B19" s="9">
        <v>9345</v>
      </c>
      <c r="C19" s="10">
        <v>1.6666666666666667</v>
      </c>
    </row>
    <row r="20" spans="1:3" x14ac:dyDescent="0.25">
      <c r="A20" s="6" t="s">
        <v>953</v>
      </c>
      <c r="B20">
        <v>3150</v>
      </c>
      <c r="C20" s="7">
        <v>1.3333333333333333</v>
      </c>
    </row>
    <row r="21" spans="1:3" x14ac:dyDescent="0.25">
      <c r="A21" s="6" t="s">
        <v>957</v>
      </c>
      <c r="B21">
        <v>1304</v>
      </c>
      <c r="C21" s="7">
        <v>2</v>
      </c>
    </row>
    <row r="22" spans="1:3" x14ac:dyDescent="0.25">
      <c r="A22" s="6" t="s">
        <v>961</v>
      </c>
      <c r="B22">
        <v>2775</v>
      </c>
      <c r="C22" s="7">
        <v>1.8571428571428572</v>
      </c>
    </row>
    <row r="23" spans="1:3" x14ac:dyDescent="0.25">
      <c r="A23" s="6" t="s">
        <v>955</v>
      </c>
      <c r="B23">
        <v>2116</v>
      </c>
      <c r="C23" s="7">
        <v>1.75</v>
      </c>
    </row>
    <row r="24" spans="1:3" x14ac:dyDescent="0.25">
      <c r="A24" s="11" t="s">
        <v>761</v>
      </c>
      <c r="B24" s="12">
        <v>3811</v>
      </c>
      <c r="C24" s="13">
        <v>3.0666666666666669</v>
      </c>
    </row>
    <row r="25" spans="1:3" x14ac:dyDescent="0.25">
      <c r="A25" s="6" t="s">
        <v>953</v>
      </c>
      <c r="B25">
        <v>462</v>
      </c>
      <c r="C25" s="7">
        <v>0</v>
      </c>
    </row>
    <row r="26" spans="1:3" x14ac:dyDescent="0.25">
      <c r="A26" s="6" t="s">
        <v>957</v>
      </c>
      <c r="B26">
        <v>625</v>
      </c>
      <c r="C26" s="7">
        <v>2.6666666666666665</v>
      </c>
    </row>
    <row r="27" spans="1:3" x14ac:dyDescent="0.25">
      <c r="A27" s="6" t="s">
        <v>961</v>
      </c>
      <c r="B27">
        <v>1977</v>
      </c>
      <c r="C27" s="7">
        <v>3.5714285714285716</v>
      </c>
    </row>
    <row r="28" spans="1:3" x14ac:dyDescent="0.25">
      <c r="A28" s="6" t="s">
        <v>955</v>
      </c>
      <c r="B28">
        <v>747</v>
      </c>
      <c r="C28" s="7">
        <v>3.25</v>
      </c>
    </row>
    <row r="29" spans="1:3" x14ac:dyDescent="0.25">
      <c r="A29" s="11" t="s">
        <v>778</v>
      </c>
      <c r="B29" s="12">
        <v>8994</v>
      </c>
      <c r="C29" s="13">
        <v>2.2162162162162162</v>
      </c>
    </row>
    <row r="30" spans="1:3" x14ac:dyDescent="0.25">
      <c r="A30" s="6" t="s">
        <v>953</v>
      </c>
      <c r="B30">
        <v>2474</v>
      </c>
      <c r="C30" s="7">
        <v>1.9</v>
      </c>
    </row>
    <row r="31" spans="1:3" x14ac:dyDescent="0.25">
      <c r="A31" s="6" t="s">
        <v>957</v>
      </c>
      <c r="B31">
        <v>1866</v>
      </c>
      <c r="C31" s="7">
        <v>2</v>
      </c>
    </row>
    <row r="32" spans="1:3" x14ac:dyDescent="0.25">
      <c r="A32" s="6" t="s">
        <v>961</v>
      </c>
      <c r="B32">
        <v>3159</v>
      </c>
      <c r="C32" s="7">
        <v>2.5</v>
      </c>
    </row>
    <row r="33" spans="1:3" x14ac:dyDescent="0.25">
      <c r="A33" s="6" t="s">
        <v>955</v>
      </c>
      <c r="B33">
        <v>1495</v>
      </c>
      <c r="C33" s="7">
        <v>2.5</v>
      </c>
    </row>
    <row r="34" spans="1:3" x14ac:dyDescent="0.25">
      <c r="A34" s="11" t="s">
        <v>774</v>
      </c>
      <c r="B34" s="12">
        <v>6914</v>
      </c>
      <c r="C34" s="13">
        <v>2.7777777777777777</v>
      </c>
    </row>
    <row r="35" spans="1:3" x14ac:dyDescent="0.25">
      <c r="A35" s="6" t="s">
        <v>953</v>
      </c>
      <c r="B35">
        <v>2171</v>
      </c>
      <c r="C35" s="7">
        <v>3.25</v>
      </c>
    </row>
    <row r="36" spans="1:3" x14ac:dyDescent="0.25">
      <c r="A36" s="6" t="s">
        <v>957</v>
      </c>
      <c r="B36">
        <v>1596</v>
      </c>
      <c r="C36" s="7">
        <v>3.7142857142857144</v>
      </c>
    </row>
    <row r="37" spans="1:3" x14ac:dyDescent="0.25">
      <c r="A37" s="6" t="s">
        <v>961</v>
      </c>
      <c r="B37">
        <v>1776</v>
      </c>
      <c r="C37" s="7">
        <v>2</v>
      </c>
    </row>
    <row r="38" spans="1:3" x14ac:dyDescent="0.25">
      <c r="A38" s="6" t="s">
        <v>955</v>
      </c>
      <c r="B38">
        <v>1371</v>
      </c>
      <c r="C38" s="7">
        <v>1.8</v>
      </c>
    </row>
    <row r="39" spans="1:3" x14ac:dyDescent="0.25">
      <c r="A39" s="11" t="s">
        <v>768</v>
      </c>
      <c r="B39" s="12">
        <v>7181</v>
      </c>
      <c r="C39" s="13">
        <v>2.6296296296296298</v>
      </c>
    </row>
    <row r="40" spans="1:3" x14ac:dyDescent="0.25">
      <c r="A40" s="6" t="s">
        <v>953</v>
      </c>
      <c r="B40">
        <v>1106</v>
      </c>
      <c r="C40" s="7">
        <v>3.1666666666666665</v>
      </c>
    </row>
    <row r="41" spans="1:3" x14ac:dyDescent="0.25">
      <c r="A41" s="6" t="s">
        <v>957</v>
      </c>
      <c r="B41">
        <v>334</v>
      </c>
      <c r="C41" s="7">
        <v>1</v>
      </c>
    </row>
    <row r="42" spans="1:3" x14ac:dyDescent="0.25">
      <c r="A42" s="6" t="s">
        <v>961</v>
      </c>
      <c r="B42">
        <v>1656</v>
      </c>
      <c r="C42" s="7">
        <v>3.6</v>
      </c>
    </row>
    <row r="43" spans="1:3" x14ac:dyDescent="0.25">
      <c r="A43" s="6" t="s">
        <v>955</v>
      </c>
      <c r="B43">
        <v>4085</v>
      </c>
      <c r="C43" s="7">
        <v>2.2000000000000002</v>
      </c>
    </row>
    <row r="44" spans="1:3" x14ac:dyDescent="0.25">
      <c r="A44" s="11" t="s">
        <v>776</v>
      </c>
      <c r="B44" s="12">
        <v>7384</v>
      </c>
      <c r="C44" s="13">
        <v>2.2999999999999998</v>
      </c>
    </row>
    <row r="45" spans="1:3" x14ac:dyDescent="0.25">
      <c r="A45" s="6" t="s">
        <v>953</v>
      </c>
      <c r="B45">
        <v>3846</v>
      </c>
      <c r="C45" s="7">
        <v>2.4285714285714284</v>
      </c>
    </row>
    <row r="46" spans="1:3" x14ac:dyDescent="0.25">
      <c r="A46" s="6" t="s">
        <v>957</v>
      </c>
      <c r="B46">
        <v>1865</v>
      </c>
      <c r="C46" s="7">
        <v>2</v>
      </c>
    </row>
    <row r="47" spans="1:3" x14ac:dyDescent="0.25">
      <c r="A47" s="6" t="s">
        <v>961</v>
      </c>
      <c r="B47">
        <v>105</v>
      </c>
      <c r="C47" s="7">
        <v>2.5</v>
      </c>
    </row>
    <row r="48" spans="1:3" x14ac:dyDescent="0.25">
      <c r="A48" s="6" t="s">
        <v>955</v>
      </c>
      <c r="B48">
        <v>1568</v>
      </c>
      <c r="C48" s="7">
        <v>2.4</v>
      </c>
    </row>
    <row r="49" spans="1:3" x14ac:dyDescent="0.25">
      <c r="A49" s="11" t="s">
        <v>766</v>
      </c>
      <c r="B49" s="12">
        <v>5711</v>
      </c>
      <c r="C49" s="13">
        <v>2.3846153846153846</v>
      </c>
    </row>
    <row r="50" spans="1:3" x14ac:dyDescent="0.25">
      <c r="A50" s="6" t="s">
        <v>953</v>
      </c>
      <c r="B50">
        <v>1849</v>
      </c>
      <c r="C50" s="7">
        <v>2.7142857142857144</v>
      </c>
    </row>
    <row r="51" spans="1:3" x14ac:dyDescent="0.25">
      <c r="A51" s="6" t="s">
        <v>957</v>
      </c>
      <c r="B51">
        <v>1075</v>
      </c>
      <c r="C51" s="7">
        <v>2.1666666666666665</v>
      </c>
    </row>
    <row r="52" spans="1:3" x14ac:dyDescent="0.25">
      <c r="A52" s="6" t="s">
        <v>961</v>
      </c>
      <c r="B52">
        <v>971</v>
      </c>
      <c r="C52" s="7">
        <v>2.25</v>
      </c>
    </row>
    <row r="53" spans="1:3" x14ac:dyDescent="0.25">
      <c r="A53" s="6" t="s">
        <v>955</v>
      </c>
      <c r="B53">
        <v>1816</v>
      </c>
      <c r="C53" s="7">
        <v>2.3333333333333335</v>
      </c>
    </row>
    <row r="54" spans="1:3" x14ac:dyDescent="0.25">
      <c r="A54" s="11" t="s">
        <v>783</v>
      </c>
      <c r="B54" s="12">
        <v>5376</v>
      </c>
      <c r="C54" s="13">
        <v>2.9130434782608696</v>
      </c>
    </row>
    <row r="55" spans="1:3" x14ac:dyDescent="0.25">
      <c r="A55" s="6" t="s">
        <v>953</v>
      </c>
      <c r="B55">
        <v>2039</v>
      </c>
      <c r="C55" s="7">
        <v>3</v>
      </c>
    </row>
    <row r="56" spans="1:3" x14ac:dyDescent="0.25">
      <c r="A56" s="6" t="s">
        <v>957</v>
      </c>
      <c r="B56">
        <v>1176</v>
      </c>
      <c r="C56" s="7">
        <v>3</v>
      </c>
    </row>
    <row r="57" spans="1:3" x14ac:dyDescent="0.25">
      <c r="A57" s="6" t="s">
        <v>961</v>
      </c>
      <c r="B57">
        <v>1095</v>
      </c>
      <c r="C57" s="7">
        <v>3.5</v>
      </c>
    </row>
    <row r="58" spans="1:3" x14ac:dyDescent="0.25">
      <c r="A58" s="6" t="s">
        <v>955</v>
      </c>
      <c r="B58">
        <v>1066</v>
      </c>
      <c r="C58" s="7">
        <v>1.3333333333333333</v>
      </c>
    </row>
    <row r="59" spans="1:3" x14ac:dyDescent="0.25">
      <c r="A59" s="8" t="s">
        <v>784</v>
      </c>
      <c r="B59" s="9">
        <v>9856</v>
      </c>
      <c r="C59" s="10">
        <v>2.5666666666666669</v>
      </c>
    </row>
    <row r="60" spans="1:3" x14ac:dyDescent="0.25">
      <c r="A60" s="6" t="s">
        <v>953</v>
      </c>
      <c r="B60">
        <v>2162</v>
      </c>
      <c r="C60" s="7">
        <v>3</v>
      </c>
    </row>
    <row r="61" spans="1:3" x14ac:dyDescent="0.25">
      <c r="A61" s="6" t="s">
        <v>957</v>
      </c>
      <c r="B61">
        <v>3690</v>
      </c>
      <c r="C61" s="7">
        <v>2.9090909090909092</v>
      </c>
    </row>
    <row r="62" spans="1:3" x14ac:dyDescent="0.25">
      <c r="A62" s="6" t="s">
        <v>961</v>
      </c>
      <c r="B62">
        <v>2402</v>
      </c>
      <c r="C62" s="7">
        <v>1.4285714285714286</v>
      </c>
    </row>
    <row r="63" spans="1:3" x14ac:dyDescent="0.25">
      <c r="A63" s="6" t="s">
        <v>955</v>
      </c>
      <c r="B63">
        <v>1602</v>
      </c>
      <c r="C63" s="7">
        <v>2.8</v>
      </c>
    </row>
    <row r="64" spans="1:3" x14ac:dyDescent="0.25">
      <c r="A64" s="17" t="s">
        <v>762</v>
      </c>
      <c r="B64" s="18">
        <v>8448</v>
      </c>
      <c r="C64" s="19">
        <v>2.7435897435897436</v>
      </c>
    </row>
    <row r="65" spans="1:3" x14ac:dyDescent="0.25">
      <c r="A65" s="6" t="s">
        <v>953</v>
      </c>
      <c r="B65">
        <v>1483</v>
      </c>
      <c r="C65" s="7">
        <v>3.375</v>
      </c>
    </row>
    <row r="66" spans="1:3" x14ac:dyDescent="0.25">
      <c r="A66" s="6" t="s">
        <v>957</v>
      </c>
      <c r="B66">
        <v>3173</v>
      </c>
      <c r="C66" s="7">
        <v>3</v>
      </c>
    </row>
    <row r="67" spans="1:3" x14ac:dyDescent="0.25">
      <c r="A67" s="6" t="s">
        <v>961</v>
      </c>
      <c r="B67">
        <v>1418</v>
      </c>
      <c r="C67" s="7">
        <v>2.2222222222222223</v>
      </c>
    </row>
    <row r="68" spans="1:3" x14ac:dyDescent="0.25">
      <c r="A68" s="6" t="s">
        <v>955</v>
      </c>
      <c r="B68">
        <v>2374</v>
      </c>
      <c r="C68" s="7">
        <v>2.4</v>
      </c>
    </row>
    <row r="69" spans="1:3" x14ac:dyDescent="0.25">
      <c r="A69" s="11" t="s">
        <v>773</v>
      </c>
      <c r="B69" s="12">
        <v>5422</v>
      </c>
      <c r="C69" s="13">
        <v>2.4583333333333335</v>
      </c>
    </row>
    <row r="70" spans="1:3" x14ac:dyDescent="0.25">
      <c r="A70" s="6" t="s">
        <v>953</v>
      </c>
      <c r="B70">
        <v>383</v>
      </c>
      <c r="C70" s="7">
        <v>2.6</v>
      </c>
    </row>
    <row r="71" spans="1:3" x14ac:dyDescent="0.25">
      <c r="A71" s="6" t="s">
        <v>957</v>
      </c>
      <c r="B71">
        <v>2274</v>
      </c>
      <c r="C71" s="7">
        <v>2.4285714285714284</v>
      </c>
    </row>
    <row r="72" spans="1:3" x14ac:dyDescent="0.25">
      <c r="A72" s="6" t="s">
        <v>961</v>
      </c>
      <c r="B72">
        <v>965</v>
      </c>
      <c r="C72" s="7">
        <v>2.75</v>
      </c>
    </row>
    <row r="73" spans="1:3" x14ac:dyDescent="0.25">
      <c r="A73" s="6" t="s">
        <v>955</v>
      </c>
      <c r="B73">
        <v>1800</v>
      </c>
      <c r="C73" s="7">
        <v>2.25</v>
      </c>
    </row>
    <row r="74" spans="1:3" x14ac:dyDescent="0.25">
      <c r="A74" s="11" t="s">
        <v>779</v>
      </c>
      <c r="B74" s="12">
        <v>3596</v>
      </c>
      <c r="C74" s="13">
        <v>2.75</v>
      </c>
    </row>
    <row r="75" spans="1:3" x14ac:dyDescent="0.25">
      <c r="A75" s="6" t="s">
        <v>953</v>
      </c>
      <c r="B75">
        <v>312</v>
      </c>
      <c r="C75" s="7">
        <v>2.5</v>
      </c>
    </row>
    <row r="76" spans="1:3" x14ac:dyDescent="0.25">
      <c r="A76" s="6" t="s">
        <v>957</v>
      </c>
      <c r="B76">
        <v>1552</v>
      </c>
      <c r="C76" s="7">
        <v>3.1111111111111112</v>
      </c>
    </row>
    <row r="77" spans="1:3" x14ac:dyDescent="0.25">
      <c r="A77" s="6" t="s">
        <v>961</v>
      </c>
      <c r="B77">
        <v>649</v>
      </c>
      <c r="C77" s="7">
        <v>1.3333333333333333</v>
      </c>
    </row>
    <row r="78" spans="1:3" x14ac:dyDescent="0.25">
      <c r="A78" s="6" t="s">
        <v>955</v>
      </c>
      <c r="B78">
        <v>1083</v>
      </c>
      <c r="C78" s="7">
        <v>3</v>
      </c>
    </row>
    <row r="79" spans="1:3" x14ac:dyDescent="0.25">
      <c r="A79" s="11" t="s">
        <v>780</v>
      </c>
      <c r="B79" s="12">
        <v>6534</v>
      </c>
      <c r="C79" s="13">
        <v>2.1212121212121211</v>
      </c>
    </row>
    <row r="80" spans="1:3" x14ac:dyDescent="0.25">
      <c r="A80" s="6" t="s">
        <v>953</v>
      </c>
      <c r="B80">
        <v>2336</v>
      </c>
      <c r="C80" s="7">
        <v>2.5</v>
      </c>
    </row>
    <row r="81" spans="1:3" x14ac:dyDescent="0.25">
      <c r="A81" s="6" t="s">
        <v>957</v>
      </c>
      <c r="B81">
        <v>2272</v>
      </c>
      <c r="C81" s="7">
        <v>2</v>
      </c>
    </row>
    <row r="82" spans="1:3" x14ac:dyDescent="0.25">
      <c r="A82" s="6" t="s">
        <v>961</v>
      </c>
      <c r="B82">
        <v>993</v>
      </c>
      <c r="C82" s="7">
        <v>2.25</v>
      </c>
    </row>
    <row r="83" spans="1:3" x14ac:dyDescent="0.25">
      <c r="A83" s="6" t="s">
        <v>955</v>
      </c>
      <c r="B83">
        <v>933</v>
      </c>
      <c r="C83" s="7">
        <v>1.5714285714285714</v>
      </c>
    </row>
    <row r="84" spans="1:3" x14ac:dyDescent="0.25">
      <c r="A84" s="11" t="s">
        <v>765</v>
      </c>
      <c r="B84" s="12">
        <v>5534</v>
      </c>
      <c r="C84" s="13">
        <v>1.9615384615384615</v>
      </c>
    </row>
    <row r="85" spans="1:3" x14ac:dyDescent="0.25">
      <c r="A85" s="6" t="s">
        <v>953</v>
      </c>
      <c r="B85">
        <v>641</v>
      </c>
      <c r="C85" s="7">
        <v>2</v>
      </c>
    </row>
    <row r="86" spans="1:3" x14ac:dyDescent="0.25">
      <c r="A86" s="6" t="s">
        <v>957</v>
      </c>
      <c r="B86">
        <v>1563</v>
      </c>
      <c r="C86" s="7">
        <v>1</v>
      </c>
    </row>
    <row r="87" spans="1:3" x14ac:dyDescent="0.25">
      <c r="A87" s="6" t="s">
        <v>961</v>
      </c>
      <c r="B87">
        <v>1057</v>
      </c>
      <c r="C87" s="7">
        <v>2</v>
      </c>
    </row>
    <row r="88" spans="1:3" x14ac:dyDescent="0.25">
      <c r="A88" s="6" t="s">
        <v>955</v>
      </c>
      <c r="B88">
        <v>2273</v>
      </c>
      <c r="C88" s="7">
        <v>2.5</v>
      </c>
    </row>
    <row r="89" spans="1:3" x14ac:dyDescent="0.25">
      <c r="A89" s="20" t="s">
        <v>786</v>
      </c>
      <c r="B89" s="21">
        <v>7804</v>
      </c>
      <c r="C89" s="22">
        <v>2.3666666666666667</v>
      </c>
    </row>
    <row r="90" spans="1:3" x14ac:dyDescent="0.25">
      <c r="A90" s="6" t="s">
        <v>953</v>
      </c>
      <c r="B90">
        <v>1368</v>
      </c>
      <c r="C90" s="7">
        <v>1.3333333333333333</v>
      </c>
    </row>
    <row r="91" spans="1:3" x14ac:dyDescent="0.25">
      <c r="A91" s="6" t="s">
        <v>957</v>
      </c>
      <c r="B91">
        <v>1811</v>
      </c>
      <c r="C91" s="7">
        <v>2.8888888888888888</v>
      </c>
    </row>
    <row r="92" spans="1:3" x14ac:dyDescent="0.25">
      <c r="A92" s="6" t="s">
        <v>961</v>
      </c>
      <c r="B92">
        <v>1426</v>
      </c>
      <c r="C92" s="7">
        <v>3.2</v>
      </c>
    </row>
    <row r="93" spans="1:3" x14ac:dyDescent="0.25">
      <c r="A93" s="6" t="s">
        <v>955</v>
      </c>
      <c r="B93">
        <v>3199</v>
      </c>
      <c r="C93" s="7">
        <v>2.1</v>
      </c>
    </row>
    <row r="94" spans="1:3" x14ac:dyDescent="0.25">
      <c r="A94" s="23" t="s">
        <v>769</v>
      </c>
      <c r="B94" s="24">
        <v>8718</v>
      </c>
      <c r="C94" s="25">
        <v>2.3529411764705883</v>
      </c>
    </row>
    <row r="95" spans="1:3" x14ac:dyDescent="0.25">
      <c r="A95" s="6" t="s">
        <v>953</v>
      </c>
      <c r="B95">
        <v>2541</v>
      </c>
      <c r="C95" s="7">
        <v>2.5454545454545454</v>
      </c>
    </row>
    <row r="96" spans="1:3" x14ac:dyDescent="0.25">
      <c r="A96" s="6" t="s">
        <v>957</v>
      </c>
      <c r="B96">
        <v>2284</v>
      </c>
      <c r="C96" s="7">
        <v>2.5555555555555554</v>
      </c>
    </row>
    <row r="97" spans="1:3" x14ac:dyDescent="0.25">
      <c r="A97" s="6" t="s">
        <v>961</v>
      </c>
      <c r="B97">
        <v>1857</v>
      </c>
      <c r="C97" s="7">
        <v>1.4</v>
      </c>
    </row>
    <row r="98" spans="1:3" x14ac:dyDescent="0.25">
      <c r="A98" s="6" t="s">
        <v>955</v>
      </c>
      <c r="B98">
        <v>2036</v>
      </c>
      <c r="C98" s="7">
        <v>2.4444444444444446</v>
      </c>
    </row>
    <row r="99" spans="1:3" x14ac:dyDescent="0.25">
      <c r="A99" s="11" t="s">
        <v>770</v>
      </c>
      <c r="B99" s="12">
        <v>6192</v>
      </c>
      <c r="C99" s="13">
        <v>2</v>
      </c>
    </row>
    <row r="100" spans="1:3" x14ac:dyDescent="0.25">
      <c r="A100" s="6" t="s">
        <v>953</v>
      </c>
      <c r="B100">
        <v>935</v>
      </c>
      <c r="C100" s="7">
        <v>2.1666666666666665</v>
      </c>
    </row>
    <row r="101" spans="1:3" x14ac:dyDescent="0.25">
      <c r="A101" s="6" t="s">
        <v>957</v>
      </c>
      <c r="B101">
        <v>1124</v>
      </c>
      <c r="C101" s="7">
        <v>1.8333333333333333</v>
      </c>
    </row>
    <row r="102" spans="1:3" x14ac:dyDescent="0.25">
      <c r="A102" s="6" t="s">
        <v>961</v>
      </c>
      <c r="B102">
        <v>1398</v>
      </c>
      <c r="C102" s="7">
        <v>2.1666666666666665</v>
      </c>
    </row>
    <row r="103" spans="1:3" x14ac:dyDescent="0.25">
      <c r="A103" s="6" t="s">
        <v>955</v>
      </c>
      <c r="B103">
        <v>2735</v>
      </c>
      <c r="C103" s="7">
        <v>1.9</v>
      </c>
    </row>
    <row r="104" spans="1:3" x14ac:dyDescent="0.25">
      <c r="A104" s="11" t="s">
        <v>785</v>
      </c>
      <c r="B104" s="12">
        <v>6679</v>
      </c>
      <c r="C104" s="13">
        <v>2.65625</v>
      </c>
    </row>
    <row r="105" spans="1:3" x14ac:dyDescent="0.25">
      <c r="A105" s="6" t="s">
        <v>953</v>
      </c>
      <c r="B105">
        <v>2094</v>
      </c>
      <c r="C105" s="7">
        <v>4</v>
      </c>
    </row>
    <row r="106" spans="1:3" x14ac:dyDescent="0.25">
      <c r="A106" s="6" t="s">
        <v>957</v>
      </c>
      <c r="B106">
        <v>1816</v>
      </c>
      <c r="C106" s="7">
        <v>2.2000000000000002</v>
      </c>
    </row>
    <row r="107" spans="1:3" x14ac:dyDescent="0.25">
      <c r="A107" s="6" t="s">
        <v>961</v>
      </c>
      <c r="B107">
        <v>904</v>
      </c>
      <c r="C107" s="7">
        <v>2.25</v>
      </c>
    </row>
    <row r="108" spans="1:3" x14ac:dyDescent="0.25">
      <c r="A108" s="6" t="s">
        <v>955</v>
      </c>
      <c r="B108">
        <v>1865</v>
      </c>
      <c r="C108" s="7">
        <v>2.625</v>
      </c>
    </row>
    <row r="109" spans="1:3" x14ac:dyDescent="0.25">
      <c r="A109" s="11" t="s">
        <v>771</v>
      </c>
      <c r="B109" s="12">
        <v>5545</v>
      </c>
      <c r="C109" s="13">
        <v>2.6923076923076925</v>
      </c>
    </row>
    <row r="110" spans="1:3" x14ac:dyDescent="0.25">
      <c r="A110" s="6" t="s">
        <v>953</v>
      </c>
      <c r="B110">
        <v>790</v>
      </c>
      <c r="C110" s="7">
        <v>3.2</v>
      </c>
    </row>
    <row r="111" spans="1:3" x14ac:dyDescent="0.25">
      <c r="A111" s="6" t="s">
        <v>957</v>
      </c>
      <c r="B111">
        <v>2171</v>
      </c>
      <c r="C111" s="7">
        <v>3</v>
      </c>
    </row>
    <row r="112" spans="1:3" x14ac:dyDescent="0.25">
      <c r="A112" s="6" t="s">
        <v>961</v>
      </c>
      <c r="B112">
        <v>1161</v>
      </c>
      <c r="C112" s="7">
        <v>2</v>
      </c>
    </row>
    <row r="113" spans="1:3" x14ac:dyDescent="0.25">
      <c r="A113" s="6" t="s">
        <v>955</v>
      </c>
      <c r="B113">
        <v>1423</v>
      </c>
      <c r="C113" s="7">
        <v>2.3333333333333335</v>
      </c>
    </row>
    <row r="114" spans="1:3" x14ac:dyDescent="0.25">
      <c r="A114" s="17" t="s">
        <v>772</v>
      </c>
      <c r="B114" s="18">
        <v>8771</v>
      </c>
      <c r="C114" s="19">
        <v>2.8125</v>
      </c>
    </row>
    <row r="115" spans="1:3" x14ac:dyDescent="0.25">
      <c r="A115" s="6" t="s">
        <v>953</v>
      </c>
      <c r="B115">
        <v>3229</v>
      </c>
      <c r="C115" s="7">
        <v>2.0833333333333335</v>
      </c>
    </row>
    <row r="116" spans="1:3" x14ac:dyDescent="0.25">
      <c r="A116" s="6" t="s">
        <v>957</v>
      </c>
      <c r="B116">
        <v>1501</v>
      </c>
      <c r="C116" s="7">
        <v>2.1666666666666665</v>
      </c>
    </row>
    <row r="117" spans="1:3" x14ac:dyDescent="0.25">
      <c r="A117" s="6" t="s">
        <v>961</v>
      </c>
      <c r="B117">
        <v>1542</v>
      </c>
      <c r="C117" s="7">
        <v>4.4000000000000004</v>
      </c>
    </row>
    <row r="118" spans="1:3" x14ac:dyDescent="0.25">
      <c r="A118" s="6" t="s">
        <v>955</v>
      </c>
      <c r="B118">
        <v>2499</v>
      </c>
      <c r="C118" s="7">
        <v>3.3333333333333335</v>
      </c>
    </row>
    <row r="119" spans="1:3" x14ac:dyDescent="0.25">
      <c r="A119" s="11" t="s">
        <v>763</v>
      </c>
      <c r="B119" s="12">
        <v>6727</v>
      </c>
      <c r="C119" s="13">
        <v>2.3333333333333335</v>
      </c>
    </row>
    <row r="120" spans="1:3" x14ac:dyDescent="0.25">
      <c r="A120" s="6" t="s">
        <v>953</v>
      </c>
      <c r="B120">
        <v>2467</v>
      </c>
      <c r="C120" s="7">
        <v>2.8181818181818183</v>
      </c>
    </row>
    <row r="121" spans="1:3" x14ac:dyDescent="0.25">
      <c r="A121" s="6" t="s">
        <v>957</v>
      </c>
      <c r="B121">
        <v>1313</v>
      </c>
      <c r="C121" s="7">
        <v>2.1666666666666665</v>
      </c>
    </row>
    <row r="122" spans="1:3" x14ac:dyDescent="0.25">
      <c r="A122" s="6" t="s">
        <v>961</v>
      </c>
      <c r="B122">
        <v>1072</v>
      </c>
      <c r="C122" s="7">
        <v>3</v>
      </c>
    </row>
    <row r="123" spans="1:3" x14ac:dyDescent="0.25">
      <c r="A123" s="6" t="s">
        <v>955</v>
      </c>
      <c r="B123">
        <v>1875</v>
      </c>
      <c r="C123" s="7">
        <v>1.375</v>
      </c>
    </row>
    <row r="124" spans="1:3" x14ac:dyDescent="0.25">
      <c r="A124" s="11" t="s">
        <v>764</v>
      </c>
      <c r="B124" s="12">
        <v>5418</v>
      </c>
      <c r="C124" s="13">
        <v>2.4230769230769229</v>
      </c>
    </row>
    <row r="125" spans="1:3" x14ac:dyDescent="0.25">
      <c r="A125" s="6" t="s">
        <v>953</v>
      </c>
      <c r="B125">
        <v>1451</v>
      </c>
      <c r="C125" s="7">
        <v>2.625</v>
      </c>
    </row>
    <row r="126" spans="1:3" x14ac:dyDescent="0.25">
      <c r="A126" s="6" t="s">
        <v>957</v>
      </c>
      <c r="B126">
        <v>875</v>
      </c>
      <c r="C126" s="7">
        <v>2.5</v>
      </c>
    </row>
    <row r="127" spans="1:3" x14ac:dyDescent="0.25">
      <c r="A127" s="6" t="s">
        <v>961</v>
      </c>
      <c r="B127">
        <v>2568</v>
      </c>
      <c r="C127" s="7">
        <v>2.4</v>
      </c>
    </row>
    <row r="128" spans="1:3" x14ac:dyDescent="0.25">
      <c r="A128" s="6" t="s">
        <v>955</v>
      </c>
      <c r="B128">
        <v>524</v>
      </c>
      <c r="C128" s="7">
        <v>2</v>
      </c>
    </row>
    <row r="129" spans="1:3" x14ac:dyDescent="0.25">
      <c r="A129" s="11" t="s">
        <v>767</v>
      </c>
      <c r="B129" s="12">
        <v>6569</v>
      </c>
      <c r="C129" s="13">
        <v>2.7407407407407409</v>
      </c>
    </row>
    <row r="130" spans="1:3" x14ac:dyDescent="0.25">
      <c r="A130" s="6" t="s">
        <v>953</v>
      </c>
      <c r="B130">
        <v>2174</v>
      </c>
      <c r="C130" s="7">
        <v>3.1111111111111112</v>
      </c>
    </row>
    <row r="131" spans="1:3" x14ac:dyDescent="0.25">
      <c r="A131" s="6" t="s">
        <v>957</v>
      </c>
      <c r="B131">
        <v>976</v>
      </c>
      <c r="C131" s="7">
        <v>2.5</v>
      </c>
    </row>
    <row r="132" spans="1:3" x14ac:dyDescent="0.25">
      <c r="A132" s="6" t="s">
        <v>961</v>
      </c>
      <c r="B132">
        <v>2108</v>
      </c>
      <c r="C132" s="7">
        <v>3</v>
      </c>
    </row>
    <row r="133" spans="1:3" x14ac:dyDescent="0.25">
      <c r="A133" s="6" t="s">
        <v>955</v>
      </c>
      <c r="B133">
        <v>1311</v>
      </c>
      <c r="C133" s="7">
        <v>1.8</v>
      </c>
    </row>
    <row r="134" spans="1:3" x14ac:dyDescent="0.25">
      <c r="A134" s="26" t="s">
        <v>1714</v>
      </c>
      <c r="B134" s="27">
        <v>182435</v>
      </c>
      <c r="C134" s="28">
        <v>2.4386666666666668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Logs bruts</vt:lpstr>
      <vt:lpstr>Churn</vt:lpstr>
      <vt:lpstr>Maintenance</vt:lpstr>
      <vt:lpstr>TCD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2026-03-17T15:18:57Z</dcterms:created>
  <dcterms:modified xsi:type="dcterms:W3CDTF">2026-03-30T10:31:23Z</dcterms:modified>
</cp:coreProperties>
</file>